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933\Downloads\Data Analytics Practice\"/>
    </mc:Choice>
  </mc:AlternateContent>
  <xr:revisionPtr revIDLastSave="0" documentId="8_{89A22964-0725-4FE4-BB9B-5DFE1B5A9BB7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Raw_Order" sheetId="1" r:id="rId1"/>
    <sheet name="Raw_Customers" sheetId="2" r:id="rId2"/>
    <sheet name="Raw_Products" sheetId="3" r:id="rId3"/>
    <sheet name="Raw_Stores" sheetId="4" r:id="rId4"/>
    <sheet name="Clean_Model" sheetId="5" r:id="rId5"/>
    <sheet name="Dashboard_Data" sheetId="6" state="hidden" r:id="rId6"/>
    <sheet name="Dashboard" sheetId="7" r:id="rId7"/>
    <sheet name="Pivot_Analysis" sheetId="8" r:id="rId8"/>
    <sheet name="Project_Guide" sheetId="9" r:id="rId9"/>
    <sheet name="Data_Dictionary" sheetId="10" r:id="rId10"/>
  </sheets>
  <definedNames>
    <definedName name="_xlnm._FilterDatabase" localSheetId="4" hidden="1">Clean_Model!$A$1:$AI$1001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" i="7" l="1"/>
  <c r="H16" i="7"/>
  <c r="E16" i="7"/>
  <c r="B16" i="7"/>
  <c r="Q12" i="7"/>
  <c r="N12" i="7"/>
  <c r="K12" i="7"/>
  <c r="H12" i="7"/>
  <c r="E12" i="7"/>
  <c r="B12" i="7"/>
</calcChain>
</file>

<file path=xl/sharedStrings.xml><?xml version="1.0" encoding="utf-8"?>
<sst xmlns="http://schemas.openxmlformats.org/spreadsheetml/2006/main" count="34037" uniqueCount="2950">
  <si>
    <t>row_id</t>
  </si>
  <si>
    <t>order_id</t>
  </si>
  <si>
    <t>order_line</t>
  </si>
  <si>
    <t>order_date</t>
  </si>
  <si>
    <t>ship_date</t>
  </si>
  <si>
    <t>customer_id</t>
  </si>
  <si>
    <t>product_id</t>
  </si>
  <si>
    <t>store_id</t>
  </si>
  <si>
    <t>quantity</t>
  </si>
  <si>
    <t>unit_price</t>
  </si>
  <si>
    <t>discount_pct</t>
  </si>
  <si>
    <t>sales_amount</t>
  </si>
  <si>
    <t>profit</t>
  </si>
  <si>
    <t>payment_method</t>
  </si>
  <si>
    <t>ship_mode</t>
  </si>
  <si>
    <t>order_status</t>
  </si>
  <si>
    <t>ORD000003</t>
  </si>
  <si>
    <t>ORD000016</t>
  </si>
  <si>
    <t>ORD000026</t>
  </si>
  <si>
    <t>ORD000037</t>
  </si>
  <si>
    <t>ORD000041</t>
  </si>
  <si>
    <t>ORD000064</t>
  </si>
  <si>
    <t>ORD000078</t>
  </si>
  <si>
    <t>ORD000083</t>
  </si>
  <si>
    <t>ORD000086</t>
  </si>
  <si>
    <t>ORD000088</t>
  </si>
  <si>
    <t>ORD000090</t>
  </si>
  <si>
    <t>ORD000123</t>
  </si>
  <si>
    <t>ORD000124</t>
  </si>
  <si>
    <t>ORD000126</t>
  </si>
  <si>
    <t>ORD000133</t>
  </si>
  <si>
    <t>ORD000138</t>
  </si>
  <si>
    <t>ORD000144</t>
  </si>
  <si>
    <t>ORD000146</t>
  </si>
  <si>
    <t>ORD000148</t>
  </si>
  <si>
    <t>ORD000150</t>
  </si>
  <si>
    <t>ORD000157</t>
  </si>
  <si>
    <t>ORD000169</t>
  </si>
  <si>
    <t>ORD000172</t>
  </si>
  <si>
    <t>ORD000175</t>
  </si>
  <si>
    <t>ORD000195</t>
  </si>
  <si>
    <t>ORD000202</t>
  </si>
  <si>
    <t>ORD000211</t>
  </si>
  <si>
    <t>ORD000237</t>
  </si>
  <si>
    <t>ORD000238</t>
  </si>
  <si>
    <t>ORD000244</t>
  </si>
  <si>
    <t>ORD000247</t>
  </si>
  <si>
    <t>ORD000277</t>
  </si>
  <si>
    <t>ORD000287</t>
  </si>
  <si>
    <t>ORD000290</t>
  </si>
  <si>
    <t>ORD000292</t>
  </si>
  <si>
    <t>ORD000294</t>
  </si>
  <si>
    <t>ORD000318</t>
  </si>
  <si>
    <t>ORD000326</t>
  </si>
  <si>
    <t>ORD000327</t>
  </si>
  <si>
    <t>ORD000360</t>
  </si>
  <si>
    <t>ORD000362</t>
  </si>
  <si>
    <t>ORD000372</t>
  </si>
  <si>
    <t>ORD000381</t>
  </si>
  <si>
    <t>ORD000391</t>
  </si>
  <si>
    <t>ORD000400</t>
  </si>
  <si>
    <t>ORD000414</t>
  </si>
  <si>
    <t>ORD000415</t>
  </si>
  <si>
    <t>ORD000416</t>
  </si>
  <si>
    <t>ORD000419</t>
  </si>
  <si>
    <t>ORD000425</t>
  </si>
  <si>
    <t>ORD000433</t>
  </si>
  <si>
    <t>ORD000434</t>
  </si>
  <si>
    <t>ORD000445</t>
  </si>
  <si>
    <t>ORD000446</t>
  </si>
  <si>
    <t>ORD000450</t>
  </si>
  <si>
    <t>ORD000453</t>
  </si>
  <si>
    <t>ORD000462</t>
  </si>
  <si>
    <t>ORD000463</t>
  </si>
  <si>
    <t>ORD000473</t>
  </si>
  <si>
    <t>ORD000481</t>
  </si>
  <si>
    <t>ORD000490</t>
  </si>
  <si>
    <t>ORD000494</t>
  </si>
  <si>
    <t>ORD000495</t>
  </si>
  <si>
    <t>ORD000503</t>
  </si>
  <si>
    <t>ORD000517</t>
  </si>
  <si>
    <t>ORD000532</t>
  </si>
  <si>
    <t>ORD000533</t>
  </si>
  <si>
    <t>ORD000538</t>
  </si>
  <si>
    <t>ORD000543</t>
  </si>
  <si>
    <t>ORD000556</t>
  </si>
  <si>
    <t>ORD000559</t>
  </si>
  <si>
    <t>ORD000560</t>
  </si>
  <si>
    <t>ORD000571</t>
  </si>
  <si>
    <t>ORD000572</t>
  </si>
  <si>
    <t>ORD000573</t>
  </si>
  <si>
    <t>ORD000579</t>
  </si>
  <si>
    <t>ORD000582</t>
  </si>
  <si>
    <t>ORD000598</t>
  </si>
  <si>
    <t>ORD000602</t>
  </si>
  <si>
    <t>ORD000604</t>
  </si>
  <si>
    <t>ORD000615</t>
  </si>
  <si>
    <t>ORD000619</t>
  </si>
  <si>
    <t>ORD000626</t>
  </si>
  <si>
    <t>ORD000627</t>
  </si>
  <si>
    <t>ORD000632</t>
  </si>
  <si>
    <t>ORD000637</t>
  </si>
  <si>
    <t>ORD000640</t>
  </si>
  <si>
    <t>ORD000653</t>
  </si>
  <si>
    <t>ORD000661</t>
  </si>
  <si>
    <t>ORD000664</t>
  </si>
  <si>
    <t>ORD000677</t>
  </si>
  <si>
    <t>ORD000681</t>
  </si>
  <si>
    <t>ORD000696</t>
  </si>
  <si>
    <t>ORD000698</t>
  </si>
  <si>
    <t>ORD000699</t>
  </si>
  <si>
    <t>ORD000701</t>
  </si>
  <si>
    <t>ORD000704</t>
  </si>
  <si>
    <t>ORD000721</t>
  </si>
  <si>
    <t>ORD000722</t>
  </si>
  <si>
    <t>ORD000724</t>
  </si>
  <si>
    <t>ORD000732</t>
  </si>
  <si>
    <t>ORD000737</t>
  </si>
  <si>
    <t>ORD000741</t>
  </si>
  <si>
    <t>ORD000768</t>
  </si>
  <si>
    <t>ORD000778</t>
  </si>
  <si>
    <t>ORD000782</t>
  </si>
  <si>
    <t>ORD000790</t>
  </si>
  <si>
    <t>ORD000792</t>
  </si>
  <si>
    <t>ORD000794</t>
  </si>
  <si>
    <t>ORD000795</t>
  </si>
  <si>
    <t>ORD000801</t>
  </si>
  <si>
    <t>ORD000822</t>
  </si>
  <si>
    <t>ORD000825</t>
  </si>
  <si>
    <t>ORD000852</t>
  </si>
  <si>
    <t>ORD000859</t>
  </si>
  <si>
    <t>ORD000865</t>
  </si>
  <si>
    <t>ORD000867</t>
  </si>
  <si>
    <t>ORD000875</t>
  </si>
  <si>
    <t>ORD000884</t>
  </si>
  <si>
    <t>ORD000889</t>
  </si>
  <si>
    <t>ORD000900</t>
  </si>
  <si>
    <t>ORD000902</t>
  </si>
  <si>
    <t>ORD000907</t>
  </si>
  <si>
    <t>ORD000910</t>
  </si>
  <si>
    <t>ORD000939</t>
  </si>
  <si>
    <t>ORD000953</t>
  </si>
  <si>
    <t>ORD000964</t>
  </si>
  <si>
    <t>ORD000992</t>
  </si>
  <si>
    <t>ORD001007</t>
  </si>
  <si>
    <t>ORD001011</t>
  </si>
  <si>
    <t>ORD001014</t>
  </si>
  <si>
    <t>ORD001022</t>
  </si>
  <si>
    <t>ORD001024</t>
  </si>
  <si>
    <t>ORD001030</t>
  </si>
  <si>
    <t>ORD001034</t>
  </si>
  <si>
    <t>ORD001038</t>
  </si>
  <si>
    <t>ORD001039</t>
  </si>
  <si>
    <t>ORD001048</t>
  </si>
  <si>
    <t>ORD001059</t>
  </si>
  <si>
    <t>ORD001060</t>
  </si>
  <si>
    <t>ORD001061</t>
  </si>
  <si>
    <t>ORD001069</t>
  </si>
  <si>
    <t>ORD001073</t>
  </si>
  <si>
    <t>ORD001085</t>
  </si>
  <si>
    <t>ORD001086</t>
  </si>
  <si>
    <t>ORD001096</t>
  </si>
  <si>
    <t>ORD001102</t>
  </si>
  <si>
    <t>ORD001120</t>
  </si>
  <si>
    <t>ORD001121</t>
  </si>
  <si>
    <t>ORD001128</t>
  </si>
  <si>
    <t>ORD001129</t>
  </si>
  <si>
    <t>ORD001130</t>
  </si>
  <si>
    <t>ORD001131</t>
  </si>
  <si>
    <t>ORD001145</t>
  </si>
  <si>
    <t>ORD001149</t>
  </si>
  <si>
    <t>ORD001164</t>
  </si>
  <si>
    <t>ORD001187</t>
  </si>
  <si>
    <t>ORD001188</t>
  </si>
  <si>
    <t>ORD001198</t>
  </si>
  <si>
    <t>ORD001210</t>
  </si>
  <si>
    <t>ORD001216</t>
  </si>
  <si>
    <t>ORD001218</t>
  </si>
  <si>
    <t>ORD001228</t>
  </si>
  <si>
    <t>ORD001233</t>
  </si>
  <si>
    <t>ORD001236</t>
  </si>
  <si>
    <t>ORD001237</t>
  </si>
  <si>
    <t>ORD001251</t>
  </si>
  <si>
    <t>ORD001256</t>
  </si>
  <si>
    <t>ORD001258</t>
  </si>
  <si>
    <t>ORD001265</t>
  </si>
  <si>
    <t>ORD001266</t>
  </si>
  <si>
    <t>ORD001271</t>
  </si>
  <si>
    <t>ORD001273</t>
  </si>
  <si>
    <t>ORD001275</t>
  </si>
  <si>
    <t>ORD001283</t>
  </si>
  <si>
    <t>ORD001290</t>
  </si>
  <si>
    <t>ORD001292</t>
  </si>
  <si>
    <t>ORD001297</t>
  </si>
  <si>
    <t>ORD001299</t>
  </si>
  <si>
    <t>ORD001309</t>
  </si>
  <si>
    <t>ORD001312</t>
  </si>
  <si>
    <t>ORD001314</t>
  </si>
  <si>
    <t>ORD001317</t>
  </si>
  <si>
    <t>ORD001334</t>
  </si>
  <si>
    <t>ORD001340</t>
  </si>
  <si>
    <t>ORD001344</t>
  </si>
  <si>
    <t>ORD001350</t>
  </si>
  <si>
    <t>ORD001361</t>
  </si>
  <si>
    <t>ORD001368</t>
  </si>
  <si>
    <t>ORD001371</t>
  </si>
  <si>
    <t>ORD001398</t>
  </si>
  <si>
    <t>ORD001399</t>
  </si>
  <si>
    <t>ORD001401</t>
  </si>
  <si>
    <t>ORD001402</t>
  </si>
  <si>
    <t>ORD001403</t>
  </si>
  <si>
    <t>ORD001407</t>
  </si>
  <si>
    <t>ORD001411</t>
  </si>
  <si>
    <t>ORD001430</t>
  </si>
  <si>
    <t>ORD001431</t>
  </si>
  <si>
    <t>ORD001432</t>
  </si>
  <si>
    <t>ORD001440</t>
  </si>
  <si>
    <t>ORD001454</t>
  </si>
  <si>
    <t>ORD001458</t>
  </si>
  <si>
    <t>ORD001464</t>
  </si>
  <si>
    <t>ORD001469</t>
  </si>
  <si>
    <t>ORD001481</t>
  </si>
  <si>
    <t>ORD001483</t>
  </si>
  <si>
    <t>ORD001491</t>
  </si>
  <si>
    <t>ORD001492</t>
  </si>
  <si>
    <t>ORD001500</t>
  </si>
  <si>
    <t>ORD001510</t>
  </si>
  <si>
    <t>ORD001515</t>
  </si>
  <si>
    <t>ORD001523</t>
  </si>
  <si>
    <t>ORD001535</t>
  </si>
  <si>
    <t>ORD001543</t>
  </si>
  <si>
    <t>ORD001546</t>
  </si>
  <si>
    <t>ORD001548</t>
  </si>
  <si>
    <t>ORD001553</t>
  </si>
  <si>
    <t>ORD001559</t>
  </si>
  <si>
    <t>ORD001570</t>
  </si>
  <si>
    <t>ORD001575</t>
  </si>
  <si>
    <t>ORD001583</t>
  </si>
  <si>
    <t>ORD001592</t>
  </si>
  <si>
    <t>ORD001601</t>
  </si>
  <si>
    <t>ORD001629</t>
  </si>
  <si>
    <t>ORD001652</t>
  </si>
  <si>
    <t>ORD001659</t>
  </si>
  <si>
    <t>ORD001672</t>
  </si>
  <si>
    <t>ORD001677</t>
  </si>
  <si>
    <t>ORD001692</t>
  </si>
  <si>
    <t>ORD001693</t>
  </si>
  <si>
    <t>ORD001700</t>
  </si>
  <si>
    <t>ORD001703</t>
  </si>
  <si>
    <t>ORD001724</t>
  </si>
  <si>
    <t>ORD001726</t>
  </si>
  <si>
    <t>ORD001729</t>
  </si>
  <si>
    <t>ORD001731</t>
  </si>
  <si>
    <t>ORD001739</t>
  </si>
  <si>
    <t>ORD001746</t>
  </si>
  <si>
    <t>ORD001754</t>
  </si>
  <si>
    <t>ORD001759</t>
  </si>
  <si>
    <t>ORD001763</t>
  </si>
  <si>
    <t>ORD001777</t>
  </si>
  <si>
    <t>ORD001785</t>
  </si>
  <si>
    <t>ORD001795</t>
  </si>
  <si>
    <t>ORD001802</t>
  </si>
  <si>
    <t>ORD001810</t>
  </si>
  <si>
    <t>ORD001817</t>
  </si>
  <si>
    <t>ORD001822</t>
  </si>
  <si>
    <t>ORD001823</t>
  </si>
  <si>
    <t>ORD001825</t>
  </si>
  <si>
    <t>ORD001829</t>
  </si>
  <si>
    <t>ORD001830</t>
  </si>
  <si>
    <t>ORD001832</t>
  </si>
  <si>
    <t>ORD001846</t>
  </si>
  <si>
    <t>ORD001857</t>
  </si>
  <si>
    <t>ORD001858</t>
  </si>
  <si>
    <t>ORD001900</t>
  </si>
  <si>
    <t>ORD001907</t>
  </si>
  <si>
    <t>ORD001925</t>
  </si>
  <si>
    <t>ORD001926</t>
  </si>
  <si>
    <t>ORD001933</t>
  </si>
  <si>
    <t>ORD001944</t>
  </si>
  <si>
    <t>ORD001946</t>
  </si>
  <si>
    <t>ORD001950</t>
  </si>
  <si>
    <t>ORD001992</t>
  </si>
  <si>
    <t>ORD001998</t>
  </si>
  <si>
    <t>ORD002003</t>
  </si>
  <si>
    <t>ORD002014</t>
  </si>
  <si>
    <t>ORD002021</t>
  </si>
  <si>
    <t>ORD002025</t>
  </si>
  <si>
    <t>ORD002030</t>
  </si>
  <si>
    <t>ORD002034</t>
  </si>
  <si>
    <t>ORD002040</t>
  </si>
  <si>
    <t>ORD002042</t>
  </si>
  <si>
    <t>ORD002049</t>
  </si>
  <si>
    <t>ORD002054</t>
  </si>
  <si>
    <t>ORD002069</t>
  </si>
  <si>
    <t>ORD002074</t>
  </si>
  <si>
    <t>ORD002078</t>
  </si>
  <si>
    <t>ORD002079</t>
  </si>
  <si>
    <t>ORD002086</t>
  </si>
  <si>
    <t>ORD002107</t>
  </si>
  <si>
    <t>ORD002120</t>
  </si>
  <si>
    <t>ORD002134</t>
  </si>
  <si>
    <t>ORD002143</t>
  </si>
  <si>
    <t>ORD002148</t>
  </si>
  <si>
    <t>ORD002152</t>
  </si>
  <si>
    <t>ORD002154</t>
  </si>
  <si>
    <t>ORD002163</t>
  </si>
  <si>
    <t>ORD002166</t>
  </si>
  <si>
    <t>ORD002169</t>
  </si>
  <si>
    <t>ORD002171</t>
  </si>
  <si>
    <t>ORD002179</t>
  </si>
  <si>
    <t>ORD002188</t>
  </si>
  <si>
    <t>ORD002190</t>
  </si>
  <si>
    <t>ORD002207</t>
  </si>
  <si>
    <t>ORD002209</t>
  </si>
  <si>
    <t>ORD002210</t>
  </si>
  <si>
    <t>ORD002218</t>
  </si>
  <si>
    <t>ORD002244</t>
  </si>
  <si>
    <t>ORD002249</t>
  </si>
  <si>
    <t>ORD002279</t>
  </si>
  <si>
    <t>ORD002300</t>
  </si>
  <si>
    <t>ORD002302</t>
  </si>
  <si>
    <t>ORD002318</t>
  </si>
  <si>
    <t>ORD002320</t>
  </si>
  <si>
    <t>ORD002330</t>
  </si>
  <si>
    <t>ORD002334</t>
  </si>
  <si>
    <t>ORD002352</t>
  </si>
  <si>
    <t>ORD002354</t>
  </si>
  <si>
    <t>ORD002361</t>
  </si>
  <si>
    <t>ORD002362</t>
  </si>
  <si>
    <t>ORD002366</t>
  </si>
  <si>
    <t>ORD002370</t>
  </si>
  <si>
    <t>ORD002375</t>
  </si>
  <si>
    <t>ORD002380</t>
  </si>
  <si>
    <t>ORD002381</t>
  </si>
  <si>
    <t>ORD002386</t>
  </si>
  <si>
    <t>ORD002388</t>
  </si>
  <si>
    <t>ORD002399</t>
  </si>
  <si>
    <t>ORD002402</t>
  </si>
  <si>
    <t>ORD002410</t>
  </si>
  <si>
    <t>ORD002422</t>
  </si>
  <si>
    <t>ORD002434</t>
  </si>
  <si>
    <t>ORD002435</t>
  </si>
  <si>
    <t>ORD002439</t>
  </si>
  <si>
    <t>ORD002442</t>
  </si>
  <si>
    <t>ORD002456</t>
  </si>
  <si>
    <t>ORD002459</t>
  </si>
  <si>
    <t>ORD002468</t>
  </si>
  <si>
    <t>ORD002478</t>
  </si>
  <si>
    <t>ORD002484</t>
  </si>
  <si>
    <t>ORD002486</t>
  </si>
  <si>
    <t>ORD002492</t>
  </si>
  <si>
    <t>ORD002495</t>
  </si>
  <si>
    <t>ORD002506</t>
  </si>
  <si>
    <t>ORD002517</t>
  </si>
  <si>
    <t>ORD002521</t>
  </si>
  <si>
    <t>ORD002532</t>
  </si>
  <si>
    <t>ORD002539</t>
  </si>
  <si>
    <t>ORD002554</t>
  </si>
  <si>
    <t>ORD002561</t>
  </si>
  <si>
    <t>ORD002564</t>
  </si>
  <si>
    <t>ORD002570</t>
  </si>
  <si>
    <t>ORD002578</t>
  </si>
  <si>
    <t>ORD002581</t>
  </si>
  <si>
    <t>ORD002583</t>
  </si>
  <si>
    <t>ORD002594</t>
  </si>
  <si>
    <t>ORD002596</t>
  </si>
  <si>
    <t>ORD002602</t>
  </si>
  <si>
    <t>ORD002604</t>
  </si>
  <si>
    <t>ORD002611</t>
  </si>
  <si>
    <t>ORD002612</t>
  </si>
  <si>
    <t>ORD002617</t>
  </si>
  <si>
    <t>ORD002633</t>
  </si>
  <si>
    <t>ORD002637</t>
  </si>
  <si>
    <t>ORD002645</t>
  </si>
  <si>
    <t>ORD002657</t>
  </si>
  <si>
    <t>ORD002659</t>
  </si>
  <si>
    <t>ORD002668</t>
  </si>
  <si>
    <t>ORD002703</t>
  </si>
  <si>
    <t>ORD002704</t>
  </si>
  <si>
    <t>ORD002711</t>
  </si>
  <si>
    <t>ORD002712</t>
  </si>
  <si>
    <t>ORD002713</t>
  </si>
  <si>
    <t>ORD002724</t>
  </si>
  <si>
    <t>ORD002731</t>
  </si>
  <si>
    <t>ORD002738</t>
  </si>
  <si>
    <t>ORD002741</t>
  </si>
  <si>
    <t>ORD002756</t>
  </si>
  <si>
    <t>ORD002763</t>
  </si>
  <si>
    <t>ORD002773</t>
  </si>
  <si>
    <t>ORD002774</t>
  </si>
  <si>
    <t>ORD002776</t>
  </si>
  <si>
    <t>ORD002792</t>
  </si>
  <si>
    <t>ORD002793</t>
  </si>
  <si>
    <t>ORD002800</t>
  </si>
  <si>
    <t>ORD002813</t>
  </si>
  <si>
    <t>ORD002814</t>
  </si>
  <si>
    <t>ORD002817</t>
  </si>
  <si>
    <t>ORD002819</t>
  </si>
  <si>
    <t>ORD002820</t>
  </si>
  <si>
    <t>ORD002821</t>
  </si>
  <si>
    <t>ORD002842</t>
  </si>
  <si>
    <t>ORD002862</t>
  </si>
  <si>
    <t>ORD002866</t>
  </si>
  <si>
    <t>ORD002876</t>
  </si>
  <si>
    <t>ORD002880</t>
  </si>
  <si>
    <t>ORD002889</t>
  </si>
  <si>
    <t>ORD002895</t>
  </si>
  <si>
    <t>ORD002905</t>
  </si>
  <si>
    <t>ORD002909</t>
  </si>
  <si>
    <t>ORD002918</t>
  </si>
  <si>
    <t>ORD002925</t>
  </si>
  <si>
    <t>ORD002930</t>
  </si>
  <si>
    <t>ORD002932</t>
  </si>
  <si>
    <t>ORD002952</t>
  </si>
  <si>
    <t>ORD002999</t>
  </si>
  <si>
    <t>ORD003001</t>
  </si>
  <si>
    <t>ORD003008</t>
  </si>
  <si>
    <t>ORD003019</t>
  </si>
  <si>
    <t>ORD003021</t>
  </si>
  <si>
    <t>ORD003024</t>
  </si>
  <si>
    <t>ORD003030</t>
  </si>
  <si>
    <t>ORD003032</t>
  </si>
  <si>
    <t>ORD003037</t>
  </si>
  <si>
    <t>ORD003039</t>
  </si>
  <si>
    <t>ORD003043</t>
  </si>
  <si>
    <t>ORD003053</t>
  </si>
  <si>
    <t>ORD003075</t>
  </si>
  <si>
    <t>ORD003093</t>
  </si>
  <si>
    <t>ORD003097</t>
  </si>
  <si>
    <t>ORD003099</t>
  </si>
  <si>
    <t>ORD003109</t>
  </si>
  <si>
    <t>ORD003123</t>
  </si>
  <si>
    <t>ORD003127</t>
  </si>
  <si>
    <t>ORD003128</t>
  </si>
  <si>
    <t>ORD003139</t>
  </si>
  <si>
    <t>ORD003142</t>
  </si>
  <si>
    <t>ORD003152</t>
  </si>
  <si>
    <t>ORD003157</t>
  </si>
  <si>
    <t>ORD003159</t>
  </si>
  <si>
    <t>ORD003170</t>
  </si>
  <si>
    <t>ORD003171</t>
  </si>
  <si>
    <t>ORD003179</t>
  </si>
  <si>
    <t>ORD003182</t>
  </si>
  <si>
    <t>ORD003190</t>
  </si>
  <si>
    <t>ORD003197</t>
  </si>
  <si>
    <t>ORD003215</t>
  </si>
  <si>
    <t>ORD003221</t>
  </si>
  <si>
    <t>ORD003225</t>
  </si>
  <si>
    <t>ORD003233</t>
  </si>
  <si>
    <t>ORD003235</t>
  </si>
  <si>
    <t>ORD003239</t>
  </si>
  <si>
    <t>ORD003240</t>
  </si>
  <si>
    <t>ORD003262</t>
  </si>
  <si>
    <t>ORD003265</t>
  </si>
  <si>
    <t>ORD003274</t>
  </si>
  <si>
    <t>ORD003276</t>
  </si>
  <si>
    <t>ORD003281</t>
  </si>
  <si>
    <t>ORD003282</t>
  </si>
  <si>
    <t>ORD003296</t>
  </si>
  <si>
    <t>ORD003300</t>
  </si>
  <si>
    <t>ORD003312</t>
  </si>
  <si>
    <t>ORD003313</t>
  </si>
  <si>
    <t>ORD003342</t>
  </si>
  <si>
    <t>ORD003343</t>
  </si>
  <si>
    <t>ORD003348</t>
  </si>
  <si>
    <t>ORD003362</t>
  </si>
  <si>
    <t>ORD003363</t>
  </si>
  <si>
    <t>ORD003380</t>
  </si>
  <si>
    <t>ORD003389</t>
  </si>
  <si>
    <t>ORD003393</t>
  </si>
  <si>
    <t>ORD003404</t>
  </si>
  <si>
    <t>ORD003411</t>
  </si>
  <si>
    <t>ORD003422</t>
  </si>
  <si>
    <t>ORD003424</t>
  </si>
  <si>
    <t>ORD003425</t>
  </si>
  <si>
    <t>ORD003459</t>
  </si>
  <si>
    <t>ORD003478</t>
  </si>
  <si>
    <t>ORD003479</t>
  </si>
  <si>
    <t>ORD003496</t>
  </si>
  <si>
    <t>ORD003503</t>
  </si>
  <si>
    <t>ORD003504</t>
  </si>
  <si>
    <t>ORD003526</t>
  </si>
  <si>
    <t>ORD003529</t>
  </si>
  <si>
    <t>ORD003531</t>
  </si>
  <si>
    <t>ORD003536</t>
  </si>
  <si>
    <t>ORD003537</t>
  </si>
  <si>
    <t>ORD003538</t>
  </si>
  <si>
    <t>ORD003549</t>
  </si>
  <si>
    <t>ORD003554</t>
  </si>
  <si>
    <t>ORD003563</t>
  </si>
  <si>
    <t>ORD003571</t>
  </si>
  <si>
    <t>ORD003574</t>
  </si>
  <si>
    <t>ORD003578</t>
  </si>
  <si>
    <t>ORD003579</t>
  </si>
  <si>
    <t>ORD003582</t>
  </si>
  <si>
    <t>ORD003585</t>
  </si>
  <si>
    <t>ORD003587</t>
  </si>
  <si>
    <t>ORD003604</t>
  </si>
  <si>
    <t>ORD003617</t>
  </si>
  <si>
    <t>ORD003620</t>
  </si>
  <si>
    <t>ORD003633</t>
  </si>
  <si>
    <t>ORD003656</t>
  </si>
  <si>
    <t>ORD003663</t>
  </si>
  <si>
    <t>ORD003669</t>
  </si>
  <si>
    <t>ORD003677</t>
  </si>
  <si>
    <t>ORD003679</t>
  </si>
  <si>
    <t>ORD003684</t>
  </si>
  <si>
    <t>ORD003685</t>
  </si>
  <si>
    <t>ORD003707</t>
  </si>
  <si>
    <t>ORD003713</t>
  </si>
  <si>
    <t>ORD003740</t>
  </si>
  <si>
    <t>ORD003752</t>
  </si>
  <si>
    <t>ORD003761</t>
  </si>
  <si>
    <t>ORD003762</t>
  </si>
  <si>
    <t>ORD003765</t>
  </si>
  <si>
    <t>ORD003775</t>
  </si>
  <si>
    <t>ORD003785</t>
  </si>
  <si>
    <t>ORD003790</t>
  </si>
  <si>
    <t>ORD003812</t>
  </si>
  <si>
    <t>ORD003826</t>
  </si>
  <si>
    <t>ORD003836</t>
  </si>
  <si>
    <t>ORD003841</t>
  </si>
  <si>
    <t>ORD003911</t>
  </si>
  <si>
    <t>ORD003912</t>
  </si>
  <si>
    <t>ORD003917</t>
  </si>
  <si>
    <t>ORD003929</t>
  </si>
  <si>
    <t>ORD003940</t>
  </si>
  <si>
    <t>ORD003941</t>
  </si>
  <si>
    <t>ORD003942</t>
  </si>
  <si>
    <t>ORD003945</t>
  </si>
  <si>
    <t>ORD003964</t>
  </si>
  <si>
    <t>ORD003968</t>
  </si>
  <si>
    <t>ORD003978</t>
  </si>
  <si>
    <t>ORD003981</t>
  </si>
  <si>
    <t>ORD003982</t>
  </si>
  <si>
    <t>ORD003990</t>
  </si>
  <si>
    <t>ORD004003</t>
  </si>
  <si>
    <t>ORD004012</t>
  </si>
  <si>
    <t>ORD004013</t>
  </si>
  <si>
    <t>ORD004014</t>
  </si>
  <si>
    <t>ORD004018</t>
  </si>
  <si>
    <t>ORD004021</t>
  </si>
  <si>
    <t>ORD004039</t>
  </si>
  <si>
    <t>ORD004041</t>
  </si>
  <si>
    <t>ORD004050</t>
  </si>
  <si>
    <t>ORD004067</t>
  </si>
  <si>
    <t>ORD004069</t>
  </si>
  <si>
    <t>ORD004073</t>
  </si>
  <si>
    <t>ORD004076</t>
  </si>
  <si>
    <t>ORD004078</t>
  </si>
  <si>
    <t>ORD004081</t>
  </si>
  <si>
    <t>ORD004088</t>
  </si>
  <si>
    <t>ORD004097</t>
  </si>
  <si>
    <t>ORD004102</t>
  </si>
  <si>
    <t>ORD004110</t>
  </si>
  <si>
    <t>ORD004112</t>
  </si>
  <si>
    <t>ORD004116</t>
  </si>
  <si>
    <t>ORD004119</t>
  </si>
  <si>
    <t>ORD004132</t>
  </si>
  <si>
    <t>ORD004134</t>
  </si>
  <si>
    <t>ORD004136</t>
  </si>
  <si>
    <t>ORD004146</t>
  </si>
  <si>
    <t>ORD004147</t>
  </si>
  <si>
    <t>ORD004148</t>
  </si>
  <si>
    <t>ORD004163</t>
  </si>
  <si>
    <t>ORD004166</t>
  </si>
  <si>
    <t>ORD004169</t>
  </si>
  <si>
    <t>ORD004182</t>
  </si>
  <si>
    <t>ORD004185</t>
  </si>
  <si>
    <t>ORD004202</t>
  </si>
  <si>
    <t>ORD004208</t>
  </si>
  <si>
    <t>ORD004215</t>
  </si>
  <si>
    <t>ORD004232</t>
  </si>
  <si>
    <t>ORD004233</t>
  </si>
  <si>
    <t>ORD004257</t>
  </si>
  <si>
    <t>ORD004263</t>
  </si>
  <si>
    <t>ORD004280</t>
  </si>
  <si>
    <t>ORD004286</t>
  </si>
  <si>
    <t>ORD004295</t>
  </si>
  <si>
    <t>ORD004296</t>
  </si>
  <si>
    <t>ORD004300</t>
  </si>
  <si>
    <t>ORD004314</t>
  </si>
  <si>
    <t>ORD004320</t>
  </si>
  <si>
    <t>ORD004328</t>
  </si>
  <si>
    <t>ORD004335</t>
  </si>
  <si>
    <t>ORD004347</t>
  </si>
  <si>
    <t>ORD004354</t>
  </si>
  <si>
    <t>ORD004355</t>
  </si>
  <si>
    <t>ORD004380</t>
  </si>
  <si>
    <t>ORD004386</t>
  </si>
  <si>
    <t>ORD004393</t>
  </si>
  <si>
    <t>ORD004394</t>
  </si>
  <si>
    <t>ORD004399</t>
  </si>
  <si>
    <t>ORD004409</t>
  </si>
  <si>
    <t>ORD004413</t>
  </si>
  <si>
    <t>ORD004428</t>
  </si>
  <si>
    <t>ORD004429</t>
  </si>
  <si>
    <t>ORD004430</t>
  </si>
  <si>
    <t>ORD004462</t>
  </si>
  <si>
    <t>ORD004466</t>
  </si>
  <si>
    <t>ORD004467</t>
  </si>
  <si>
    <t>ORD004469</t>
  </si>
  <si>
    <t>ORD004471</t>
  </si>
  <si>
    <t>ORD004486</t>
  </si>
  <si>
    <t>ORD004496</t>
  </si>
  <si>
    <t>ORD004498</t>
  </si>
  <si>
    <t>ORD004509</t>
  </si>
  <si>
    <t>ORD004525</t>
  </si>
  <si>
    <t>ORD004526</t>
  </si>
  <si>
    <t>ORD004543</t>
  </si>
  <si>
    <t>ORD004551</t>
  </si>
  <si>
    <t>ORD004552</t>
  </si>
  <si>
    <t>ORD004557</t>
  </si>
  <si>
    <t>ORD004559</t>
  </si>
  <si>
    <t>ORD004564</t>
  </si>
  <si>
    <t>ORD004567</t>
  </si>
  <si>
    <t>ORD004569</t>
  </si>
  <si>
    <t>ORD004574</t>
  </si>
  <si>
    <t>ORD004580</t>
  </si>
  <si>
    <t>ORD004581</t>
  </si>
  <si>
    <t>ORD004592</t>
  </si>
  <si>
    <t>ORD004598</t>
  </si>
  <si>
    <t>ORD004605</t>
  </si>
  <si>
    <t>ORD004612</t>
  </si>
  <si>
    <t>ORD004632</t>
  </si>
  <si>
    <t>ORD004644</t>
  </si>
  <si>
    <t>ORD004656</t>
  </si>
  <si>
    <t>ORD004658</t>
  </si>
  <si>
    <t>ORD004678</t>
  </si>
  <si>
    <t>ORD004680</t>
  </si>
  <si>
    <t>ORD004690</t>
  </si>
  <si>
    <t>ORD004699</t>
  </si>
  <si>
    <t>ORD004713</t>
  </si>
  <si>
    <t>ORD004725</t>
  </si>
  <si>
    <t>ORD004728</t>
  </si>
  <si>
    <t>ORD004733</t>
  </si>
  <si>
    <t>ORD004736</t>
  </si>
  <si>
    <t>ORD004741</t>
  </si>
  <si>
    <t>ORD004743</t>
  </si>
  <si>
    <t>ORD004745</t>
  </si>
  <si>
    <t>ORD004762</t>
  </si>
  <si>
    <t>ORD004772</t>
  </si>
  <si>
    <t>ORD004774</t>
  </si>
  <si>
    <t>ORD004779</t>
  </si>
  <si>
    <t>ORD004789</t>
  </si>
  <si>
    <t>ORD004791</t>
  </si>
  <si>
    <t>ORD004794</t>
  </si>
  <si>
    <t>ORD004798</t>
  </si>
  <si>
    <t>ORD004811</t>
  </si>
  <si>
    <t>ORD004824</t>
  </si>
  <si>
    <t>ORD004838</t>
  </si>
  <si>
    <t>ORD004852</t>
  </si>
  <si>
    <t>ORD004908</t>
  </si>
  <si>
    <t>ORD004909</t>
  </si>
  <si>
    <t>ORD004913</t>
  </si>
  <si>
    <t>ORD004920</t>
  </si>
  <si>
    <t>ORD004922</t>
  </si>
  <si>
    <t>ORD004946</t>
  </si>
  <si>
    <t>ORD004961</t>
  </si>
  <si>
    <t>ORD004968</t>
  </si>
  <si>
    <t>ORD004969</t>
  </si>
  <si>
    <t>ORD004971</t>
  </si>
  <si>
    <t>ORD004972</t>
  </si>
  <si>
    <t>ORD004973</t>
  </si>
  <si>
    <t>ORD004988</t>
  </si>
  <si>
    <t>ORD004998</t>
  </si>
  <si>
    <t>ORD005010</t>
  </si>
  <si>
    <t>ORD005018</t>
  </si>
  <si>
    <t>ORD005046</t>
  </si>
  <si>
    <t>ORD005070</t>
  </si>
  <si>
    <t>ORD005076</t>
  </si>
  <si>
    <t>ORD005079</t>
  </si>
  <si>
    <t>ORD005103</t>
  </si>
  <si>
    <t>ORD005109</t>
  </si>
  <si>
    <t>ORD005111</t>
  </si>
  <si>
    <t>ORD005114</t>
  </si>
  <si>
    <t>ORD005115</t>
  </si>
  <si>
    <t>ORD005121</t>
  </si>
  <si>
    <t>ORD005122</t>
  </si>
  <si>
    <t>ORD005127</t>
  </si>
  <si>
    <t>ORD005128</t>
  </si>
  <si>
    <t>ORD005130</t>
  </si>
  <si>
    <t>ORD005138</t>
  </si>
  <si>
    <t>ORD005145</t>
  </si>
  <si>
    <t>ORD005146</t>
  </si>
  <si>
    <t>ORD005150</t>
  </si>
  <si>
    <t>ORD005151</t>
  </si>
  <si>
    <t>ORD005157</t>
  </si>
  <si>
    <t>ORD005164</t>
  </si>
  <si>
    <t>ORD005168</t>
  </si>
  <si>
    <t>ORD005175</t>
  </si>
  <si>
    <t>ORD005181</t>
  </si>
  <si>
    <t>ORD005185</t>
  </si>
  <si>
    <t>ORD005186</t>
  </si>
  <si>
    <t>ORD005221</t>
  </si>
  <si>
    <t>ORD005224</t>
  </si>
  <si>
    <t>ORD005266</t>
  </si>
  <si>
    <t>ORD005269</t>
  </si>
  <si>
    <t>ORD005271</t>
  </si>
  <si>
    <t>ORD005273</t>
  </si>
  <si>
    <t>ORD005289</t>
  </si>
  <si>
    <t>ORD005290</t>
  </si>
  <si>
    <t>ORD005293</t>
  </si>
  <si>
    <t>ORD005298</t>
  </si>
  <si>
    <t>ORD005308</t>
  </si>
  <si>
    <t>ORD005310</t>
  </si>
  <si>
    <t>ORD005315</t>
  </si>
  <si>
    <t>ORD005319</t>
  </si>
  <si>
    <t>ORD005320</t>
  </si>
  <si>
    <t>ORD005323</t>
  </si>
  <si>
    <t>ORD005324</t>
  </si>
  <si>
    <t>ORD005328</t>
  </si>
  <si>
    <t>ORD005336</t>
  </si>
  <si>
    <t>ORD005344</t>
  </si>
  <si>
    <t>ORD005346</t>
  </si>
  <si>
    <t>ORD005355</t>
  </si>
  <si>
    <t>ORD005359</t>
  </si>
  <si>
    <t>ORD005366</t>
  </si>
  <si>
    <t>ORD005372</t>
  </si>
  <si>
    <t>ORD005375</t>
  </si>
  <si>
    <t>ORD005381</t>
  </si>
  <si>
    <t>ORD005422</t>
  </si>
  <si>
    <t>ORD005464</t>
  </si>
  <si>
    <t>ORD005474</t>
  </si>
  <si>
    <t>ORD005476</t>
  </si>
  <si>
    <t>ORD005478</t>
  </si>
  <si>
    <t>ORD005483</t>
  </si>
  <si>
    <t>ORD005484</t>
  </si>
  <si>
    <t>ORD005490</t>
  </si>
  <si>
    <t>ORD005503</t>
  </si>
  <si>
    <t>ORD005505</t>
  </si>
  <si>
    <t>ORD005510</t>
  </si>
  <si>
    <t>ORD005511</t>
  </si>
  <si>
    <t>ORD005537</t>
  </si>
  <si>
    <t>ORD005539</t>
  </si>
  <si>
    <t>ORD005547</t>
  </si>
  <si>
    <t>ORD005549</t>
  </si>
  <si>
    <t>ORD005561</t>
  </si>
  <si>
    <t>ORD005586</t>
  </si>
  <si>
    <t>ORD005591</t>
  </si>
  <si>
    <t>ORD005593</t>
  </si>
  <si>
    <t>ORD005597</t>
  </si>
  <si>
    <t>ORD005602</t>
  </si>
  <si>
    <t>ORD005607</t>
  </si>
  <si>
    <t>ORD005608</t>
  </si>
  <si>
    <t>ORD005610</t>
  </si>
  <si>
    <t>ORD005614</t>
  </si>
  <si>
    <t>ORD005616</t>
  </si>
  <si>
    <t>ORD005623</t>
  </si>
  <si>
    <t>ORD005625</t>
  </si>
  <si>
    <t>ORD005626</t>
  </si>
  <si>
    <t>ORD005628</t>
  </si>
  <si>
    <t>ORD005644</t>
  </si>
  <si>
    <t>ORD005658</t>
  </si>
  <si>
    <t>ORD005660</t>
  </si>
  <si>
    <t>ORD005663</t>
  </si>
  <si>
    <t>ORD005665</t>
  </si>
  <si>
    <t>ORD005678</t>
  </si>
  <si>
    <t>ORD005682</t>
  </si>
  <si>
    <t>ORD005687</t>
  </si>
  <si>
    <t>ORD005719</t>
  </si>
  <si>
    <t>ORD005721</t>
  </si>
  <si>
    <t>ORD005723</t>
  </si>
  <si>
    <t>ORD005726</t>
  </si>
  <si>
    <t>ORD005747</t>
  </si>
  <si>
    <t>ORD005754</t>
  </si>
  <si>
    <t>ORD005756</t>
  </si>
  <si>
    <t>ORD005759</t>
  </si>
  <si>
    <t>ORD005762</t>
  </si>
  <si>
    <t>ORD005764</t>
  </si>
  <si>
    <t>ORD005765</t>
  </si>
  <si>
    <t>ORD005793</t>
  </si>
  <si>
    <t>ORD005798</t>
  </si>
  <si>
    <t>ORD005818</t>
  </si>
  <si>
    <t>ORD005828</t>
  </si>
  <si>
    <t>ORD005831</t>
  </si>
  <si>
    <t>ORD005848</t>
  </si>
  <si>
    <t>ORD005878</t>
  </si>
  <si>
    <t>ORD005881</t>
  </si>
  <si>
    <t>ORD005882</t>
  </si>
  <si>
    <t>ORD005888</t>
  </si>
  <si>
    <t>ORD005896</t>
  </si>
  <si>
    <t>ORD005901</t>
  </si>
  <si>
    <t>ORD005902</t>
  </si>
  <si>
    <t>ORD005912</t>
  </si>
  <si>
    <t>ORD005929</t>
  </si>
  <si>
    <t>ORD005934</t>
  </si>
  <si>
    <t>ORD005937</t>
  </si>
  <si>
    <t>ORD005962</t>
  </si>
  <si>
    <t>ORD005966</t>
  </si>
  <si>
    <t>ORD005976</t>
  </si>
  <si>
    <t>ORD005978</t>
  </si>
  <si>
    <t>ORD005979</t>
  </si>
  <si>
    <t>ORD005993</t>
  </si>
  <si>
    <t>ORD005994</t>
  </si>
  <si>
    <t>ORD005996</t>
  </si>
  <si>
    <t>ORD006013</t>
  </si>
  <si>
    <t>ORD006014</t>
  </si>
  <si>
    <t>ORD006016</t>
  </si>
  <si>
    <t>ORD006017</t>
  </si>
  <si>
    <t>ORD006021</t>
  </si>
  <si>
    <t>ORD006031</t>
  </si>
  <si>
    <t>ORD006050</t>
  </si>
  <si>
    <t>ORD006051</t>
  </si>
  <si>
    <t>ORD006053</t>
  </si>
  <si>
    <t>ORD006059</t>
  </si>
  <si>
    <t>ORD006061</t>
  </si>
  <si>
    <t>ORD006065</t>
  </si>
  <si>
    <t>ORD006073</t>
  </si>
  <si>
    <t>ORD006081</t>
  </si>
  <si>
    <t>ORD006083</t>
  </si>
  <si>
    <t>ORD006107</t>
  </si>
  <si>
    <t>ORD006125</t>
  </si>
  <si>
    <t>ORD006127</t>
  </si>
  <si>
    <t>ORD006130</t>
  </si>
  <si>
    <t>ORD006133</t>
  </si>
  <si>
    <t>ORD006143</t>
  </si>
  <si>
    <t>ORD006158</t>
  </si>
  <si>
    <t>ORD006165</t>
  </si>
  <si>
    <t>ORD006187</t>
  </si>
  <si>
    <t>ORD006188</t>
  </si>
  <si>
    <t>ORD006194</t>
  </si>
  <si>
    <t>ORD006197</t>
  </si>
  <si>
    <t>ORD006218</t>
  </si>
  <si>
    <t>ORD006230</t>
  </si>
  <si>
    <t>ORD006267</t>
  </si>
  <si>
    <t>ORD006268</t>
  </si>
  <si>
    <t>ORD006278</t>
  </si>
  <si>
    <t>ORD006284</t>
  </si>
  <si>
    <t>ORD006291</t>
  </si>
  <si>
    <t>ORD006322</t>
  </si>
  <si>
    <t>ORD006325</t>
  </si>
  <si>
    <t>ORD006329</t>
  </si>
  <si>
    <t>ORD006334</t>
  </si>
  <si>
    <t>ORD006336</t>
  </si>
  <si>
    <t>ORD006340</t>
  </si>
  <si>
    <t>ORD006341</t>
  </si>
  <si>
    <t>ORD006344</t>
  </si>
  <si>
    <t>ORD006363</t>
  </si>
  <si>
    <t>ORD006366</t>
  </si>
  <si>
    <t>ORD006367</t>
  </si>
  <si>
    <t>ORD006389</t>
  </si>
  <si>
    <t>ORD006393</t>
  </si>
  <si>
    <t>ORD006395</t>
  </si>
  <si>
    <t>ORD006401</t>
  </si>
  <si>
    <t>ORD006423</t>
  </si>
  <si>
    <t>ORD006431</t>
  </si>
  <si>
    <t>ORD006436</t>
  </si>
  <si>
    <t>ORD006437</t>
  </si>
  <si>
    <t>ORD006457</t>
  </si>
  <si>
    <t>ORD006462</t>
  </si>
  <si>
    <t>ORD006463</t>
  </si>
  <si>
    <t>ORD006468</t>
  </si>
  <si>
    <t>ORD006471</t>
  </si>
  <si>
    <t>ORD006481</t>
  </si>
  <si>
    <t>ORD006482</t>
  </si>
  <si>
    <t>ORD006498</t>
  </si>
  <si>
    <t>ORD006502</t>
  </si>
  <si>
    <t>ORD006505</t>
  </si>
  <si>
    <t>ORD006506</t>
  </si>
  <si>
    <t>ORD006511</t>
  </si>
  <si>
    <t>ORD006533</t>
  </si>
  <si>
    <t>ORD006535</t>
  </si>
  <si>
    <t>ORD006539</t>
  </si>
  <si>
    <t>ORD006557</t>
  </si>
  <si>
    <t>ORD006579</t>
  </si>
  <si>
    <t>ORD006599</t>
  </si>
  <si>
    <t>ORD006604</t>
  </si>
  <si>
    <t>ORD006605</t>
  </si>
  <si>
    <t>ORD006607</t>
  </si>
  <si>
    <t>ORD006608</t>
  </si>
  <si>
    <t>ORD006616</t>
  </si>
  <si>
    <t>ORD006632</t>
  </si>
  <si>
    <t>ORD006635</t>
  </si>
  <si>
    <t>ORD006637</t>
  </si>
  <si>
    <t>ORD006639</t>
  </si>
  <si>
    <t>ORD006642</t>
  </si>
  <si>
    <t>ORD006648</t>
  </si>
  <si>
    <t>ORD006653</t>
  </si>
  <si>
    <t>ORD006654</t>
  </si>
  <si>
    <t>ORD006655</t>
  </si>
  <si>
    <t>ORD006656</t>
  </si>
  <si>
    <t>ORD006681</t>
  </si>
  <si>
    <t>ORD006686</t>
  </si>
  <si>
    <t>ORD006688</t>
  </si>
  <si>
    <t>ORD006711</t>
  </si>
  <si>
    <t>ORD006715</t>
  </si>
  <si>
    <t>ORD006726</t>
  </si>
  <si>
    <t>ORD006727</t>
  </si>
  <si>
    <t>ORD006730</t>
  </si>
  <si>
    <t>ORD006744</t>
  </si>
  <si>
    <t>ORD006745</t>
  </si>
  <si>
    <t>ORD006763</t>
  </si>
  <si>
    <t>ORD006765</t>
  </si>
  <si>
    <t>ORD006786</t>
  </si>
  <si>
    <t>ORD006790</t>
  </si>
  <si>
    <t>ORD006792</t>
  </si>
  <si>
    <t>ORD006798</t>
  </si>
  <si>
    <t>ORD006800</t>
  </si>
  <si>
    <t>ORD006807</t>
  </si>
  <si>
    <t>ORD006809</t>
  </si>
  <si>
    <t>ORD006823</t>
  </si>
  <si>
    <t>ORD006827</t>
  </si>
  <si>
    <t>ORD006828</t>
  </si>
  <si>
    <t>ORD006840</t>
  </si>
  <si>
    <t>ORD006863</t>
  </si>
  <si>
    <t>ORD006868</t>
  </si>
  <si>
    <t>ORD006874</t>
  </si>
  <si>
    <t>ORD006881</t>
  </si>
  <si>
    <t>ORD006893</t>
  </si>
  <si>
    <t>ORD006899</t>
  </si>
  <si>
    <t>ORD006907</t>
  </si>
  <si>
    <t>ORD006910</t>
  </si>
  <si>
    <t>ORD006916</t>
  </si>
  <si>
    <t>ORD006922</t>
  </si>
  <si>
    <t>ORD006934</t>
  </si>
  <si>
    <t>ORD006940</t>
  </si>
  <si>
    <t>ORD006943</t>
  </si>
  <si>
    <t>ORD006960</t>
  </si>
  <si>
    <t>ORD006963</t>
  </si>
  <si>
    <t>ORD006965</t>
  </si>
  <si>
    <t>ORD006969</t>
  </si>
  <si>
    <t>ORD006975</t>
  </si>
  <si>
    <t>ORD006978</t>
  </si>
  <si>
    <t>ORD006979</t>
  </si>
  <si>
    <t>ORD006980</t>
  </si>
  <si>
    <t>ORD007005</t>
  </si>
  <si>
    <t>ORD007007</t>
  </si>
  <si>
    <t>ORD007029</t>
  </si>
  <si>
    <t>ORD007040</t>
  </si>
  <si>
    <t>ORD007048</t>
  </si>
  <si>
    <t>ORD007049</t>
  </si>
  <si>
    <t>ORD007057</t>
  </si>
  <si>
    <t>ORD007064</t>
  </si>
  <si>
    <t>ORD007065</t>
  </si>
  <si>
    <t>ORD007067</t>
  </si>
  <si>
    <t>ORD007069</t>
  </si>
  <si>
    <t>ORD007082</t>
  </si>
  <si>
    <t>ORD007086</t>
  </si>
  <si>
    <t>ORD007087</t>
  </si>
  <si>
    <t>ORD007110</t>
  </si>
  <si>
    <t>ORD007136</t>
  </si>
  <si>
    <t>ORD007138</t>
  </si>
  <si>
    <t>ORD007142</t>
  </si>
  <si>
    <t>ORD007147</t>
  </si>
  <si>
    <t>ORD007150</t>
  </si>
  <si>
    <t>ORD007155</t>
  </si>
  <si>
    <t>ORD007158</t>
  </si>
  <si>
    <t>ORD007164</t>
  </si>
  <si>
    <t>ORD007170</t>
  </si>
  <si>
    <t>ORD007180</t>
  </si>
  <si>
    <t>ORD007189</t>
  </si>
  <si>
    <t>ORD007194</t>
  </si>
  <si>
    <t>ORD007197</t>
  </si>
  <si>
    <t>ORD007198</t>
  </si>
  <si>
    <t>ORD007230</t>
  </si>
  <si>
    <t>ORD007234</t>
  </si>
  <si>
    <t>ORD007253</t>
  </si>
  <si>
    <t>ORD007254</t>
  </si>
  <si>
    <t>ORD007265</t>
  </si>
  <si>
    <t>ORD007272</t>
  </si>
  <si>
    <t>ORD007279</t>
  </si>
  <si>
    <t>ORD007283</t>
  </si>
  <si>
    <t>ORD007291</t>
  </si>
  <si>
    <t>ORD007296</t>
  </si>
  <si>
    <t>CU0061</t>
  </si>
  <si>
    <t>CU0549</t>
  </si>
  <si>
    <t>CU0364</t>
  </si>
  <si>
    <t>CU0695</t>
  </si>
  <si>
    <t>CU0083</t>
  </si>
  <si>
    <t>CU0496</t>
  </si>
  <si>
    <t>CU0089</t>
  </si>
  <si>
    <t>CU0290</t>
  </si>
  <si>
    <t>CU0114</t>
  </si>
  <si>
    <t>CU0707</t>
  </si>
  <si>
    <t>CU0612</t>
  </si>
  <si>
    <t>CU0052</t>
  </si>
  <si>
    <t>CU0295</t>
  </si>
  <si>
    <t>CU0454</t>
  </si>
  <si>
    <t>CU0044</t>
  </si>
  <si>
    <t>CU0469</t>
  </si>
  <si>
    <t>CU0098</t>
  </si>
  <si>
    <t>CU0168</t>
  </si>
  <si>
    <t>CU0543</t>
  </si>
  <si>
    <t>CU0427</t>
  </si>
  <si>
    <t>CU0179</t>
  </si>
  <si>
    <t>CU0607</t>
  </si>
  <si>
    <t>CU0736</t>
  </si>
  <si>
    <t>CU0068</t>
  </si>
  <si>
    <t>CU0185</t>
  </si>
  <si>
    <t>CU0317</t>
  </si>
  <si>
    <t>CU0768</t>
  </si>
  <si>
    <t>CU0077</t>
  </si>
  <si>
    <t>CU0248</t>
  </si>
  <si>
    <t>CU0073</t>
  </si>
  <si>
    <t>CU0262</t>
  </si>
  <si>
    <t>CU0149</t>
  </si>
  <si>
    <t>CU0764</t>
  </si>
  <si>
    <t>CU0711</t>
  </si>
  <si>
    <t>CU0352</t>
  </si>
  <si>
    <t>CU0133</t>
  </si>
  <si>
    <t>CU0757</t>
  </si>
  <si>
    <t>CU0008</t>
  </si>
  <si>
    <t>CU0264</t>
  </si>
  <si>
    <t>CU0209</t>
  </si>
  <si>
    <t>CU0075</t>
  </si>
  <si>
    <t>CU0351</t>
  </si>
  <si>
    <t>CU0140</t>
  </si>
  <si>
    <t>CU0450</t>
  </si>
  <si>
    <t>CU0817</t>
  </si>
  <si>
    <t>CU0025</t>
  </si>
  <si>
    <t>CU0145</t>
  </si>
  <si>
    <t>CU0634</t>
  </si>
  <si>
    <t>CU0004</t>
  </si>
  <si>
    <t>CU0448</t>
  </si>
  <si>
    <t>CU0070</t>
  </si>
  <si>
    <t>CU0032</t>
  </si>
  <si>
    <t>CU0568</t>
  </si>
  <si>
    <t>CU0336</t>
  </si>
  <si>
    <t>CU0444</t>
  </si>
  <si>
    <t>CU0166</t>
  </si>
  <si>
    <t>CU0324</t>
  </si>
  <si>
    <t>CU0013</t>
  </si>
  <si>
    <t>CU0055</t>
  </si>
  <si>
    <t>CU0328</t>
  </si>
  <si>
    <t>CU0524</t>
  </si>
  <si>
    <t>CU0591</t>
  </si>
  <si>
    <t>CU0010</t>
  </si>
  <si>
    <t>CU0807</t>
  </si>
  <si>
    <t>CU0121</t>
  </si>
  <si>
    <t>CU0583</t>
  </si>
  <si>
    <t>CU0169</t>
  </si>
  <si>
    <t>CU0182</t>
  </si>
  <si>
    <t>CU0832</t>
  </si>
  <si>
    <t>CU0746</t>
  </si>
  <si>
    <t>CU0849</t>
  </si>
  <si>
    <t>CU0686</t>
  </si>
  <si>
    <t>CU0001</t>
  </si>
  <si>
    <t>CU0482</t>
  </si>
  <si>
    <t>CU0440</t>
  </si>
  <si>
    <t>CU0156</t>
  </si>
  <si>
    <t>CU0265</t>
  </si>
  <si>
    <t>CU0078</t>
  </si>
  <si>
    <t>CU0577</t>
  </si>
  <si>
    <t>CU0307</t>
  </si>
  <si>
    <t>CU0354</t>
  </si>
  <si>
    <t>CU0356</t>
  </si>
  <si>
    <t>CU0197</t>
  </si>
  <si>
    <t>CU0434</t>
  </si>
  <si>
    <t>CU0603</t>
  </si>
  <si>
    <t>CU0178</t>
  </si>
  <si>
    <t>CU0731</t>
  </si>
  <si>
    <t>CU0478</t>
  </si>
  <si>
    <t>CU0586</t>
  </si>
  <si>
    <t>CU0693</t>
  </si>
  <si>
    <t>CU0795</t>
  </si>
  <si>
    <t>CU0389</t>
  </si>
  <si>
    <t>CU0330</t>
  </si>
  <si>
    <t>CU0841</t>
  </si>
  <si>
    <t>CU0287</t>
  </si>
  <si>
    <t>CU0319</t>
  </si>
  <si>
    <t>CU0074</t>
  </si>
  <si>
    <t>CU0432</t>
  </si>
  <si>
    <t>CU0281</t>
  </si>
  <si>
    <t>CU0115</t>
  </si>
  <si>
    <t>CU0447</t>
  </si>
  <si>
    <t>CU0293</t>
  </si>
  <si>
    <t>CU0141</t>
  </si>
  <si>
    <t>CU0164</t>
  </si>
  <si>
    <t>CU0446</t>
  </si>
  <si>
    <t>CU0361</t>
  </si>
  <si>
    <t>CU0024</t>
  </si>
  <si>
    <t>CU0570</t>
  </si>
  <si>
    <t>CU0237</t>
  </si>
  <si>
    <t>CU0627</t>
  </si>
  <si>
    <t>CU0138</t>
  </si>
  <si>
    <t>CU0846</t>
  </si>
  <si>
    <t>CU0282</t>
  </si>
  <si>
    <t>CU0471</t>
  </si>
  <si>
    <t>CU0545</t>
  </si>
  <si>
    <t>CU0669</t>
  </si>
  <si>
    <t>CU0222</t>
  </si>
  <si>
    <t>CU0383</t>
  </si>
  <si>
    <t>CU0110</t>
  </si>
  <si>
    <t>CU0395</t>
  </si>
  <si>
    <t>CU0656</t>
  </si>
  <si>
    <t>CU0433</t>
  </si>
  <si>
    <t>CU0026</t>
  </si>
  <si>
    <t>CU0501</t>
  </si>
  <si>
    <t>CU0680</t>
  </si>
  <si>
    <t>CU0540</t>
  </si>
  <si>
    <t>CU0091</t>
  </si>
  <si>
    <t>CU0722</t>
  </si>
  <si>
    <t>CU0412</t>
  </si>
  <si>
    <t>CU0095</t>
  </si>
  <si>
    <t>CU0616</t>
  </si>
  <si>
    <t>CU0214</t>
  </si>
  <si>
    <t>CU0056</t>
  </si>
  <si>
    <t>CU0085</t>
  </si>
  <si>
    <t>CU0658</t>
  </si>
  <si>
    <t>CU0606</t>
  </si>
  <si>
    <t>CU0143</t>
  </si>
  <si>
    <t>CU0381</t>
  </si>
  <si>
    <t>CU0371</t>
  </si>
  <si>
    <t>CU0090</t>
  </si>
  <si>
    <t>CU0421</t>
  </si>
  <si>
    <t>CU0559</t>
  </si>
  <si>
    <t>CU0431</t>
  </si>
  <si>
    <t>CU0228</t>
  </si>
  <si>
    <t>CU0400</t>
  </si>
  <si>
    <t>CU0235</t>
  </si>
  <si>
    <t>CU0210</t>
  </si>
  <si>
    <t>CU0125</t>
  </si>
  <si>
    <t>CU0694</t>
  </si>
  <si>
    <t>CU0650</t>
  </si>
  <si>
    <t>CU0754</t>
  </si>
  <si>
    <t>CU0339</t>
  </si>
  <si>
    <t>CU0272</t>
  </si>
  <si>
    <t>CU0258</t>
  </si>
  <si>
    <t>CU0714</t>
  </si>
  <si>
    <t>CU0710</t>
  </si>
  <si>
    <t>CU0451</t>
  </si>
  <si>
    <t>CU0245</t>
  </si>
  <si>
    <t>CU0733</t>
  </si>
  <si>
    <t>CU0418</t>
  </si>
  <si>
    <t>CU0020</t>
  </si>
  <si>
    <t>CU0251</t>
  </si>
  <si>
    <t>CU0067</t>
  </si>
  <si>
    <t>CU0457</t>
  </si>
  <si>
    <t>CU0487</t>
  </si>
  <si>
    <t>CU0117</t>
  </si>
  <si>
    <t>CU0582</t>
  </si>
  <si>
    <t>CU0636</t>
  </si>
  <si>
    <t>CU0322</t>
  </si>
  <si>
    <t>CU0526</t>
  </si>
  <si>
    <t>CU0657</t>
  </si>
  <si>
    <t>CU0279</t>
  </si>
  <si>
    <t>CU0530</t>
  </si>
  <si>
    <t>CU0458</t>
  </si>
  <si>
    <t>CU0111</t>
  </si>
  <si>
    <t>CU0576</t>
  </si>
  <si>
    <t>CU0441</t>
  </si>
  <si>
    <t>CU0370</t>
  </si>
  <si>
    <t>CU0830</t>
  </si>
  <si>
    <t>CU0012</t>
  </si>
  <si>
    <t>CU0445</t>
  </si>
  <si>
    <t>CU0084</t>
  </si>
  <si>
    <t>CU0443</t>
  </si>
  <si>
    <t>CU0483</t>
  </si>
  <si>
    <t>CU0811</t>
  </si>
  <si>
    <t>CU0480</t>
  </si>
  <si>
    <t>CU0527</t>
  </si>
  <si>
    <t>CU0406</t>
  </si>
  <si>
    <t>CU0409</t>
  </si>
  <si>
    <t>CU0194</t>
  </si>
  <si>
    <t>CU0229</t>
  </si>
  <si>
    <t>CU0132</t>
  </si>
  <si>
    <t>CU0408</t>
  </si>
  <si>
    <t>CU0678</t>
  </si>
  <si>
    <t>CU0513</t>
  </si>
  <si>
    <t>CU0333</t>
  </si>
  <si>
    <t>CU0619</t>
  </si>
  <si>
    <t>CU0297</t>
  </si>
  <si>
    <t>CU0142</t>
  </si>
  <si>
    <t>CU0193</t>
  </si>
  <si>
    <t>CU0842</t>
  </si>
  <si>
    <t>CU0204</t>
  </si>
  <si>
    <t>CU0313</t>
  </si>
  <si>
    <t>CU0794</t>
  </si>
  <si>
    <t>CU0311</t>
  </si>
  <si>
    <t>CU0343</t>
  </si>
  <si>
    <t>CU0382</t>
  </si>
  <si>
    <t>CU0430</t>
  </si>
  <si>
    <t>CU0827</t>
  </si>
  <si>
    <t>CU0630</t>
  </si>
  <si>
    <t>CU0368</t>
  </si>
  <si>
    <t>CU0007</t>
  </si>
  <si>
    <t>CU0598</t>
  </si>
  <si>
    <t>CU0599</t>
  </si>
  <si>
    <t>CU0523</t>
  </si>
  <si>
    <t>CU0641</t>
  </si>
  <si>
    <t>CU0276</t>
  </si>
  <si>
    <t>CU0498</t>
  </si>
  <si>
    <t>CU0006</t>
  </si>
  <si>
    <t>CU0255</t>
  </si>
  <si>
    <t>CU0310</t>
  </si>
  <si>
    <t>CU0042</t>
  </si>
  <si>
    <t>CU0685</t>
  </si>
  <si>
    <t>CU0212</t>
  </si>
  <si>
    <t>CU0134</t>
  </si>
  <si>
    <t>CU0093</t>
  </si>
  <si>
    <t>CU0003</t>
  </si>
  <si>
    <t>CU0665</t>
  </si>
  <si>
    <t>CU0358</t>
  </si>
  <si>
    <t>CU0529</t>
  </si>
  <si>
    <t>CU0303</t>
  </si>
  <si>
    <t>CU0679</t>
  </si>
  <si>
    <t>CU0538</t>
  </si>
  <si>
    <t>CU0332</t>
  </si>
  <si>
    <t>CU0704</t>
  </si>
  <si>
    <t>CU0424</t>
  </si>
  <si>
    <t>CU0623</t>
  </si>
  <si>
    <t>CU0507</t>
  </si>
  <si>
    <t>CU0828</t>
  </si>
  <si>
    <t>CU0363</t>
  </si>
  <si>
    <t>CU0845</t>
  </si>
  <si>
    <t>CU0127</t>
  </si>
  <si>
    <t>CU0484</t>
  </si>
  <si>
    <t>CU0698</t>
  </si>
  <si>
    <t>CU0366</t>
  </si>
  <si>
    <t>CU0397</t>
  </si>
  <si>
    <t>CU0306</t>
  </si>
  <si>
    <t>CU0150</t>
  </si>
  <si>
    <t>CU0108</t>
  </si>
  <si>
    <t>CU0692</t>
  </si>
  <si>
    <t>CU0312</t>
  </si>
  <si>
    <t>CU0372</t>
  </si>
  <si>
    <t>CU0126</t>
  </si>
  <si>
    <t>CU0491</t>
  </si>
  <si>
    <t>CU0843</t>
  </si>
  <si>
    <t>CU0250</t>
  </si>
  <si>
    <t>CU0815</t>
  </si>
  <si>
    <t>CU0466</t>
  </si>
  <si>
    <t>CU0449</t>
  </si>
  <si>
    <t>CU0666</t>
  </si>
  <si>
    <t>CU0751</t>
  </si>
  <si>
    <t>CU0189</t>
  </si>
  <si>
    <t>CU0622</t>
  </si>
  <si>
    <t>CU0697</t>
  </si>
  <si>
    <t>CU0548</t>
  </si>
  <si>
    <t>CU0080</t>
  </si>
  <si>
    <t>CU0180</t>
  </si>
  <si>
    <t>CU0011</t>
  </si>
  <si>
    <t>CU0732</t>
  </si>
  <si>
    <t>CU0558</t>
  </si>
  <si>
    <t>CU0101</t>
  </si>
  <si>
    <t>CU0300</t>
  </si>
  <si>
    <t>CU0531</t>
  </si>
  <si>
    <t>CU0257</t>
  </si>
  <si>
    <t>CU0350</t>
  </si>
  <si>
    <t>CU0378</t>
  </si>
  <si>
    <t>CU0118</t>
  </si>
  <si>
    <t>CU0595</t>
  </si>
  <si>
    <t>CU0759</t>
  </si>
  <si>
    <t>CU0773</t>
  </si>
  <si>
    <t>CU0429</t>
  </si>
  <si>
    <t>CU0119</t>
  </si>
  <si>
    <t>CU0345</t>
  </si>
  <si>
    <t>CU0532</t>
  </si>
  <si>
    <t>CU0683</t>
  </si>
  <si>
    <t>CU0546</t>
  </si>
  <si>
    <t>CU0672</t>
  </si>
  <si>
    <t>CU0743</t>
  </si>
  <si>
    <t>CU0069</t>
  </si>
  <si>
    <t>CU0831</t>
  </si>
  <si>
    <t>CU0602</t>
  </si>
  <si>
    <t>CU0717</t>
  </si>
  <si>
    <t>CU0560</t>
  </si>
  <si>
    <t>CU0765</t>
  </si>
  <si>
    <t>CU0219</t>
  </si>
  <si>
    <t>CU0174</t>
  </si>
  <si>
    <t>CU0519</t>
  </si>
  <si>
    <t>CU0742</t>
  </si>
  <si>
    <t>CU0183</t>
  </si>
  <si>
    <t>CU0211</t>
  </si>
  <si>
    <t>CU0689</t>
  </si>
  <si>
    <t>CU0327</t>
  </si>
  <si>
    <t>CU0019</t>
  </si>
  <si>
    <t>CU0355</t>
  </si>
  <si>
    <t>CU0787</t>
  </si>
  <si>
    <t>CU0539</t>
  </si>
  <si>
    <t>CU0200</t>
  </si>
  <si>
    <t>CU0347</t>
  </si>
  <si>
    <t>CU0305</t>
  </si>
  <si>
    <t>CU0495</t>
  </si>
  <si>
    <t>CU0267</t>
  </si>
  <si>
    <t>CU0500</t>
  </si>
  <si>
    <t>CU0423</t>
  </si>
  <si>
    <t>CU0760</t>
  </si>
  <si>
    <t>CU0789</t>
  </si>
  <si>
    <t>CU0673</t>
  </si>
  <si>
    <t>CU0741</t>
  </si>
  <si>
    <t>CU0325</t>
  </si>
  <si>
    <t>CU0651</t>
  </si>
  <si>
    <t>CU0784</t>
  </si>
  <si>
    <t>CU0632</t>
  </si>
  <si>
    <t>CU0137</t>
  </si>
  <si>
    <t>CU0555</t>
  </si>
  <si>
    <t>CU0793</t>
  </si>
  <si>
    <t>CU0320</t>
  </si>
  <si>
    <t>CU0596</t>
  </si>
  <si>
    <t>CU0102</t>
  </si>
  <si>
    <t>CU0584</t>
  </si>
  <si>
    <t>CU0706</t>
  </si>
  <si>
    <t>CU0159</t>
  </si>
  <si>
    <t>CU0542</t>
  </si>
  <si>
    <t>CU0514</t>
  </si>
  <si>
    <t>CU0699</t>
  </si>
  <si>
    <t>CU0528</t>
  </si>
  <si>
    <t>CU0744</t>
  </si>
  <si>
    <t>CU0165</t>
  </si>
  <si>
    <t>CU0034</t>
  </si>
  <si>
    <t>CU0581</t>
  </si>
  <si>
    <t>CU0224</t>
  </si>
  <si>
    <t>CU0136</t>
  </si>
  <si>
    <t>CU0050</t>
  </si>
  <si>
    <t>CU0517</t>
  </si>
  <si>
    <t>CU0465</t>
  </si>
  <si>
    <t>CU0780</t>
  </si>
  <si>
    <t>CU0196</t>
  </si>
  <si>
    <t>CU0239</t>
  </si>
  <si>
    <t>CU0396</t>
  </si>
  <si>
    <t>CU0737</t>
  </si>
  <si>
    <t>CU0094</t>
  </si>
  <si>
    <t>CU0410</t>
  </si>
  <si>
    <t>CU0146</t>
  </si>
  <si>
    <t>CU0775</t>
  </si>
  <si>
    <t>CU0341</t>
  </si>
  <si>
    <t>CU0629</t>
  </si>
  <si>
    <t>CU0360</t>
  </si>
  <si>
    <t>CU0488</t>
  </si>
  <si>
    <t>CU0781</t>
  </si>
  <si>
    <t>CU0502</t>
  </si>
  <si>
    <t>CU0062</t>
  </si>
  <si>
    <t>CU0804</t>
  </si>
  <si>
    <t>CU0269</t>
  </si>
  <si>
    <t>CU0618</t>
  </si>
  <si>
    <t>CU0642</t>
  </si>
  <si>
    <t>CU0837</t>
  </si>
  <si>
    <t>PR0147</t>
  </si>
  <si>
    <t>PR0153</t>
  </si>
  <si>
    <t>PR0207</t>
  </si>
  <si>
    <t>PR0031</t>
  </si>
  <si>
    <t>PR0013</t>
  </si>
  <si>
    <t>PR0168</t>
  </si>
  <si>
    <t>PR0086</t>
  </si>
  <si>
    <t>PR0244</t>
  </si>
  <si>
    <t>PR0029</t>
  </si>
  <si>
    <t>PR0174</t>
  </si>
  <si>
    <t>PR0226</t>
  </si>
  <si>
    <t>PR0143</t>
  </si>
  <si>
    <t>PR0138</t>
  </si>
  <si>
    <t>PR0019</t>
  </si>
  <si>
    <t>PR0075</t>
  </si>
  <si>
    <t>PR0235</t>
  </si>
  <si>
    <t>PR0042</t>
  </si>
  <si>
    <t>PR0119</t>
  </si>
  <si>
    <t>PR0027</t>
  </si>
  <si>
    <t>PR0117</t>
  </si>
  <si>
    <t>PR0121</t>
  </si>
  <si>
    <t>PR0038</t>
  </si>
  <si>
    <t>PR0142</t>
  </si>
  <si>
    <t>PR0114</t>
  </si>
  <si>
    <t>PR0203</t>
  </si>
  <si>
    <t>PR0087</t>
  </si>
  <si>
    <t>PR0017</t>
  </si>
  <si>
    <t>PR0057</t>
  </si>
  <si>
    <t>PR0159</t>
  </si>
  <si>
    <t>PR0043</t>
  </si>
  <si>
    <t>PR0110</t>
  </si>
  <si>
    <t>PR0179</t>
  </si>
  <si>
    <t>PR0118</t>
  </si>
  <si>
    <t>PR0225</t>
  </si>
  <si>
    <t>PR0245</t>
  </si>
  <si>
    <t>PR0185</t>
  </si>
  <si>
    <t>PR0211</t>
  </si>
  <si>
    <t>PR0176</t>
  </si>
  <si>
    <t>PR0096</t>
  </si>
  <si>
    <t>PR0277</t>
  </si>
  <si>
    <t>PR0257</t>
  </si>
  <si>
    <t>PR0036</t>
  </si>
  <si>
    <t>PR0120</t>
  </si>
  <si>
    <t>PR0270</t>
  </si>
  <si>
    <t>PR0184</t>
  </si>
  <si>
    <t>PR0205</t>
  </si>
  <si>
    <t>PR0020</t>
  </si>
  <si>
    <t>PR0144</t>
  </si>
  <si>
    <t>PR0083</t>
  </si>
  <si>
    <t>PR0196</t>
  </si>
  <si>
    <t>PR0263</t>
  </si>
  <si>
    <t>PR0193</t>
  </si>
  <si>
    <t>PR0145</t>
  </si>
  <si>
    <t>PR0182</t>
  </si>
  <si>
    <t>PR0259</t>
  </si>
  <si>
    <t>PR0098</t>
  </si>
  <si>
    <t>PR0056</t>
  </si>
  <si>
    <t>PR0165</t>
  </si>
  <si>
    <t>PR0267</t>
  </si>
  <si>
    <t>PR0109</t>
  </si>
  <si>
    <t>PR0195</t>
  </si>
  <si>
    <t>PR0074</t>
  </si>
  <si>
    <t>PR0240</t>
  </si>
  <si>
    <t>PR0091</t>
  </si>
  <si>
    <t>PR0148</t>
  </si>
  <si>
    <t>PR0112</t>
  </si>
  <si>
    <t>PR0261</t>
  </si>
  <si>
    <t>PR0214</t>
  </si>
  <si>
    <t>PR0079</t>
  </si>
  <si>
    <t>PR0254</t>
  </si>
  <si>
    <t>PR0173</t>
  </si>
  <si>
    <t>PR0068</t>
  </si>
  <si>
    <t>PR0010</t>
  </si>
  <si>
    <t>PR0169</t>
  </si>
  <si>
    <t>PR0265</t>
  </si>
  <si>
    <t>PR0067</t>
  </si>
  <si>
    <t>PR0052</t>
  </si>
  <si>
    <t>PR0219</t>
  </si>
  <si>
    <t>PR0160</t>
  </si>
  <si>
    <t>PR0141</t>
  </si>
  <si>
    <t>PR0268</t>
  </si>
  <si>
    <t>PR0227</t>
  </si>
  <si>
    <t>PR0007</t>
  </si>
  <si>
    <t>PR0003</t>
  </si>
  <si>
    <t>PR0232</t>
  </si>
  <si>
    <t>PR0058</t>
  </si>
  <si>
    <t>PR0116</t>
  </si>
  <si>
    <t>PR0186</t>
  </si>
  <si>
    <t>PR0200</t>
  </si>
  <si>
    <t>PR0077</t>
  </si>
  <si>
    <t>PR0011</t>
  </si>
  <si>
    <t>PR0183</t>
  </si>
  <si>
    <t>PR0166</t>
  </si>
  <si>
    <t>PR0066</t>
  </si>
  <si>
    <t>PR0210</t>
  </si>
  <si>
    <t>PR0023</t>
  </si>
  <si>
    <t>PR0094</t>
  </si>
  <si>
    <t>PR0105</t>
  </si>
  <si>
    <t>PR0217</t>
  </si>
  <si>
    <t>PR0194</t>
  </si>
  <si>
    <t>PR0026</t>
  </si>
  <si>
    <t>PR0181</t>
  </si>
  <si>
    <t>PR0097</t>
  </si>
  <si>
    <t>PR0080</t>
  </si>
  <si>
    <t>PR0128</t>
  </si>
  <si>
    <t>PR0178</t>
  </si>
  <si>
    <t>PR0039</t>
  </si>
  <si>
    <t>PR0137</t>
  </si>
  <si>
    <t>PR0030</t>
  </si>
  <si>
    <t>PR0016</t>
  </si>
  <si>
    <t>PR0061</t>
  </si>
  <si>
    <t>PR0078</t>
  </si>
  <si>
    <t>PR0102</t>
  </si>
  <si>
    <t>PR0133</t>
  </si>
  <si>
    <t>PR0155</t>
  </si>
  <si>
    <t>PR0237</t>
  </si>
  <si>
    <t>PR0180</t>
  </si>
  <si>
    <t>PR0222</t>
  </si>
  <si>
    <t>PR0262</t>
  </si>
  <si>
    <t>PR0140</t>
  </si>
  <si>
    <t>PR0069</t>
  </si>
  <si>
    <t>PR0252</t>
  </si>
  <si>
    <t>PR0070</t>
  </si>
  <si>
    <t>PR0006</t>
  </si>
  <si>
    <t>PR0204</t>
  </si>
  <si>
    <t>PR0032</t>
  </si>
  <si>
    <t>PR0047</t>
  </si>
  <si>
    <t>PR0085</t>
  </si>
  <si>
    <t>PR0156</t>
  </si>
  <si>
    <t>PR0274</t>
  </si>
  <si>
    <t>PR0158</t>
  </si>
  <si>
    <t>PR0115</t>
  </si>
  <si>
    <t>PR0171</t>
  </si>
  <si>
    <t>PR0076</t>
  </si>
  <si>
    <t>PR0149</t>
  </si>
  <si>
    <t>PR0238</t>
  </si>
  <si>
    <t>PR0113</t>
  </si>
  <si>
    <t>PR0241</t>
  </si>
  <si>
    <t>PR0276</t>
  </si>
  <si>
    <t>PR0034</t>
  </si>
  <si>
    <t>PR0264</t>
  </si>
  <si>
    <t>PR0125</t>
  </si>
  <si>
    <t>PR0046</t>
  </si>
  <si>
    <t>PR0025</t>
  </si>
  <si>
    <t>PR0243</t>
  </si>
  <si>
    <t>PR0272</t>
  </si>
  <si>
    <t>PR0127</t>
  </si>
  <si>
    <t>PR0212</t>
  </si>
  <si>
    <t>PR0093</t>
  </si>
  <si>
    <t>ST008</t>
  </si>
  <si>
    <t>ST012</t>
  </si>
  <si>
    <t>ST015</t>
  </si>
  <si>
    <t>ST003</t>
  </si>
  <si>
    <t>ST009</t>
  </si>
  <si>
    <t>ST007</t>
  </si>
  <si>
    <t>ST004</t>
  </si>
  <si>
    <t>ST001</t>
  </si>
  <si>
    <t>ST002</t>
  </si>
  <si>
    <t>ST011</t>
  </si>
  <si>
    <t>ST006</t>
  </si>
  <si>
    <t>ST013</t>
  </si>
  <si>
    <t>ST010</t>
  </si>
  <si>
    <t>ST005</t>
  </si>
  <si>
    <t>ST014</t>
  </si>
  <si>
    <t>Cash on Delivery</t>
  </si>
  <si>
    <t>Credit Card</t>
  </si>
  <si>
    <t>Debit Card</t>
  </si>
  <si>
    <t>UPI</t>
  </si>
  <si>
    <t>Net Banking</t>
  </si>
  <si>
    <t>Standard</t>
  </si>
  <si>
    <t>Express</t>
  </si>
  <si>
    <t>Same Day</t>
  </si>
  <si>
    <t>Delivered</t>
  </si>
  <si>
    <t>Returned</t>
  </si>
  <si>
    <t>Cancelled</t>
  </si>
  <si>
    <t>customer_name</t>
  </si>
  <si>
    <t>gender</t>
  </si>
  <si>
    <t>age</t>
  </si>
  <si>
    <t>email</t>
  </si>
  <si>
    <t>city</t>
  </si>
  <si>
    <t>state</t>
  </si>
  <si>
    <t>region</t>
  </si>
  <si>
    <t>segment</t>
  </si>
  <si>
    <t>signup_date</t>
  </si>
  <si>
    <t>CU0016</t>
  </si>
  <si>
    <t>CU0023</t>
  </si>
  <si>
    <t>CU0029</t>
  </si>
  <si>
    <t>CU0030</t>
  </si>
  <si>
    <t>CU0031</t>
  </si>
  <si>
    <t>CU0040</t>
  </si>
  <si>
    <t>CU0043</t>
  </si>
  <si>
    <t>CU0045</t>
  </si>
  <si>
    <t>CU0047</t>
  </si>
  <si>
    <t>CU0051</t>
  </si>
  <si>
    <t>CU0057</t>
  </si>
  <si>
    <t>CU0058</t>
  </si>
  <si>
    <t>CU0060</t>
  </si>
  <si>
    <t>CU0064</t>
  </si>
  <si>
    <t>CU0066</t>
  </si>
  <si>
    <t>CU0071</t>
  </si>
  <si>
    <t>CU0076</t>
  </si>
  <si>
    <t>CU0079</t>
  </si>
  <si>
    <t>CU0082</t>
  </si>
  <si>
    <t>CU0087</t>
  </si>
  <si>
    <t>CU0097</t>
  </si>
  <si>
    <t>CU0105</t>
  </si>
  <si>
    <t>CU0109</t>
  </si>
  <si>
    <t>CU0154</t>
  </si>
  <si>
    <t>CU0173</t>
  </si>
  <si>
    <t>CU0175</t>
  </si>
  <si>
    <t>CU0177</t>
  </si>
  <si>
    <t>CU0186</t>
  </si>
  <si>
    <t>CU0199</t>
  </si>
  <si>
    <t>CU0205</t>
  </si>
  <si>
    <t>CU0213</t>
  </si>
  <si>
    <t>CU0216</t>
  </si>
  <si>
    <t>CU0221</t>
  </si>
  <si>
    <t>CU0223</t>
  </si>
  <si>
    <t>CU0232</t>
  </si>
  <si>
    <t>CU0236</t>
  </si>
  <si>
    <t>CU0238</t>
  </si>
  <si>
    <t>CU0240</t>
  </si>
  <si>
    <t>CU0249</t>
  </si>
  <si>
    <t>CU0260</t>
  </si>
  <si>
    <t>CU0261</t>
  </si>
  <si>
    <t>CU0266</t>
  </si>
  <si>
    <t>CU0275</t>
  </si>
  <si>
    <t>CU0278</t>
  </si>
  <si>
    <t>CU0285</t>
  </si>
  <si>
    <t>CU0286</t>
  </si>
  <si>
    <t>CU0291</t>
  </si>
  <si>
    <t>CU0292</t>
  </si>
  <si>
    <t>CU0301</t>
  </si>
  <si>
    <t>CU0308</t>
  </si>
  <si>
    <t>CU0315</t>
  </si>
  <si>
    <t>CU0321</t>
  </si>
  <si>
    <t>CU0329</t>
  </si>
  <si>
    <t>CU0334</t>
  </si>
  <si>
    <t>CU0335</t>
  </si>
  <si>
    <t>CU0337</t>
  </si>
  <si>
    <t>CU0342</t>
  </si>
  <si>
    <t>CU0353</t>
  </si>
  <si>
    <t>CU0357</t>
  </si>
  <si>
    <t>CU0362</t>
  </si>
  <si>
    <t>CU0369</t>
  </si>
  <si>
    <t>CU0376</t>
  </si>
  <si>
    <t>CU0384</t>
  </si>
  <si>
    <t>CU0391</t>
  </si>
  <si>
    <t>CU0394</t>
  </si>
  <si>
    <t>CU0399</t>
  </si>
  <si>
    <t>CU0405</t>
  </si>
  <si>
    <t>CU0413</t>
  </si>
  <si>
    <t>CU0425</t>
  </si>
  <si>
    <t>CU0426</t>
  </si>
  <si>
    <t>CU0435</t>
  </si>
  <si>
    <t>CU0437</t>
  </si>
  <si>
    <t>CU0452</t>
  </si>
  <si>
    <t>CU0463</t>
  </si>
  <si>
    <t>CU0468</t>
  </si>
  <si>
    <t>CU0479</t>
  </si>
  <si>
    <t>CU0486</t>
  </si>
  <si>
    <t>CU0494</t>
  </si>
  <si>
    <t>CU0508</t>
  </si>
  <si>
    <t>CU0515</t>
  </si>
  <si>
    <t>CU0522</t>
  </si>
  <si>
    <t>CU0534</t>
  </si>
  <si>
    <t>CU0535</t>
  </si>
  <si>
    <t>CU0536</t>
  </si>
  <si>
    <t>CU0544</t>
  </si>
  <si>
    <t>CU0550</t>
  </si>
  <si>
    <t>CU0552</t>
  </si>
  <si>
    <t>CU0553</t>
  </si>
  <si>
    <t>CU0571</t>
  </si>
  <si>
    <t>CU0580</t>
  </si>
  <si>
    <t>CU0585</t>
  </si>
  <si>
    <t>CU0587</t>
  </si>
  <si>
    <t>CU0589</t>
  </si>
  <si>
    <t>CU0590</t>
  </si>
  <si>
    <t>CU0597</t>
  </si>
  <si>
    <t>CU0600</t>
  </si>
  <si>
    <t>CU0614</t>
  </si>
  <si>
    <t>CU0617</t>
  </si>
  <si>
    <t>CU0637</t>
  </si>
  <si>
    <t>CU0638</t>
  </si>
  <si>
    <t>CU0660</t>
  </si>
  <si>
    <t>CU0661</t>
  </si>
  <si>
    <t>CU0663</t>
  </si>
  <si>
    <t>CU0667</t>
  </si>
  <si>
    <t>CU0676</t>
  </si>
  <si>
    <t>CU0688</t>
  </si>
  <si>
    <t>CU0705</t>
  </si>
  <si>
    <t>CU0712</t>
  </si>
  <si>
    <t>CU0713</t>
  </si>
  <si>
    <t>CU0716</t>
  </si>
  <si>
    <t>CU0738</t>
  </si>
  <si>
    <t>CU0750</t>
  </si>
  <si>
    <t>CU0758</t>
  </si>
  <si>
    <t>CU0763</t>
  </si>
  <si>
    <t>CU0766</t>
  </si>
  <si>
    <t>CU0769</t>
  </si>
  <si>
    <t>CU0778</t>
  </si>
  <si>
    <t>CU0785</t>
  </si>
  <si>
    <t>CU0786</t>
  </si>
  <si>
    <t>CU0791</t>
  </si>
  <si>
    <t>CU0792</t>
  </si>
  <si>
    <t>CU0797</t>
  </si>
  <si>
    <t>CU0798</t>
  </si>
  <si>
    <t>CU0799</t>
  </si>
  <si>
    <t>CU0803</t>
  </si>
  <si>
    <t>CU0809</t>
  </si>
  <si>
    <t>CU0814</t>
  </si>
  <si>
    <t>CU0816</t>
  </si>
  <si>
    <t>CU0820</t>
  </si>
  <si>
    <t>CU0826</t>
  </si>
  <si>
    <t>CU0834</t>
  </si>
  <si>
    <t>CU0835</t>
  </si>
  <si>
    <t>CU0838</t>
  </si>
  <si>
    <t>CU0840</t>
  </si>
  <si>
    <t>CU0847</t>
  </si>
  <si>
    <t>CU0850</t>
  </si>
  <si>
    <t>Vihaan Pandey</t>
  </si>
  <si>
    <t>Kavita Patel</t>
  </si>
  <si>
    <t>Sai Shetty</t>
  </si>
  <si>
    <t>Meera Nair</t>
  </si>
  <si>
    <t>Divya Gupta</t>
  </si>
  <si>
    <t>Meera Bansal</t>
  </si>
  <si>
    <t>Anika Bose</t>
  </si>
  <si>
    <t>Ira Chatterjee</t>
  </si>
  <si>
    <t>Arjun Sharma</t>
  </si>
  <si>
    <t>Meera Singh</t>
  </si>
  <si>
    <t>Ananya Chatterjee</t>
  </si>
  <si>
    <t>Ishaan Iyer</t>
  </si>
  <si>
    <t>Anjali Kumar</t>
  </si>
  <si>
    <t>Vihaan Gupta</t>
  </si>
  <si>
    <t>Navya Verma</t>
  </si>
  <si>
    <t>Ishaan Yadav</t>
  </si>
  <si>
    <t>Karan Malhotra</t>
  </si>
  <si>
    <t>Ritu Malhotra</t>
  </si>
  <si>
    <t>Aditya Rao</t>
  </si>
  <si>
    <t>Aditya Naidu</t>
  </si>
  <si>
    <t>Myra Mishra</t>
  </si>
  <si>
    <t>Rohan Ghosh</t>
  </si>
  <si>
    <t>Kiara Nair</t>
  </si>
  <si>
    <t>Navya Sen</t>
  </si>
  <si>
    <t>Sunita Das</t>
  </si>
  <si>
    <t>Anika Patel</t>
  </si>
  <si>
    <t>Anika Verma</t>
  </si>
  <si>
    <t>Pooja Singh</t>
  </si>
  <si>
    <t>Saanvi Sen</t>
  </si>
  <si>
    <t>Amit Chauhan</t>
  </si>
  <si>
    <t>Krishna Pandey</t>
  </si>
  <si>
    <t>Manish Mishra</t>
  </si>
  <si>
    <t>Ira Bose</t>
  </si>
  <si>
    <t>Ira Rao</t>
  </si>
  <si>
    <t>Ritu Chauhan</t>
  </si>
  <si>
    <t>Priya Menon</t>
  </si>
  <si>
    <t>Pari Bansal</t>
  </si>
  <si>
    <t>Amit Gupta</t>
  </si>
  <si>
    <t>Aditya Nair</t>
  </si>
  <si>
    <t>Meera Reddy</t>
  </si>
  <si>
    <t>Neha Bose</t>
  </si>
  <si>
    <t>Aarav Naidu</t>
  </si>
  <si>
    <t>Kiara Patel</t>
  </si>
  <si>
    <t>Vihaan Malhotra</t>
  </si>
  <si>
    <t>Krishna Chatterjee</t>
  </si>
  <si>
    <t>Karan Chauhan</t>
  </si>
  <si>
    <t>Anjali Chatterjee</t>
  </si>
  <si>
    <t>Priya Chatterjee</t>
  </si>
  <si>
    <t>Navya Joshi</t>
  </si>
  <si>
    <t>Myra Iyer</t>
  </si>
  <si>
    <t>Pari Nair</t>
  </si>
  <si>
    <t>Sunita Gupta</t>
  </si>
  <si>
    <t>Manish Tiwari</t>
  </si>
  <si>
    <t>Nikhil Mukherjee</t>
  </si>
  <si>
    <t>Suresh Bose</t>
  </si>
  <si>
    <t>Vivaan Shetty</t>
  </si>
  <si>
    <t>Aarav Sen</t>
  </si>
  <si>
    <t>Kiara Agarwal</t>
  </si>
  <si>
    <t>Ravi Pandey</t>
  </si>
  <si>
    <t>Ishaan Chauhan</t>
  </si>
  <si>
    <t>Ravi Kapoor</t>
  </si>
  <si>
    <t>Nikhil Patel</t>
  </si>
  <si>
    <t>Rahul Reddy</t>
  </si>
  <si>
    <t>Manish Iyer</t>
  </si>
  <si>
    <t>Vihaan Sen</t>
  </si>
  <si>
    <t>Aditya Joshi</t>
  </si>
  <si>
    <t>Vikram Patel</t>
  </si>
  <si>
    <t>Meera Mishra</t>
  </si>
  <si>
    <t>Swati Menon</t>
  </si>
  <si>
    <t>Meera Menon</t>
  </si>
  <si>
    <t>Deepak Mishra</t>
  </si>
  <si>
    <t>Amit Sharma</t>
  </si>
  <si>
    <t>Kavita Yadav</t>
  </si>
  <si>
    <t>Sunita Joshi</t>
  </si>
  <si>
    <t>Sai Iyer</t>
  </si>
  <si>
    <t>Nikhil Kapoor</t>
  </si>
  <si>
    <t>Anika Das</t>
  </si>
  <si>
    <t>Neha Chatterjee</t>
  </si>
  <si>
    <t>Kiara Bose</t>
  </si>
  <si>
    <t>Ritu Sen</t>
  </si>
  <si>
    <t>Aadhya Pandey</t>
  </si>
  <si>
    <t>Ritu Joshi</t>
  </si>
  <si>
    <t>Reyansh Pillai</t>
  </si>
  <si>
    <t>Sunita Kumar</t>
  </si>
  <si>
    <t>Karan Das</t>
  </si>
  <si>
    <t>Anika Shetty</t>
  </si>
  <si>
    <t>Arjun Bose</t>
  </si>
  <si>
    <t>Vihaan Kumar</t>
  </si>
  <si>
    <t>Suresh Chauhan</t>
  </si>
  <si>
    <t>Kiara Joshi</t>
  </si>
  <si>
    <t>Reyansh Joshi</t>
  </si>
  <si>
    <t>Anika Mishra</t>
  </si>
  <si>
    <t>Pari Tiwari</t>
  </si>
  <si>
    <t>Ritu Mishra</t>
  </si>
  <si>
    <t>Ananya Menon</t>
  </si>
  <si>
    <t>Rahul Chauhan</t>
  </si>
  <si>
    <t>Kiara Mishra</t>
  </si>
  <si>
    <t>Vivaan Joshi</t>
  </si>
  <si>
    <t>Karan Ghosh</t>
  </si>
  <si>
    <t>Ritu Mukherjee</t>
  </si>
  <si>
    <t>Ravi Pillai</t>
  </si>
  <si>
    <t>Sai Das</t>
  </si>
  <si>
    <t>Ravi Shetty</t>
  </si>
  <si>
    <t>Vihaan Reddy</t>
  </si>
  <si>
    <t>Neha Yadav</t>
  </si>
  <si>
    <t>Aadhya Iyer</t>
  </si>
  <si>
    <t>Pari Chatterjee</t>
  </si>
  <si>
    <t>Ananya Rao</t>
  </si>
  <si>
    <t>Suresh Gupta</t>
  </si>
  <si>
    <t>Rohan Agarwal</t>
  </si>
  <si>
    <t>Navya Mukherjee</t>
  </si>
  <si>
    <t>Ishaan Shetty</t>
  </si>
  <si>
    <t>Anjali Joshi</t>
  </si>
  <si>
    <t>Myra Kapoor</t>
  </si>
  <si>
    <t>Suresh Verma</t>
  </si>
  <si>
    <t>Ritu Das</t>
  </si>
  <si>
    <t>Reyansh Chatterjee</t>
  </si>
  <si>
    <t>Vivaan Verma</t>
  </si>
  <si>
    <t>Pari Sen</t>
  </si>
  <si>
    <t>Myra Bansal</t>
  </si>
  <si>
    <t>Manish Chauhan</t>
  </si>
  <si>
    <t>Nikhil Naidu</t>
  </si>
  <si>
    <t>Ritu Rao</t>
  </si>
  <si>
    <t>Anika Chatterjee</t>
  </si>
  <si>
    <t>Manish Shetty</t>
  </si>
  <si>
    <t>Manish Kapoor</t>
  </si>
  <si>
    <t>Pari Joshi</t>
  </si>
  <si>
    <t>Sandeep Nair</t>
  </si>
  <si>
    <t>Ishaan Menon</t>
  </si>
  <si>
    <t>Vikram Bansal</t>
  </si>
  <si>
    <t>Ananya Iyer</t>
  </si>
  <si>
    <t>Pari Pandey</t>
  </si>
  <si>
    <t>Nikhil Gupta</t>
  </si>
  <si>
    <t>Kiara Shetty</t>
  </si>
  <si>
    <t>Vikram Singh</t>
  </si>
  <si>
    <t>Nikhil Ghosh</t>
  </si>
  <si>
    <t>Suresh Singh</t>
  </si>
  <si>
    <t>Myra Naidu</t>
  </si>
  <si>
    <t>Neha Chauhan</t>
  </si>
  <si>
    <t>Karan Chatterjee</t>
  </si>
  <si>
    <t>Reyansh Mishra</t>
  </si>
  <si>
    <t>Krishna Shetty</t>
  </si>
  <si>
    <t>Aadhya Yadav</t>
  </si>
  <si>
    <t>Anjali Reddy</t>
  </si>
  <si>
    <t>Kiara Das</t>
  </si>
  <si>
    <t>Swati Sharma</t>
  </si>
  <si>
    <t>Rohan Kumar</t>
  </si>
  <si>
    <t>Ishaan Sharma</t>
  </si>
  <si>
    <t>Kavita Singh</t>
  </si>
  <si>
    <t>Kavita Rao</t>
  </si>
  <si>
    <t>Karan Gupta</t>
  </si>
  <si>
    <t>Rohan Gupta</t>
  </si>
  <si>
    <t>Swati Bansal</t>
  </si>
  <si>
    <t>Swati Mukherjee</t>
  </si>
  <si>
    <t>Kiara Mukherjee</t>
  </si>
  <si>
    <t>Ravi Mukherjee</t>
  </si>
  <si>
    <t>Rahul Mishra</t>
  </si>
  <si>
    <t>Vikram Menon</t>
  </si>
  <si>
    <t>Krishna Mukherjee</t>
  </si>
  <si>
    <t>Deepak Shetty</t>
  </si>
  <si>
    <t>Pooja Reddy</t>
  </si>
  <si>
    <t>Anjali Sen</t>
  </si>
  <si>
    <t>Vivaan Chauhan</t>
  </si>
  <si>
    <t>Navya Sharma</t>
  </si>
  <si>
    <t>Diya Shetty</t>
  </si>
  <si>
    <t>Vivaan Gupta</t>
  </si>
  <si>
    <t>Suresh Chatterjee</t>
  </si>
  <si>
    <t>Ira Pandey</t>
  </si>
  <si>
    <t>Meera Chauhan</t>
  </si>
  <si>
    <t>Aadhya Joshi</t>
  </si>
  <si>
    <t>Deepak Singh</t>
  </si>
  <si>
    <t>Deepak Patel</t>
  </si>
  <si>
    <t>Kiara Bansal</t>
  </si>
  <si>
    <t>Sandeep Gupta</t>
  </si>
  <si>
    <t>Aditya Mukherjee</t>
  </si>
  <si>
    <t>Meera Bose</t>
  </si>
  <si>
    <t>Pari Singh</t>
  </si>
  <si>
    <t>Vikram Gupta</t>
  </si>
  <si>
    <t>Myra Mukherjee</t>
  </si>
  <si>
    <t>Sai Bose</t>
  </si>
  <si>
    <t>Sandeep Sen</t>
  </si>
  <si>
    <t>Myra Singh</t>
  </si>
  <si>
    <t>Diya Chauhan</t>
  </si>
  <si>
    <t>Arjun Patel</t>
  </si>
  <si>
    <t>Meera Joshi</t>
  </si>
  <si>
    <t>Meera Yadav</t>
  </si>
  <si>
    <t>Sandeep Bansal</t>
  </si>
  <si>
    <t>Karan Verma</t>
  </si>
  <si>
    <t>Pari Gupta</t>
  </si>
  <si>
    <t>Diya Verma</t>
  </si>
  <si>
    <t>Karan Bansal</t>
  </si>
  <si>
    <t>Vikram Sen</t>
  </si>
  <si>
    <t>Amit Mishra</t>
  </si>
  <si>
    <t>Manish Rao</t>
  </si>
  <si>
    <t>Swati Shetty</t>
  </si>
  <si>
    <t>Ira Yadav</t>
  </si>
  <si>
    <t>Ira Malhotra</t>
  </si>
  <si>
    <t>Amit Pillai</t>
  </si>
  <si>
    <t>Kavita Gupta</t>
  </si>
  <si>
    <t>Pooja Sen</t>
  </si>
  <si>
    <t>Diya Reddy</t>
  </si>
  <si>
    <t>Kavita Verma</t>
  </si>
  <si>
    <t>Divya Kumar</t>
  </si>
  <si>
    <t>Ananya Patel</t>
  </si>
  <si>
    <t>Ananya Pandey</t>
  </si>
  <si>
    <t>Vikram Mishra</t>
  </si>
  <si>
    <t>Saanvi Menon</t>
  </si>
  <si>
    <t>Kavita Shetty</t>
  </si>
  <si>
    <t>Rohan Pillai</t>
  </si>
  <si>
    <t>Kiara Pillai</t>
  </si>
  <si>
    <t>Krishna Joshi</t>
  </si>
  <si>
    <t>Krishna Verma</t>
  </si>
  <si>
    <t>Divya Chatterjee</t>
  </si>
  <si>
    <t>Pari Mukherjee</t>
  </si>
  <si>
    <t>Vikram Iyer</t>
  </si>
  <si>
    <t>Arjun Sen</t>
  </si>
  <si>
    <t>Amit Kumar</t>
  </si>
  <si>
    <t>Nikhil Tiwari</t>
  </si>
  <si>
    <t>Nikhil Verma</t>
  </si>
  <si>
    <t>Saanvi Naidu</t>
  </si>
  <si>
    <t>Krishna Menon</t>
  </si>
  <si>
    <t>Neha Sen</t>
  </si>
  <si>
    <t>Swati Pillai</t>
  </si>
  <si>
    <t>Rahul Singh</t>
  </si>
  <si>
    <t>Pari Rao</t>
  </si>
  <si>
    <t>Vivaan Kumar</t>
  </si>
  <si>
    <t>Aditya Chauhan</t>
  </si>
  <si>
    <t>Rahul Yadav</t>
  </si>
  <si>
    <t>Anika Tiwari</t>
  </si>
  <si>
    <t>Divya Rao</t>
  </si>
  <si>
    <t>Arjun Chatterjee</t>
  </si>
  <si>
    <t>Anjali Malhotra</t>
  </si>
  <si>
    <t>Ananya Tiwari</t>
  </si>
  <si>
    <t>Diya Menon</t>
  </si>
  <si>
    <t>Krishna Reddy</t>
  </si>
  <si>
    <t>Neha Sharma</t>
  </si>
  <si>
    <t>Vikram Chatterjee</t>
  </si>
  <si>
    <t>Sai Gupta</t>
  </si>
  <si>
    <t>Meera Gupta</t>
  </si>
  <si>
    <t>Diya Joshi</t>
  </si>
  <si>
    <t>Vihaan Pillai</t>
  </si>
  <si>
    <t>Divya Malhotra</t>
  </si>
  <si>
    <t>Divya Pandey</t>
  </si>
  <si>
    <t>Meera Verma</t>
  </si>
  <si>
    <t>Meera Mukherjee</t>
  </si>
  <si>
    <t>Neha Naidu</t>
  </si>
  <si>
    <t>Ravi Rao</t>
  </si>
  <si>
    <t>Rohan Singh</t>
  </si>
  <si>
    <t>Ananya Pillai</t>
  </si>
  <si>
    <t>Pooja Chatterjee</t>
  </si>
  <si>
    <t>Swati Naidu</t>
  </si>
  <si>
    <t>Pari Malhotra</t>
  </si>
  <si>
    <t>Deepak Kumar</t>
  </si>
  <si>
    <t>Amit Malhotra</t>
  </si>
  <si>
    <t>Saanvi Chauhan</t>
  </si>
  <si>
    <t>Aditya Verma</t>
  </si>
  <si>
    <t>Rohan Chauhan</t>
  </si>
  <si>
    <t>Pooja Pillai</t>
  </si>
  <si>
    <t>Meera Rao</t>
  </si>
  <si>
    <t>Ritu Agarwal</t>
  </si>
  <si>
    <t>Divya Joshi</t>
  </si>
  <si>
    <t>Vihaan Tiwari</t>
  </si>
  <si>
    <t>Anjali Das</t>
  </si>
  <si>
    <t>Manish Das</t>
  </si>
  <si>
    <t>Anika Chauhan</t>
  </si>
  <si>
    <t>Ira Joshi</t>
  </si>
  <si>
    <t>Sunita Bose</t>
  </si>
  <si>
    <t>Rohan Rao</t>
  </si>
  <si>
    <t>Sai Sen</t>
  </si>
  <si>
    <t>Navya Ghosh</t>
  </si>
  <si>
    <t>Ishaan Singh</t>
  </si>
  <si>
    <t>Myra Nair</t>
  </si>
  <si>
    <t>Kavita Nair</t>
  </si>
  <si>
    <t>Reyansh Mukherjee</t>
  </si>
  <si>
    <t>Anjali Ghosh</t>
  </si>
  <si>
    <t>Pari Das</t>
  </si>
  <si>
    <t>Sai Yadav</t>
  </si>
  <si>
    <t>Aditya Ghosh</t>
  </si>
  <si>
    <t>Ravi Menon</t>
  </si>
  <si>
    <t>Pari Naidu</t>
  </si>
  <si>
    <t>Sunita Bansal</t>
  </si>
  <si>
    <t>Nikhil Yadav</t>
  </si>
  <si>
    <t>Aarav Pandey</t>
  </si>
  <si>
    <t>Ishaan Agarwal</t>
  </si>
  <si>
    <t>Navya Das</t>
  </si>
  <si>
    <t>Meera Sharma</t>
  </si>
  <si>
    <t>Ira Patel</t>
  </si>
  <si>
    <t>Swati Sen</t>
  </si>
  <si>
    <t>Priya Joshi</t>
  </si>
  <si>
    <t>Vivaan Bose</t>
  </si>
  <si>
    <t>Ishaan Joshi</t>
  </si>
  <si>
    <t>Suresh Sen</t>
  </si>
  <si>
    <t>Krishna Patel</t>
  </si>
  <si>
    <t>Ishaan Pandey</t>
  </si>
  <si>
    <t>Vivaan Rao</t>
  </si>
  <si>
    <t>Sunita Mukherjee</t>
  </si>
  <si>
    <t>Navya Reddy</t>
  </si>
  <si>
    <t>Arjun Singh</t>
  </si>
  <si>
    <t>Myra Pandey</t>
  </si>
  <si>
    <t>Kiara Malhotra</t>
  </si>
  <si>
    <t>Diya Yadav</t>
  </si>
  <si>
    <t>Neha Verma</t>
  </si>
  <si>
    <t>Manish Menon</t>
  </si>
  <si>
    <t>Suresh Mukherjee</t>
  </si>
  <si>
    <t>Kiara Rao</t>
  </si>
  <si>
    <t>Sai Ghosh</t>
  </si>
  <si>
    <t>Sai Malhotra</t>
  </si>
  <si>
    <t>Saanvi Pandey</t>
  </si>
  <si>
    <t>Aadhya Bose</t>
  </si>
  <si>
    <t>Sandeep Rao</t>
  </si>
  <si>
    <t>Vikram Das</t>
  </si>
  <si>
    <t>Suresh Rao</t>
  </si>
  <si>
    <t>Sandeep Patel</t>
  </si>
  <si>
    <t>Vihaan Bansal</t>
  </si>
  <si>
    <t>Arjun Pillai</t>
  </si>
  <si>
    <t>Kiara Gupta</t>
  </si>
  <si>
    <t>Divya Yadav</t>
  </si>
  <si>
    <t>Sunita Malhotra</t>
  </si>
  <si>
    <t>Kavita Pandey</t>
  </si>
  <si>
    <t>Pari Sharma</t>
  </si>
  <si>
    <t>Divya Bansal</t>
  </si>
  <si>
    <t>Navya Menon</t>
  </si>
  <si>
    <t>Meera Agarwal</t>
  </si>
  <si>
    <t>Deepak Nair</t>
  </si>
  <si>
    <t>Divya Chauhan</t>
  </si>
  <si>
    <t>Karan Agarwal</t>
  </si>
  <si>
    <t>Manish Gupta</t>
  </si>
  <si>
    <t>Myra Tiwari</t>
  </si>
  <si>
    <t>Rohan Bose</t>
  </si>
  <si>
    <t>Reyansh Gupta</t>
  </si>
  <si>
    <t>Anjali Bansal</t>
  </si>
  <si>
    <t>Sai Pandey</t>
  </si>
  <si>
    <t>Manish Patel</t>
  </si>
  <si>
    <t>Navya Agarwal</t>
  </si>
  <si>
    <t>Deepak Iyer</t>
  </si>
  <si>
    <t>Reyansh Kumar</t>
  </si>
  <si>
    <t>Amit Chatterjee</t>
  </si>
  <si>
    <t>Swati Kumar</t>
  </si>
  <si>
    <t>Ravi Das</t>
  </si>
  <si>
    <t>Neha Kapoor</t>
  </si>
  <si>
    <t>Diya Mishra</t>
  </si>
  <si>
    <t>Pari Pillai</t>
  </si>
  <si>
    <t>Suresh Mishra</t>
  </si>
  <si>
    <t>Deepak Menon</t>
  </si>
  <si>
    <t>Swati Agarwal</t>
  </si>
  <si>
    <t>Pooja Ghosh</t>
  </si>
  <si>
    <t>Amit Menon</t>
  </si>
  <si>
    <t>Reyansh Iyer</t>
  </si>
  <si>
    <t>Kavita Malhotra</t>
  </si>
  <si>
    <t>Vivaan Agarwal</t>
  </si>
  <si>
    <t>Sai Singh</t>
  </si>
  <si>
    <t>Sandeep Agarwal</t>
  </si>
  <si>
    <t>Ananya Ghosh</t>
  </si>
  <si>
    <t>Anjali Patel</t>
  </si>
  <si>
    <t>Aadhya Reddy</t>
  </si>
  <si>
    <t>Pooja Bose</t>
  </si>
  <si>
    <t>Ishaan Patel</t>
  </si>
  <si>
    <t>Divya Verma</t>
  </si>
  <si>
    <t>Neha Kumar</t>
  </si>
  <si>
    <t>Neha Patel</t>
  </si>
  <si>
    <t>Sunita Rao</t>
  </si>
  <si>
    <t>Meera Pandey</t>
  </si>
  <si>
    <t>Sunita Pillai</t>
  </si>
  <si>
    <t>Sandeep Shetty</t>
  </si>
  <si>
    <t>Pooja Naidu</t>
  </si>
  <si>
    <t>Navya Shetty</t>
  </si>
  <si>
    <t>Rohan Kapoor</t>
  </si>
  <si>
    <t>Arjun Menon</t>
  </si>
  <si>
    <t>Amit Naidu</t>
  </si>
  <si>
    <t>Nikhil Sharma</t>
  </si>
  <si>
    <t>Ananya Verma</t>
  </si>
  <si>
    <t>Karan Sharma</t>
  </si>
  <si>
    <t>Priya Gupta</t>
  </si>
  <si>
    <t>Reyansh Singh</t>
  </si>
  <si>
    <t>Karan Shetty</t>
  </si>
  <si>
    <t>Manish Sen</t>
  </si>
  <si>
    <t>Myra Malhotra</t>
  </si>
  <si>
    <t>Swati Rao</t>
  </si>
  <si>
    <t>Ira Reddy</t>
  </si>
  <si>
    <t>Arjun Bansal</t>
  </si>
  <si>
    <t>Rahul Kumar</t>
  </si>
  <si>
    <t>Ravi Bansal</t>
  </si>
  <si>
    <t>Ravi Gupta</t>
  </si>
  <si>
    <t>Rohan Malhotra</t>
  </si>
  <si>
    <t>Arjun Rao</t>
  </si>
  <si>
    <t>Myra Verma</t>
  </si>
  <si>
    <t>Aarav Patel</t>
  </si>
  <si>
    <t>Meera Patel</t>
  </si>
  <si>
    <t>Reyansh Naidu</t>
  </si>
  <si>
    <t>Aarav Nair</t>
  </si>
  <si>
    <t>Manish Ghosh</t>
  </si>
  <si>
    <t>Aditya Malhotra</t>
  </si>
  <si>
    <t>Rahul Iyer</t>
  </si>
  <si>
    <t>Krishna Bansal</t>
  </si>
  <si>
    <t>Ira Das</t>
  </si>
  <si>
    <t>Vikram Kapoor</t>
  </si>
  <si>
    <t>Myra Kumar</t>
  </si>
  <si>
    <t>Aarav Das</t>
  </si>
  <si>
    <t>Kavita Mukherjee</t>
  </si>
  <si>
    <t>Male</t>
  </si>
  <si>
    <t>Female</t>
  </si>
  <si>
    <t>vihaan.pandey843@outlook.com</t>
  </si>
  <si>
    <t>kavita.patel849@gmail.com</t>
  </si>
  <si>
    <t>sai.shetty531@gmail.com</t>
  </si>
  <si>
    <t>meera.nair339@gmail.com</t>
  </si>
  <si>
    <t>divya.gupta926@gmail.com</t>
  </si>
  <si>
    <t>meera.bansal598@gmail.com</t>
  </si>
  <si>
    <t>anika.bose477@yahoo.com</t>
  </si>
  <si>
    <t>ira.chatterjee962@yahoo.com</t>
  </si>
  <si>
    <t>arjun.sharma731@gmail.com</t>
  </si>
  <si>
    <t>meera.singh653@yahoo.com</t>
  </si>
  <si>
    <t>ananya.chatterjee976@yahoo.com</t>
  </si>
  <si>
    <t>ishaan.iyer110@yahoo.com</t>
  </si>
  <si>
    <t>anjali.kumar864@yahoo.com</t>
  </si>
  <si>
    <t>vihaan.gupta401@gmail.com</t>
  </si>
  <si>
    <t>navya.verma238@gmail.com</t>
  </si>
  <si>
    <t>ishaan.yadav852@gmail.com</t>
  </si>
  <si>
    <t>karan.malhotra397@yahoo.com</t>
  </si>
  <si>
    <t>ritu.malhotra137@yahoo.com</t>
  </si>
  <si>
    <t>aditya.rao595@yahoo.com</t>
  </si>
  <si>
    <t>aditya.naidu135@gmail.com</t>
  </si>
  <si>
    <t>myra.mishra202@gmail.com</t>
  </si>
  <si>
    <t>rohan.ghosh958@gmail.com</t>
  </si>
  <si>
    <t>kiara.nair791@gmail.com</t>
  </si>
  <si>
    <t>navya.sen814@yahoo.com</t>
  </si>
  <si>
    <t>sunita.das562@gmail.com</t>
  </si>
  <si>
    <t>anika.patel954@gmail.com</t>
  </si>
  <si>
    <t>anika.verma36@gmail.com</t>
  </si>
  <si>
    <t>pooja.singh455@gmail.com</t>
  </si>
  <si>
    <t>saanvi.sen302@gmail.com</t>
  </si>
  <si>
    <t>amit.chauhan2@yahoo.com</t>
  </si>
  <si>
    <t>krishna.pandey508@gmail.com</t>
  </si>
  <si>
    <t>manish.mishra682@gmail.com</t>
  </si>
  <si>
    <t>ira.bose929@gmail.com</t>
  </si>
  <si>
    <t>ira.rao711@gmail.com</t>
  </si>
  <si>
    <t>ritu.chauhan138@gmail.com</t>
  </si>
  <si>
    <t>priya.menon619@gmail.com</t>
  </si>
  <si>
    <t>pari.bansal590@gmail.com</t>
  </si>
  <si>
    <t>amit.gupta852@gmail.com</t>
  </si>
  <si>
    <t>aditya.nair917@gmail.com</t>
  </si>
  <si>
    <t>meera.reddy798@gmail.com</t>
  </si>
  <si>
    <t>neha.bose414@gmail.com</t>
  </si>
  <si>
    <t>aarav.naidu30@gmail.com</t>
  </si>
  <si>
    <t>kiara.patel166@yahoo.com</t>
  </si>
  <si>
    <t>vihaan.malhotra317@gmail.com</t>
  </si>
  <si>
    <t>krishna.chatterjee126@gmail.com</t>
  </si>
  <si>
    <t>karan.chauhan17@gmail.com</t>
  </si>
  <si>
    <t>anjali.chatterjee127@yahoo.com</t>
  </si>
  <si>
    <t>priya.chatterjee621@gmail.com</t>
  </si>
  <si>
    <t>navya.joshi594@gmail.com</t>
  </si>
  <si>
    <t>myra.iyer835@gmail.com</t>
  </si>
  <si>
    <t>pari.nair231@gmail.com</t>
  </si>
  <si>
    <t>sunita.gupta610@gmail.com</t>
  </si>
  <si>
    <t>manish.tiwari677@gmail.com</t>
  </si>
  <si>
    <t>nikhil.mukherjee514@yahoo.com</t>
  </si>
  <si>
    <t>suresh.bose408@yahoo.com</t>
  </si>
  <si>
    <t>vivaan.shetty682@yahoo.com</t>
  </si>
  <si>
    <t>aarav.sen200@gmail.com</t>
  </si>
  <si>
    <t>kiara.agarwal516@yahoo.com</t>
  </si>
  <si>
    <t>ravi.pandey797@gmail.com</t>
  </si>
  <si>
    <t>ishaan.chauhan743@yahoo.com</t>
  </si>
  <si>
    <t>ravi.kapoor718@gmail.com</t>
  </si>
  <si>
    <t>nikhil.patel409@yahoo.com</t>
  </si>
  <si>
    <t>rahul.reddy197@gmail.com</t>
  </si>
  <si>
    <t>manish.iyer131@gmail.com</t>
  </si>
  <si>
    <t>vihaan.sen99@yahoo.com</t>
  </si>
  <si>
    <t>aditya.joshi202@gmail.com</t>
  </si>
  <si>
    <t>meera.reddy495@gmail.com</t>
  </si>
  <si>
    <t>vikram.patel295@outlook.com</t>
  </si>
  <si>
    <t>meera.mishra97@gmail.com</t>
  </si>
  <si>
    <t>swati.menon734@gmail.com</t>
  </si>
  <si>
    <t>meera.menon405@yahoo.com</t>
  </si>
  <si>
    <t>deepak.mishra940@yahoo.com</t>
  </si>
  <si>
    <t>amit.sharma265@gmail.com</t>
  </si>
  <si>
    <t>kavita.yadav530@gmail.com</t>
  </si>
  <si>
    <t>sunita.joshi161@yahoo.com</t>
  </si>
  <si>
    <t>sai.iyer536@gmail.com</t>
  </si>
  <si>
    <t>nikhil.kapoor126@gmail.com</t>
  </si>
  <si>
    <t>amit.sharma952@gmail.com</t>
  </si>
  <si>
    <t>anika.das119@gmail.com</t>
  </si>
  <si>
    <t>neha.chatterjee919@gmail.com</t>
  </si>
  <si>
    <t>kiara.bose342@gmail.com</t>
  </si>
  <si>
    <t>ritu.sen750@gmail.com</t>
  </si>
  <si>
    <t>aadhya.pandey921@yahoo.com</t>
  </si>
  <si>
    <t>ritu.joshi659@gmail.com</t>
  </si>
  <si>
    <t>reyansh.pillai949@gmail.com</t>
  </si>
  <si>
    <t>sunita.kumar449@outlook.com</t>
  </si>
  <si>
    <t>vihaan.malhotra531@gmail.com</t>
  </si>
  <si>
    <t>ishaan.yadav946@yahoo.com</t>
  </si>
  <si>
    <t>karan.das906@gmail.com</t>
  </si>
  <si>
    <t>anika.shetty342@gmail.com</t>
  </si>
  <si>
    <t>arjun.bose126@gmail.com</t>
  </si>
  <si>
    <t>vihaan.kumar655@gmail.com</t>
  </si>
  <si>
    <t>suresh.chauhan247@gmail.com</t>
  </si>
  <si>
    <t>kiara.joshi275@gmail.com</t>
  </si>
  <si>
    <t>reyansh.joshi255@gmail.com</t>
  </si>
  <si>
    <t>anika.mishra975@gmail.com</t>
  </si>
  <si>
    <t>pari.tiwari334@outlook.com</t>
  </si>
  <si>
    <t>ritu.mishra762@gmail.com</t>
  </si>
  <si>
    <t>ananya.menon219@yahoo.com</t>
  </si>
  <si>
    <t>rahul.chauhan932@gmail.com</t>
  </si>
  <si>
    <t>kiara.mishra138@gmail.com</t>
  </si>
  <si>
    <t>vivaan.joshi884@gmail.com</t>
  </si>
  <si>
    <t>karan.ghosh552@gmail.com</t>
  </si>
  <si>
    <t>ritu.mukherjee652@yahoo.com</t>
  </si>
  <si>
    <t>ravi.pillai820@gmail.com</t>
  </si>
  <si>
    <t>sai.das748@gmail.com</t>
  </si>
  <si>
    <t>ravi.shetty892@yahoo.com</t>
  </si>
  <si>
    <t>vihaan.reddy53@gmail.com</t>
  </si>
  <si>
    <t>neha.yadav774@gmail.com</t>
  </si>
  <si>
    <t>aadhya.iyer822@gmail.com</t>
  </si>
  <si>
    <t>pari.chatterjee860@gmail.com</t>
  </si>
  <si>
    <t>ananya.rao737@yahoo.com</t>
  </si>
  <si>
    <t>suresh.gupta749@gmail.com</t>
  </si>
  <si>
    <t>rohan.agarwal86@gmail.com</t>
  </si>
  <si>
    <t>navya.mukherjee822@yahoo.com</t>
  </si>
  <si>
    <t>ishaan.shetty221@gmail.com</t>
  </si>
  <si>
    <t>karan.malhotra260@yahoo.com</t>
  </si>
  <si>
    <t>anjali.joshi561@gmail.com</t>
  </si>
  <si>
    <t>myra.kapoor676@gmail.com</t>
  </si>
  <si>
    <t>suresh.verma212@gmail.com</t>
  </si>
  <si>
    <t>rohan.agarwal476@gmail.com</t>
  </si>
  <si>
    <t>ritu.das215@gmail.com</t>
  </si>
  <si>
    <t>anika.das361@gmail.com</t>
  </si>
  <si>
    <t>sai.shetty265@gmail.com</t>
  </si>
  <si>
    <t>pari.nair526@gmail.com</t>
  </si>
  <si>
    <t>reyansh.joshi401@yahoo.com</t>
  </si>
  <si>
    <t>reyansh.chatterjee805@yahoo.com</t>
  </si>
  <si>
    <t>vivaan.verma493@gmail.com</t>
  </si>
  <si>
    <t>pari.sen397@gmail.com</t>
  </si>
  <si>
    <t>myra.bansal321@gmail.com</t>
  </si>
  <si>
    <t>manish.chauhan408@gmail.com</t>
  </si>
  <si>
    <t>nikhil.naidu461@gmail.com</t>
  </si>
  <si>
    <t>ritu.rao95@yahoo.com</t>
  </si>
  <si>
    <t>anika.chatterjee215@yahoo.com</t>
  </si>
  <si>
    <t>manish.shetty826@gmail.com</t>
  </si>
  <si>
    <t>manish.kapoor668@yahoo.com</t>
  </si>
  <si>
    <t>pari.joshi465@yahoo.com</t>
  </si>
  <si>
    <t>sandeep.nair878@gmail.com</t>
  </si>
  <si>
    <t>aditya.rao188@yahoo.com</t>
  </si>
  <si>
    <t>ishaan.menon425@gmail.com</t>
  </si>
  <si>
    <t>vikram.bansal119@yahoo.com</t>
  </si>
  <si>
    <t>ananya.iyer304@gmail.com</t>
  </si>
  <si>
    <t>pari.pandey520@gmail.com</t>
  </si>
  <si>
    <t>nikhil.gupta164@gmail.com</t>
  </si>
  <si>
    <t>kiara.shetty618@gmail.com</t>
  </si>
  <si>
    <t>vikram.singh429@gmail.com</t>
  </si>
  <si>
    <t>nikhil.ghosh935@gmail.com</t>
  </si>
  <si>
    <t>suresh.singh60@gmail.com</t>
  </si>
  <si>
    <t>aditya.rao534@gmail.com</t>
  </si>
  <si>
    <t>myra.naidu397@gmail.com</t>
  </si>
  <si>
    <t>neha.chauhan841@gmail.com</t>
  </si>
  <si>
    <t>karan.chatterjee898@yahoo.com</t>
  </si>
  <si>
    <t>reyansh.mishra456@gmail.com</t>
  </si>
  <si>
    <t>krishna.shetty779@yahoo.com</t>
  </si>
  <si>
    <t>aadhya.yadav36@gmail.com</t>
  </si>
  <si>
    <t>vivaan.verma974@gmail.com</t>
  </si>
  <si>
    <t>anjali.reddy50@gmail.com</t>
  </si>
  <si>
    <t>kiara.das195@yahoo.com</t>
  </si>
  <si>
    <t>swati.sharma625@yahoo.com</t>
  </si>
  <si>
    <t>rohan.kumar863@gmail.com</t>
  </si>
  <si>
    <t>ishaan.sharma944@yahoo.com</t>
  </si>
  <si>
    <t>kavita.singh721@yahoo.com</t>
  </si>
  <si>
    <t>kavita.rao477@gmail.com</t>
  </si>
  <si>
    <t>vivaan.verma592@gmail.com</t>
  </si>
  <si>
    <t>karan.gupta895@gmail.com</t>
  </si>
  <si>
    <t>rohan.gupta821@yahoo.com</t>
  </si>
  <si>
    <t>swati.bansal347@gmail.com</t>
  </si>
  <si>
    <t>swati.mukherjee959@gmail.com</t>
  </si>
  <si>
    <t>kiara.mukherjee199@outlook.com</t>
  </si>
  <si>
    <t>ravi.mukherjee273@yahoo.com</t>
  </si>
  <si>
    <t>rahul.mishra198@gmail.com</t>
  </si>
  <si>
    <t>vikram.menon273@gmail.com</t>
  </si>
  <si>
    <t>ritu.malhotra550@gmail.com</t>
  </si>
  <si>
    <t>krishna.mukherjee481@yahoo.com</t>
  </si>
  <si>
    <t>deepak.shetty448@gmail.com</t>
  </si>
  <si>
    <t>pooja.reddy392@yahoo.com</t>
  </si>
  <si>
    <t>anjali.sen303@gmail.com</t>
  </si>
  <si>
    <t>vivaan.chauhan888@yahoo.com</t>
  </si>
  <si>
    <t>navya.sharma81@gmail.com</t>
  </si>
  <si>
    <t>diya.shetty552@gmail.com</t>
  </si>
  <si>
    <t>vivaan.gupta872@gmail.com</t>
  </si>
  <si>
    <t>suresh.chatterjee401@gmail.com</t>
  </si>
  <si>
    <t>ira.pandey937@gmail.com</t>
  </si>
  <si>
    <t>meera.chauhan296@gmail.com</t>
  </si>
  <si>
    <t>sai.iyer833@gmail.com</t>
  </si>
  <si>
    <t>neha.chauhan176@gmail.com</t>
  </si>
  <si>
    <t>aadhya.joshi912@gmail.com</t>
  </si>
  <si>
    <t>deepak.singh813@gmail.com</t>
  </si>
  <si>
    <t>aditya.nair432@yahoo.com</t>
  </si>
  <si>
    <t>aadhya.joshi5@yahoo.com</t>
  </si>
  <si>
    <t>deepak.patel395@gmail.com</t>
  </si>
  <si>
    <t>kiara.bansal189@gmail.com</t>
  </si>
  <si>
    <t>sandeep.gupta479@gmail.com</t>
  </si>
  <si>
    <t>aditya.mukherjee690@gmail.com</t>
  </si>
  <si>
    <t>meera.bose729@gmail.com</t>
  </si>
  <si>
    <t>pari.singh468@gmail.com</t>
  </si>
  <si>
    <t>vikram.gupta802@gmail.com</t>
  </si>
  <si>
    <t>myra.mukherjee255@yahoo.com</t>
  </si>
  <si>
    <t>sai.bose225@gmail.com</t>
  </si>
  <si>
    <t>kiara.das36@gmail.com</t>
  </si>
  <si>
    <t>sandeep.sen847@gmail.com</t>
  </si>
  <si>
    <t>myra.singh866@gmail.com</t>
  </si>
  <si>
    <t>diya.chauhan759@outlook.com</t>
  </si>
  <si>
    <t>arjun.patel727@yahoo.com</t>
  </si>
  <si>
    <t>meera.joshi744@yahoo.com</t>
  </si>
  <si>
    <t>meera.yadav118@gmail.com</t>
  </si>
  <si>
    <t>karan.gupta786@gmail.com</t>
  </si>
  <si>
    <t>sandeep.bansal189@yahoo.com</t>
  </si>
  <si>
    <t>karan.verma917@gmail.com</t>
  </si>
  <si>
    <t>pari.gupta637@yahoo.com</t>
  </si>
  <si>
    <t>nikhil.kapoor787@outlook.com</t>
  </si>
  <si>
    <t>rahul.chauhan606@yahoo.com</t>
  </si>
  <si>
    <t>diya.verma864@gmail.com</t>
  </si>
  <si>
    <t>karan.bansal944@yahoo.com</t>
  </si>
  <si>
    <t>vikram.sen865@gmail.com</t>
  </si>
  <si>
    <t>amit.mishra531@gmail.com</t>
  </si>
  <si>
    <t>amit.gupta231@yahoo.com</t>
  </si>
  <si>
    <t>manish.rao635@gmail.com</t>
  </si>
  <si>
    <t>swati.shetty476@gmail.com</t>
  </si>
  <si>
    <t>ritu.mishra202@yahoo.com</t>
  </si>
  <si>
    <t>ira.yadav578@outlook.com</t>
  </si>
  <si>
    <t>ira.malhotra212@gmail.com</t>
  </si>
  <si>
    <t>amit.pillai72@gmail.com</t>
  </si>
  <si>
    <t>kavita.gupta133@gmail.com</t>
  </si>
  <si>
    <t>pooja.sen773@yahoo.com</t>
  </si>
  <si>
    <t>diya.reddy522@gmail.com</t>
  </si>
  <si>
    <t>rohan.gupta795@gmail.com</t>
  </si>
  <si>
    <t>kavita.verma685@gmail.com</t>
  </si>
  <si>
    <t>divya.kumar764@gmail.com</t>
  </si>
  <si>
    <t>ananya.patel688@gmail.com</t>
  </si>
  <si>
    <t>ananya.pandey568@gmail.com</t>
  </si>
  <si>
    <t>vikram.mishra621@gmail.com</t>
  </si>
  <si>
    <t>karan.chatterjee441@gmail.com</t>
  </si>
  <si>
    <t>saanvi.menon499@yahoo.com</t>
  </si>
  <si>
    <t>kavita.shetty468@gmail.com</t>
  </si>
  <si>
    <t>ananya.iyer181@gmail.com</t>
  </si>
  <si>
    <t>rohan.pillai1@yahoo.com</t>
  </si>
  <si>
    <t>kiara.pillai33@gmail.com</t>
  </si>
  <si>
    <t>rohan.kumar287@gmail.com</t>
  </si>
  <si>
    <t>priya.chatterjee638@yahoo.com</t>
  </si>
  <si>
    <t>krishna.joshi797@gmail.com</t>
  </si>
  <si>
    <t>krishna.verma547@gmail.com</t>
  </si>
  <si>
    <t>divya.chatterjee636@yahoo.com</t>
  </si>
  <si>
    <t>neha.chauhan331@gmail.com</t>
  </si>
  <si>
    <t>pari.mukherjee758@gmail.com</t>
  </si>
  <si>
    <t>myra.kapoor316@gmail.com</t>
  </si>
  <si>
    <t>vikram.iyer179@gmail.com</t>
  </si>
  <si>
    <t>arjun.sen150@gmail.com</t>
  </si>
  <si>
    <t>amit.kumar300@gmail.com</t>
  </si>
  <si>
    <t>amit.pillai224@gmail.com</t>
  </si>
  <si>
    <t>nikhil.tiwari710@gmail.com</t>
  </si>
  <si>
    <t>nikhil.verma711@gmail.com</t>
  </si>
  <si>
    <t>saanvi.naidu603@gmail.com</t>
  </si>
  <si>
    <t>krishna.menon969@gmail.com</t>
  </si>
  <si>
    <t>neha.sen739@yahoo.com</t>
  </si>
  <si>
    <t>swati.pillai968@gmail.com</t>
  </si>
  <si>
    <t>rahul.singh175@gmail.com</t>
  </si>
  <si>
    <t>pari.rao941@gmail.com</t>
  </si>
  <si>
    <t>deepak.patel858@yahoo.com</t>
  </si>
  <si>
    <t>karan.verma618@gmail.com</t>
  </si>
  <si>
    <t>vihaan.gupta89@gmail.com</t>
  </si>
  <si>
    <t>vikram.bansal72@yahoo.com</t>
  </si>
  <si>
    <t>vivaan.kumar335@gmail.com</t>
  </si>
  <si>
    <t>karan.verma842@yahoo.com</t>
  </si>
  <si>
    <t>vikram.sen116@gmail.com</t>
  </si>
  <si>
    <t>aditya.chauhan142@gmail.com</t>
  </si>
  <si>
    <t>vikram.sen48@gmail.com</t>
  </si>
  <si>
    <t>rahul.yadav280@gmail.com</t>
  </si>
  <si>
    <t>anika.tiwari394@gmail.com</t>
  </si>
  <si>
    <t>divya.rao530@gmail.com</t>
  </si>
  <si>
    <t>arjun.chatterjee101@yahoo.com</t>
  </si>
  <si>
    <t>karan.gupta601@gmail.com</t>
  </si>
  <si>
    <t>rahul.mishra786@outlook.com</t>
  </si>
  <si>
    <t>anjali.malhotra43@gmail.com</t>
  </si>
  <si>
    <t>ananya.tiwari147@yahoo.com</t>
  </si>
  <si>
    <t>diya.menon452@gmail.com</t>
  </si>
  <si>
    <t>krishna.reddy479@gmail.com</t>
  </si>
  <si>
    <t>neha.sharma131@gmail.com</t>
  </si>
  <si>
    <t>vikram.chatterjee91@yahoo.com</t>
  </si>
  <si>
    <t>sai.gupta970@gmail.com</t>
  </si>
  <si>
    <t>meera.gupta854@gmail.com</t>
  </si>
  <si>
    <t>diya.joshi679@gmail.com</t>
  </si>
  <si>
    <t>vihaan.pillai263@gmail.com</t>
  </si>
  <si>
    <t>divya.malhotra746@outlook.com</t>
  </si>
  <si>
    <t>divya.pandey341@gmail.com</t>
  </si>
  <si>
    <t>meera.verma533@gmail.com</t>
  </si>
  <si>
    <t>meera.mukherjee40@gmail.com</t>
  </si>
  <si>
    <t>neha.naidu274@gmail.com</t>
  </si>
  <si>
    <t>ravi.rao328@gmail.com</t>
  </si>
  <si>
    <t>rohan.singh769@gmail.com</t>
  </si>
  <si>
    <t>manish.shetty856@gmail.com</t>
  </si>
  <si>
    <t>ananya.pillai414@gmail.com</t>
  </si>
  <si>
    <t>pooja.chatterjee878@yahoo.com</t>
  </si>
  <si>
    <t>neha.sharma328@gmail.com</t>
  </si>
  <si>
    <t>pooja.chatterjee257@gmail.com</t>
  </si>
  <si>
    <t>swati.naidu823@yahoo.com</t>
  </si>
  <si>
    <t>pari.malhotra966@gmail.com</t>
  </si>
  <si>
    <t>deepak.kumar526@yahoo.com</t>
  </si>
  <si>
    <t>pari.gupta597@gmail.com</t>
  </si>
  <si>
    <t>amit.malhotra323@yahoo.com</t>
  </si>
  <si>
    <t>saanvi.chauhan156@yahoo.com</t>
  </si>
  <si>
    <t>aditya.verma871@yahoo.com</t>
  </si>
  <si>
    <t>rohan.chauhan355@gmail.com</t>
  </si>
  <si>
    <t>divya.pandey704@gmail.com</t>
  </si>
  <si>
    <t>pooja.pillai653@gmail.com</t>
  </si>
  <si>
    <t>meera.rao94@outlook.com</t>
  </si>
  <si>
    <t>ritu.agarwal388@gmail.com</t>
  </si>
  <si>
    <t>divya.joshi771@gmail.com</t>
  </si>
  <si>
    <t>vihaan.tiwari722@gmail.com</t>
  </si>
  <si>
    <t>anjali.das612@outlook.com</t>
  </si>
  <si>
    <t>manish.das37@gmail.com</t>
  </si>
  <si>
    <t>anika.chauhan188@yahoo.com</t>
  </si>
  <si>
    <t>ira.joshi292@yahoo.com</t>
  </si>
  <si>
    <t>sunita.bose729@yahoo.com</t>
  </si>
  <si>
    <t>rohan.rao486@gmail.com</t>
  </si>
  <si>
    <t>sai.sen521@gmail.com</t>
  </si>
  <si>
    <t>navya.ghosh384@gmail.com</t>
  </si>
  <si>
    <t>ishaan.singh287@yahoo.com</t>
  </si>
  <si>
    <t>myra.nair918@gmail.com</t>
  </si>
  <si>
    <t>kavita.nair403@gmail.com</t>
  </si>
  <si>
    <t>reyansh.mukherjee985@gmail.com</t>
  </si>
  <si>
    <t>reyansh.mishra573@gmail.com</t>
  </si>
  <si>
    <t>anjali.ghosh376@gmail.com</t>
  </si>
  <si>
    <t>pari.das567@gmail.com</t>
  </si>
  <si>
    <t>sai.yadav69@gmail.com</t>
  </si>
  <si>
    <t>aditya.ghosh723@yahoo.com</t>
  </si>
  <si>
    <t>ravi.menon852@gmail.com</t>
  </si>
  <si>
    <t>pari.naidu426@gmail.com</t>
  </si>
  <si>
    <t>meera.chauhan500@gmail.com</t>
  </si>
  <si>
    <t>sunita.bansal885@gmail.com</t>
  </si>
  <si>
    <t>ishaan.shetty263@gmail.com</t>
  </si>
  <si>
    <t>saanvi.menon521@gmail.com</t>
  </si>
  <si>
    <t>nikhil.yadav305@gmail.com</t>
  </si>
  <si>
    <t>aarav.pandey150@gmail.com</t>
  </si>
  <si>
    <t>ravi.pillai151@gmail.com</t>
  </si>
  <si>
    <t>sai.bose761@gmail.com</t>
  </si>
  <si>
    <t>ishaan.agarwal747@gmail.com</t>
  </si>
  <si>
    <t>navya.das594@gmail.com</t>
  </si>
  <si>
    <t>meera.sharma190@gmail.com</t>
  </si>
  <si>
    <t>ira.patel805@gmail.com</t>
  </si>
  <si>
    <t>ishaan.agarwal487@gmail.com</t>
  </si>
  <si>
    <t>swati.sen527@yahoo.com</t>
  </si>
  <si>
    <t>priya.joshi198@gmail.com</t>
  </si>
  <si>
    <t>pooja.chatterjee404@gmail.com</t>
  </si>
  <si>
    <t>anjali.chatterjee789@gmail.com</t>
  </si>
  <si>
    <t>vivaan.bose273@yahoo.com</t>
  </si>
  <si>
    <t>ishaan.joshi368@gmail.com</t>
  </si>
  <si>
    <t>suresh.sen193@yahoo.com</t>
  </si>
  <si>
    <t>krishna.patel111@yahoo.com</t>
  </si>
  <si>
    <t>ishaan.pandey51@yahoo.com</t>
  </si>
  <si>
    <t>vivaan.rao552@yahoo.com</t>
  </si>
  <si>
    <t>sunita.mukherjee34@yahoo.com</t>
  </si>
  <si>
    <t>kiara.nair277@outlook.com</t>
  </si>
  <si>
    <t>navya.reddy532@gmail.com</t>
  </si>
  <si>
    <t>suresh.chauhan419@gmail.com</t>
  </si>
  <si>
    <t>arjun.singh233@gmail.com</t>
  </si>
  <si>
    <t>myra.pandey163@gmail.com</t>
  </si>
  <si>
    <t>kiara.malhotra625@gmail.com</t>
  </si>
  <si>
    <t>vihaan.kumar912@yahoo.com</t>
  </si>
  <si>
    <t>kavita.nair509@gmail.com</t>
  </si>
  <si>
    <t>vihaan.malhotra340@yahoo.com</t>
  </si>
  <si>
    <t>diya.yadav320@gmail.com</t>
  </si>
  <si>
    <t>neha.verma499@yahoo.com</t>
  </si>
  <si>
    <t>manish.menon692@gmail.com</t>
  </si>
  <si>
    <t>suresh.mukherjee463@gmail.com</t>
  </si>
  <si>
    <t>kiara.rao603@gmail.com</t>
  </si>
  <si>
    <t>nikhil.ghosh100@yahoo.com</t>
  </si>
  <si>
    <t>sai.ghosh925@yahoo.com</t>
  </si>
  <si>
    <t>sai.malhotra195@gmail.com</t>
  </si>
  <si>
    <t>saanvi.pandey667@yahoo.com</t>
  </si>
  <si>
    <t>aadhya.bose665@yahoo.com</t>
  </si>
  <si>
    <t>sandeep.rao494@yahoo.com</t>
  </si>
  <si>
    <t>neha.chatterjee901@yahoo.com</t>
  </si>
  <si>
    <t>priya.joshi930@gmail.com</t>
  </si>
  <si>
    <t>vikram.das560@gmail.com</t>
  </si>
  <si>
    <t>suresh.rao428@gmail.com</t>
  </si>
  <si>
    <t>kiara.bose822@yahoo.com</t>
  </si>
  <si>
    <t>sandeep.patel813@gmail.com</t>
  </si>
  <si>
    <t>vihaan.bansal106@yahoo.com</t>
  </si>
  <si>
    <t>arjun.pillai394@gmail.com</t>
  </si>
  <si>
    <t>kiara.gupta574@gmail.com</t>
  </si>
  <si>
    <t>divya.yadav581@gmail.com</t>
  </si>
  <si>
    <t>sunita.malhotra799@gmail.com</t>
  </si>
  <si>
    <t>kavita.pandey582@yahoo.com</t>
  </si>
  <si>
    <t>pari.sharma671@gmail.com</t>
  </si>
  <si>
    <t>divya.bansal393@gmail.com</t>
  </si>
  <si>
    <t>navya.menon532@yahoo.com</t>
  </si>
  <si>
    <t>aditya.nair299@gmail.com</t>
  </si>
  <si>
    <t>meera.agarwal272@gmail.com</t>
  </si>
  <si>
    <t>meera.nair225@yahoo.com</t>
  </si>
  <si>
    <t>manish.mishra881@yahoo.com</t>
  </si>
  <si>
    <t>ishaan.menon673@gmail.com</t>
  </si>
  <si>
    <t>deepak.nair73@gmail.com</t>
  </si>
  <si>
    <t>divya.chauhan674@yahoo.com</t>
  </si>
  <si>
    <t>karan.agarwal753@gmail.com</t>
  </si>
  <si>
    <t>manish.gupta117@gmail.com</t>
  </si>
  <si>
    <t>myra.tiwari351@gmail.com</t>
  </si>
  <si>
    <t>rohan.bose686@yahoo.com</t>
  </si>
  <si>
    <t>reyansh.gupta845@gmail.com</t>
  </si>
  <si>
    <t>anjali.bansal119@gmail.com</t>
  </si>
  <si>
    <t>sai.sen730@gmail.com</t>
  </si>
  <si>
    <t>sai.pandey596@yahoo.com</t>
  </si>
  <si>
    <t>manish.patel738@gmail.com</t>
  </si>
  <si>
    <t>navya.agarwal811@gmail.com</t>
  </si>
  <si>
    <t>deepak.iyer451@yahoo.com</t>
  </si>
  <si>
    <t>reyansh.kumar438@gmail.com</t>
  </si>
  <si>
    <t>amit.chatterjee766@gmail.com</t>
  </si>
  <si>
    <t>swati.kumar431@gmail.com</t>
  </si>
  <si>
    <t>ravi.das431@gmail.com</t>
  </si>
  <si>
    <t>neha.kapoor525@gmail.com</t>
  </si>
  <si>
    <t>diya.mishra621@gmail.com</t>
  </si>
  <si>
    <t>nikhil.tiwari250@gmail.com</t>
  </si>
  <si>
    <t>pari.pillai275@gmail.com</t>
  </si>
  <si>
    <t>suresh.mishra1@gmail.com</t>
  </si>
  <si>
    <t>deepak.menon222@yahoo.com</t>
  </si>
  <si>
    <t>swati.agarwal127@yahoo.com</t>
  </si>
  <si>
    <t>pooja.ghosh610@gmail.com</t>
  </si>
  <si>
    <t>meera.yadav703@gmail.com</t>
  </si>
  <si>
    <t>amit.menon673@gmail.com</t>
  </si>
  <si>
    <t>reyansh.iyer244@gmail.com</t>
  </si>
  <si>
    <t>kavita.malhotra708@gmail.com</t>
  </si>
  <si>
    <t>vivaan.agarwal365@gmail.com</t>
  </si>
  <si>
    <t>sai.singh208@yahoo.com</t>
  </si>
  <si>
    <t>amit.chatterjee471@gmail.com</t>
  </si>
  <si>
    <t>sandeep.agarwal245@yahoo.com</t>
  </si>
  <si>
    <t>karan.das814@gmail.com</t>
  </si>
  <si>
    <t>ananya.ghosh874@yahoo.com</t>
  </si>
  <si>
    <t>anjali.patel912@gmail.com</t>
  </si>
  <si>
    <t>aadhya.reddy183@gmail.com</t>
  </si>
  <si>
    <t>krishna.patel978@yahoo.com</t>
  </si>
  <si>
    <t>pooja.bose245@gmail.com</t>
  </si>
  <si>
    <t>meera.bose773@gmail.com</t>
  </si>
  <si>
    <t>ishaan.patel279@yahoo.com</t>
  </si>
  <si>
    <t>divya.verma326@yahoo.com</t>
  </si>
  <si>
    <t>neha.kumar570@gmail.com</t>
  </si>
  <si>
    <t>neha.patel254@yahoo.com</t>
  </si>
  <si>
    <t>kiara.rao617@gmail.com</t>
  </si>
  <si>
    <t>sunita.rao635@yahoo.com</t>
  </si>
  <si>
    <t>meera.pandey447@gmail.com</t>
  </si>
  <si>
    <t>sunita.pillai648@gmail.com</t>
  </si>
  <si>
    <t>sandeep.shetty446@gmail.com</t>
  </si>
  <si>
    <t>krishna.joshi731@gmail.com</t>
  </si>
  <si>
    <t>ishaan.menon608@gmail.com</t>
  </si>
  <si>
    <t>pari.rao546@outlook.com</t>
  </si>
  <si>
    <t>pooja.naidu849@gmail.com</t>
  </si>
  <si>
    <t>ishaan.joshi48@gmail.com</t>
  </si>
  <si>
    <t>navya.shetty258@yahoo.com</t>
  </si>
  <si>
    <t>rohan.kapoor187@gmail.com</t>
  </si>
  <si>
    <t>suresh.bose255@gmail.com</t>
  </si>
  <si>
    <t>sai.bose451@gmail.com</t>
  </si>
  <si>
    <t>vikram.chatterjee672@gmail.com</t>
  </si>
  <si>
    <t>nikhil.yadav454@gmail.com</t>
  </si>
  <si>
    <t>arjun.menon541@gmail.com</t>
  </si>
  <si>
    <t>amit.naidu303@yahoo.com</t>
  </si>
  <si>
    <t>nikhil.sharma857@gmail.com</t>
  </si>
  <si>
    <t>ira.patel57@gmail.com</t>
  </si>
  <si>
    <t>ananya.verma714@gmail.com</t>
  </si>
  <si>
    <t>kiara.mukherjee96@gmail.com</t>
  </si>
  <si>
    <t>karan.sharma41@gmail.com</t>
  </si>
  <si>
    <t>krishna.shetty5@yahoo.com</t>
  </si>
  <si>
    <t>priya.gupta491@gmail.com</t>
  </si>
  <si>
    <t>reyansh.singh81@yahoo.com</t>
  </si>
  <si>
    <t>ishaan.yadav553@gmail.com</t>
  </si>
  <si>
    <t>ananya.chatterjee154@outlook.com</t>
  </si>
  <si>
    <t>rohan.ghosh915@yahoo.com</t>
  </si>
  <si>
    <t>karan.shetty4@gmail.com</t>
  </si>
  <si>
    <t>reyansh.kumar96@yahoo.com</t>
  </si>
  <si>
    <t>manish.sen590@yahoo.com</t>
  </si>
  <si>
    <t>myra.malhotra274@yahoo.com</t>
  </si>
  <si>
    <t>swati.rao139@gmail.com</t>
  </si>
  <si>
    <t>ira.reddy195@gmail.com</t>
  </si>
  <si>
    <t>arjun.bansal322@gmail.com</t>
  </si>
  <si>
    <t>rahul.kumar918@gmail.com</t>
  </si>
  <si>
    <t>arjun.sharma271@gmail.com</t>
  </si>
  <si>
    <t>ravi.bansal565@gmail.com</t>
  </si>
  <si>
    <t>ravi.gupta339@gmail.com</t>
  </si>
  <si>
    <t>rohan.malhotra709@yahoo.com</t>
  </si>
  <si>
    <t>arjun.rao533@gmail.com</t>
  </si>
  <si>
    <t>myra.verma664@gmail.com</t>
  </si>
  <si>
    <t>deepak.singh95@gmail.com</t>
  </si>
  <si>
    <t>aarav.patel491@yahoo.com</t>
  </si>
  <si>
    <t>pooja.sen616@gmail.com</t>
  </si>
  <si>
    <t>meera.patel736@gmail.com</t>
  </si>
  <si>
    <t>reyansh.naidu311@gmail.com</t>
  </si>
  <si>
    <t>aarav.nair846@yahoo.com</t>
  </si>
  <si>
    <t>manish.ghosh223@gmail.com</t>
  </si>
  <si>
    <t>aditya.malhotra27@gmail.com</t>
  </si>
  <si>
    <t>rahul.iyer520@yahoo.com</t>
  </si>
  <si>
    <t>krishna.bansal104@gmail.com</t>
  </si>
  <si>
    <t>ravi.gupta33@gmail.com</t>
  </si>
  <si>
    <t>ira.das329@gmail.com</t>
  </si>
  <si>
    <t>ira.pandey666@gmail.com</t>
  </si>
  <si>
    <t>vikram.kapoor584@gmail.com</t>
  </si>
  <si>
    <t>saanvi.pandey330@gmail.com</t>
  </si>
  <si>
    <t>myra.kumar135@yahoo.com</t>
  </si>
  <si>
    <t>aarav.das424@yahoo.com</t>
  </si>
  <si>
    <t>manish.shetty953@outlook.com</t>
  </si>
  <si>
    <t>kavita.nair556@gmail.com</t>
  </si>
  <si>
    <t>aditya.ghosh268@gmail.com</t>
  </si>
  <si>
    <t>kavita.mukherjee973@outlook.com</t>
  </si>
  <si>
    <t>Bengaluru</t>
  </si>
  <si>
    <t>Pune</t>
  </si>
  <si>
    <t>Jaipur</t>
  </si>
  <si>
    <t>Surat</t>
  </si>
  <si>
    <t>Kochi</t>
  </si>
  <si>
    <t>Gurgaon</t>
  </si>
  <si>
    <t>Nagpur</t>
  </si>
  <si>
    <t>Ahmedabad</t>
  </si>
  <si>
    <t>Chandigarh</t>
  </si>
  <si>
    <t>Delhi</t>
  </si>
  <si>
    <t>Patna</t>
  </si>
  <si>
    <t>Visakhapatnam</t>
  </si>
  <si>
    <t>Mumbai</t>
  </si>
  <si>
    <t>Guwahati</t>
  </si>
  <si>
    <t>Chennai</t>
  </si>
  <si>
    <t>Kolkata</t>
  </si>
  <si>
    <t>Hyderabad</t>
  </si>
  <si>
    <t>Bhubaneswar</t>
  </si>
  <si>
    <t>Lucknow</t>
  </si>
  <si>
    <t>Ranchi</t>
  </si>
  <si>
    <t>Indore</t>
  </si>
  <si>
    <t>Bhopal</t>
  </si>
  <si>
    <t>Coimbatore</t>
  </si>
  <si>
    <t>Karnataka</t>
  </si>
  <si>
    <t>Maharashtra</t>
  </si>
  <si>
    <t>Rajasthan</t>
  </si>
  <si>
    <t>Gujarat</t>
  </si>
  <si>
    <t>Kerala</t>
  </si>
  <si>
    <t>Haryana</t>
  </si>
  <si>
    <t>Bihar</t>
  </si>
  <si>
    <t>Andhra Pradesh</t>
  </si>
  <si>
    <t>Assam</t>
  </si>
  <si>
    <t>Tamil Nadu</t>
  </si>
  <si>
    <t>West Bengal</t>
  </si>
  <si>
    <t>Telangana</t>
  </si>
  <si>
    <t>Odisha</t>
  </si>
  <si>
    <t>Uttar Pradesh</t>
  </si>
  <si>
    <t>Jharkhand</t>
  </si>
  <si>
    <t>MADHYA PRADESH</t>
  </si>
  <si>
    <t>WEST BENGAL</t>
  </si>
  <si>
    <t>Madhya Pradesh</t>
  </si>
  <si>
    <t>BIHAR</t>
  </si>
  <si>
    <t>MAHARASHTRA</t>
  </si>
  <si>
    <t>UTTAR PRADESH</t>
  </si>
  <si>
    <t>JHARKHAND</t>
  </si>
  <si>
    <t>ASSAM</t>
  </si>
  <si>
    <t>RAJASTHAN</t>
  </si>
  <si>
    <t>KERALA</t>
  </si>
  <si>
    <t>ANDHRA PRADESH</t>
  </si>
  <si>
    <t>CHANDIGARH</t>
  </si>
  <si>
    <t>TELANGANA</t>
  </si>
  <si>
    <t>South</t>
  </si>
  <si>
    <t>West</t>
  </si>
  <si>
    <t>North</t>
  </si>
  <si>
    <t>East</t>
  </si>
  <si>
    <t>Central</t>
  </si>
  <si>
    <t>Consumer</t>
  </si>
  <si>
    <t>Home Office</t>
  </si>
  <si>
    <t>Corporate</t>
  </si>
  <si>
    <t>product_name</t>
  </si>
  <si>
    <t>category</t>
  </si>
  <si>
    <t>sub_category</t>
  </si>
  <si>
    <t>cost_price</t>
  </si>
  <si>
    <t>list_price</t>
  </si>
  <si>
    <t>PR0126</t>
  </si>
  <si>
    <t>Essential Mobile</t>
  </si>
  <si>
    <t>Pro Mobile</t>
  </si>
  <si>
    <t>Classic Laptop</t>
  </si>
  <si>
    <t>Everyday Laptop</t>
  </si>
  <si>
    <t>Smart Laptop</t>
  </si>
  <si>
    <t>Premium Laptop</t>
  </si>
  <si>
    <t>Deluxe Laptop</t>
  </si>
  <si>
    <t>Signature Headphone</t>
  </si>
  <si>
    <t>Premium Headphone</t>
  </si>
  <si>
    <t>Smart Headphone</t>
  </si>
  <si>
    <t>Eco Headphone</t>
  </si>
  <si>
    <t>Everyday Headphone</t>
  </si>
  <si>
    <t>Essential Headphone</t>
  </si>
  <si>
    <t>Pro Smartwatche</t>
  </si>
  <si>
    <t>Smart Smartwatche</t>
  </si>
  <si>
    <t>Compact Smartwatche</t>
  </si>
  <si>
    <t>Essential Smartwatche</t>
  </si>
  <si>
    <t>Deluxe Smartwatche</t>
  </si>
  <si>
    <t>Classic Camera</t>
  </si>
  <si>
    <t>Smart Camera</t>
  </si>
  <si>
    <t>Everyday Camera</t>
  </si>
  <si>
    <t>Essential Camera</t>
  </si>
  <si>
    <t>Signature Camera</t>
  </si>
  <si>
    <t>Classic Tablet</t>
  </si>
  <si>
    <t>Everyday Tablet</t>
  </si>
  <si>
    <t>Premium Tablet</t>
  </si>
  <si>
    <t>Deluxe Chair</t>
  </si>
  <si>
    <t>Compact Table</t>
  </si>
  <si>
    <t>Pro Table</t>
  </si>
  <si>
    <t>Deluxe Table</t>
  </si>
  <si>
    <t>Signature Laptop</t>
  </si>
  <si>
    <t>Signature Table</t>
  </si>
  <si>
    <t>Deluxe Bookcase</t>
  </si>
  <si>
    <t>Pro Bookcase</t>
  </si>
  <si>
    <t>Eco Bookcase</t>
  </si>
  <si>
    <t>Smart Bookcase</t>
  </si>
  <si>
    <t>Essential Bookcase</t>
  </si>
  <si>
    <t>Compact Sofa</t>
  </si>
  <si>
    <t>Deluxe Sofa</t>
  </si>
  <si>
    <t>Premium Sofa</t>
  </si>
  <si>
    <t>Deluxe Bed</t>
  </si>
  <si>
    <t>Compact Bed</t>
  </si>
  <si>
    <t>Smart Storage Unit</t>
  </si>
  <si>
    <t>Eco Storage Unit</t>
  </si>
  <si>
    <t>Pro Storage Unit</t>
  </si>
  <si>
    <t>Signature Storage Unit</t>
  </si>
  <si>
    <t>Everyday Storage Unit</t>
  </si>
  <si>
    <t>Compact Men's Wear</t>
  </si>
  <si>
    <t>Deluxe Men's Wear</t>
  </si>
  <si>
    <t>Signature Men's Wear</t>
  </si>
  <si>
    <t>Eco Men's Wear</t>
  </si>
  <si>
    <t>Classic Men's Wear</t>
  </si>
  <si>
    <t>Premium Men's Wear</t>
  </si>
  <si>
    <t>Classic Women's Wear</t>
  </si>
  <si>
    <t>Pro Women's Wear</t>
  </si>
  <si>
    <t>Smart Women's Wear</t>
  </si>
  <si>
    <t>Everyday Women's Wear</t>
  </si>
  <si>
    <t>Eco Women's Wear</t>
  </si>
  <si>
    <t>Signature Women's Wear</t>
  </si>
  <si>
    <t>Essential Kids Wear</t>
  </si>
  <si>
    <t>Signature Kids Wear</t>
  </si>
  <si>
    <t>Compact Kids Wear</t>
  </si>
  <si>
    <t>Pro Footwear</t>
  </si>
  <si>
    <t>Eco Footwear</t>
  </si>
  <si>
    <t>Essential Footwear</t>
  </si>
  <si>
    <t>Signature Footwear</t>
  </si>
  <si>
    <t>Classic Accessorie</t>
  </si>
  <si>
    <t>Essential Accessorie</t>
  </si>
  <si>
    <t>Deluxe Accessorie</t>
  </si>
  <si>
    <t>Pro Accessorie</t>
  </si>
  <si>
    <t>Signature Accessorie</t>
  </si>
  <si>
    <t>Everyday Staple</t>
  </si>
  <si>
    <t>Compact Staple</t>
  </si>
  <si>
    <t>Premium Staple</t>
  </si>
  <si>
    <t>Classic Staple</t>
  </si>
  <si>
    <t>Classic Snack</t>
  </si>
  <si>
    <t>Eco Snack</t>
  </si>
  <si>
    <t>Pro Snack</t>
  </si>
  <si>
    <t>Signature Snack</t>
  </si>
  <si>
    <t>Essential Beverage</t>
  </si>
  <si>
    <t>Everyday Beverage</t>
  </si>
  <si>
    <t>Smart Beverage</t>
  </si>
  <si>
    <t>Deluxe Beverage</t>
  </si>
  <si>
    <t>Signature Beverage</t>
  </si>
  <si>
    <t>Compact Beverage</t>
  </si>
  <si>
    <t>Eco Dairy</t>
  </si>
  <si>
    <t>Compact Personal Care</t>
  </si>
  <si>
    <t>Premium Personal Care</t>
  </si>
  <si>
    <t>Everyday Personal Care</t>
  </si>
  <si>
    <t>Signature Personal Care</t>
  </si>
  <si>
    <t>Deluxe Notebook</t>
  </si>
  <si>
    <t>Classic Notebook</t>
  </si>
  <si>
    <t>Premium Notebook</t>
  </si>
  <si>
    <t>Essential Notebook</t>
  </si>
  <si>
    <t>Eco Notebook</t>
  </si>
  <si>
    <t>Deluxe Pens &amp; Pencil</t>
  </si>
  <si>
    <t>Pro Pens &amp; Pencil</t>
  </si>
  <si>
    <t>Eco Pens &amp; Pencil</t>
  </si>
  <si>
    <t>Classic Pens &amp; Pencil</t>
  </si>
  <si>
    <t>Compact Office Supplie</t>
  </si>
  <si>
    <t>Smart Office Supplie</t>
  </si>
  <si>
    <t>Smart Art Supplie</t>
  </si>
  <si>
    <t>Deluxe Art Supplie</t>
  </si>
  <si>
    <t>Signature Art Supplie</t>
  </si>
  <si>
    <t>Pro Art Supplie</t>
  </si>
  <si>
    <t>Essential Cookware</t>
  </si>
  <si>
    <t>Eco Cookware</t>
  </si>
  <si>
    <t>Deluxe Cookware</t>
  </si>
  <si>
    <t>Premium Storage</t>
  </si>
  <si>
    <t>Deluxe Storage</t>
  </si>
  <si>
    <t>Eco Storage</t>
  </si>
  <si>
    <t>Deluxe Appliance</t>
  </si>
  <si>
    <t>Premium Appliance</t>
  </si>
  <si>
    <t>Pro Appliance</t>
  </si>
  <si>
    <t>Smart Appliance</t>
  </si>
  <si>
    <t>Eco Appliance</t>
  </si>
  <si>
    <t>Essential Appliance</t>
  </si>
  <si>
    <t>Signature Decor</t>
  </si>
  <si>
    <t>Pro Decor</t>
  </si>
  <si>
    <t>Essential Decor</t>
  </si>
  <si>
    <t>Premium Decor</t>
  </si>
  <si>
    <t>Everyday Decor</t>
  </si>
  <si>
    <t>Electronics</t>
  </si>
  <si>
    <t>Furniture</t>
  </si>
  <si>
    <t>Clothing</t>
  </si>
  <si>
    <t>Grocery</t>
  </si>
  <si>
    <t>Stationery</t>
  </si>
  <si>
    <t>Home &amp; Kitchen</t>
  </si>
  <si>
    <t>Mobiles</t>
  </si>
  <si>
    <t>Laptops</t>
  </si>
  <si>
    <t>Headphones</t>
  </si>
  <si>
    <t>Smartwatches</t>
  </si>
  <si>
    <t>Cameras</t>
  </si>
  <si>
    <t>Tablets</t>
  </si>
  <si>
    <t>Chairs</t>
  </si>
  <si>
    <t>Tables</t>
  </si>
  <si>
    <t>Bookcases</t>
  </si>
  <si>
    <t>Sofas</t>
  </si>
  <si>
    <t>Beds</t>
  </si>
  <si>
    <t>Storage Units</t>
  </si>
  <si>
    <t>Men's Wear</t>
  </si>
  <si>
    <t>Women's Wear</t>
  </si>
  <si>
    <t>Kids Wear</t>
  </si>
  <si>
    <t>Footwear</t>
  </si>
  <si>
    <t>Accessories</t>
  </si>
  <si>
    <t>Staples</t>
  </si>
  <si>
    <t>Snacks</t>
  </si>
  <si>
    <t>Beverages</t>
  </si>
  <si>
    <t>Dairy</t>
  </si>
  <si>
    <t>Personal Care</t>
  </si>
  <si>
    <t>Notebooks</t>
  </si>
  <si>
    <t>Pens &amp; Pencils</t>
  </si>
  <si>
    <t>Office Supplies</t>
  </si>
  <si>
    <t>Art Supplies</t>
  </si>
  <si>
    <t>Cookware</t>
  </si>
  <si>
    <t>Storage</t>
  </si>
  <si>
    <t>Appliances</t>
  </si>
  <si>
    <t>Decor</t>
  </si>
  <si>
    <t>store_name</t>
  </si>
  <si>
    <t>store_type</t>
  </si>
  <si>
    <t>Mumbai Central</t>
  </si>
  <si>
    <t>Pune Camp</t>
  </si>
  <si>
    <t>Ahmedabad SG Highway</t>
  </si>
  <si>
    <t>Delhi Connaught Place</t>
  </si>
  <si>
    <t>Gurgaon Cyber Hub</t>
  </si>
  <si>
    <t>Jaipur Malviya Nagar</t>
  </si>
  <si>
    <t>Lucknow Hazratganj</t>
  </si>
  <si>
    <t>Kolkata Park Street</t>
  </si>
  <si>
    <t>Patna Boring Road</t>
  </si>
  <si>
    <t>Bhubaneswar Saheed Nagar</t>
  </si>
  <si>
    <t>Bengaluru Indiranagar</t>
  </si>
  <si>
    <t>Chennai T Nagar</t>
  </si>
  <si>
    <t>Hyderabad Banjara Hills</t>
  </si>
  <si>
    <t>Kochi MG Road</t>
  </si>
  <si>
    <t>Online Store</t>
  </si>
  <si>
    <t>Online</t>
  </si>
  <si>
    <t>Retail</t>
  </si>
  <si>
    <t>customer_city</t>
  </si>
  <si>
    <t>customer_state</t>
  </si>
  <si>
    <t>customer_region</t>
  </si>
  <si>
    <t>store_city</t>
  </si>
  <si>
    <t>store_state</t>
  </si>
  <si>
    <t>store_region</t>
  </si>
  <si>
    <t>profit_margin</t>
  </si>
  <si>
    <t>payment_method_clean</t>
  </si>
  <si>
    <t>shipping_days</t>
  </si>
  <si>
    <t>year</t>
  </si>
  <si>
    <t>month</t>
  </si>
  <si>
    <t>year_month</t>
  </si>
  <si>
    <t>quarter</t>
  </si>
  <si>
    <t>sales_check</t>
  </si>
  <si>
    <t>order_count_flag</t>
  </si>
  <si>
    <t>Unknown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</si>
  <si>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</si>
  <si>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</si>
  <si>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</si>
  <si>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</si>
  <si>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</si>
  <si>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</si>
  <si>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</si>
  <si>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</si>
  <si>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</si>
  <si>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</si>
  <si>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</si>
  <si>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</si>
  <si>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</si>
  <si>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</si>
  <si>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</si>
  <si>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</si>
  <si>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</si>
  <si>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</si>
  <si>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</si>
  <si>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</si>
  <si>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</si>
  <si>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</si>
  <si>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</si>
  <si>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</si>
  <si>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</si>
  <si>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</si>
  <si>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</si>
  <si>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</si>
  <si>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</si>
  <si>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</si>
  <si>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</si>
  <si>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</si>
  <si>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</si>
  <si>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</si>
  <si>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</si>
  <si>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</si>
  <si>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Q1</t>
  </si>
  <si>
    <t>Q2</t>
  </si>
  <si>
    <t>Q3</t>
  </si>
  <si>
    <t>Q4</t>
  </si>
  <si>
    <t>OK</t>
  </si>
  <si>
    <t>All</t>
  </si>
  <si>
    <t>Month</t>
  </si>
  <si>
    <t>Sales</t>
  </si>
  <si>
    <t>Profit</t>
  </si>
  <si>
    <t>Orders</t>
  </si>
  <si>
    <t>Label</t>
  </si>
  <si>
    <t>Value</t>
  </si>
  <si>
    <t>SALES PULSE  |  EXECUTIVE PERFORMANCE DASHBOARD</t>
  </si>
  <si>
    <t>Revenue • Profitability • Mix • Geography • Operations</t>
  </si>
  <si>
    <t>INTERACTIVE CONTROL CENTER</t>
  </si>
  <si>
    <t>YEAR</t>
  </si>
  <si>
    <t>REGION</t>
  </si>
  <si>
    <t>CATEGORY</t>
  </si>
  <si>
    <t>SEGMENT</t>
  </si>
  <si>
    <t>STATUS</t>
  </si>
  <si>
    <t>TIMELINE START</t>
  </si>
  <si>
    <t>TIMELINE END</t>
  </si>
  <si>
    <t>PERIOD PRESET</t>
  </si>
  <si>
    <t>Full Period</t>
  </si>
  <si>
    <t>MONTH FOCUS</t>
  </si>
  <si>
    <t>Slicer-style selectors: choose values here to change the KPI layer.</t>
  </si>
  <si>
    <t>TIMELINE  •  selected date range controls the dashboard</t>
  </si>
  <si>
    <t>Jan-24</t>
  </si>
  <si>
    <t>Mar-24</t>
  </si>
  <si>
    <t>May-24</t>
  </si>
  <si>
    <t>Jul-24</t>
  </si>
  <si>
    <t>Sep-24</t>
  </si>
  <si>
    <t>Nov-24</t>
  </si>
  <si>
    <t>Jan-25</t>
  </si>
  <si>
    <t>Mar-25</t>
  </si>
  <si>
    <t>May-25</t>
  </si>
  <si>
    <t>Jul-25</t>
  </si>
  <si>
    <t>Sep-25</t>
  </si>
  <si>
    <t>Nov-25</t>
  </si>
  <si>
    <t>TOTAL SALES</t>
  </si>
  <si>
    <t>TOTAL PROFIT</t>
  </si>
  <si>
    <t>ORDERS</t>
  </si>
  <si>
    <t>UNITS SOLD</t>
  </si>
  <si>
    <t>PROFIT MARGIN</t>
  </si>
  <si>
    <t>AVG ORDER VALUE</t>
  </si>
  <si>
    <t>RETURN RATE</t>
  </si>
  <si>
    <t>CANCELLATION RATE</t>
  </si>
  <si>
    <t>AVG SHIPPING DAYS</t>
  </si>
  <si>
    <t>QUALITY FLAGS</t>
  </si>
  <si>
    <t>BUSINESS CHECKPOINTS</t>
  </si>
  <si>
    <t>Growth</t>
  </si>
  <si>
    <t>Read the monthly trend for peaks, slow periods and sustained movement.</t>
  </si>
  <si>
    <t>Profitability</t>
  </si>
  <si>
    <t>Separate high-sales areas from genuinely profitable areas.</t>
  </si>
  <si>
    <t>Concentration</t>
  </si>
  <si>
    <t>Check whether products or stores dominate revenue.</t>
  </si>
  <si>
    <t>Operations</t>
  </si>
  <si>
    <t>Watch returns, cancellations and shipping time for leakage.</t>
  </si>
  <si>
    <t>WHY THE ZEROES? + SLICER/TIMELINE</t>
  </si>
  <si>
    <t>The previous workbook stored formulas without pre-calculated cached results; some viewers displayed those as 0 until recalculation. This version stores the correct default values. The control panel above is the functional slicer-style filter system and date timeline. Native Excel Slicer/Timeline objects are special Pivot/OOXML features that XlsxWriter cannot reliably create.</t>
  </si>
  <si>
    <t>BUSINESS PIVOT ANALYSIS</t>
  </si>
  <si>
    <t>Monthly Performance</t>
  </si>
  <si>
    <t>Category Performance</t>
  </si>
  <si>
    <t>Units</t>
  </si>
  <si>
    <t>Region Performance</t>
  </si>
  <si>
    <t>Segment Performance</t>
  </si>
  <si>
    <t>Order Status</t>
  </si>
  <si>
    <t>Payment Method</t>
  </si>
  <si>
    <t>Top 10 Products</t>
  </si>
  <si>
    <t>Store Performance</t>
  </si>
  <si>
    <t>INTERVIEW PROJECT MAP</t>
  </si>
  <si>
    <t>Step</t>
  </si>
  <si>
    <t>Layer</t>
  </si>
  <si>
    <t>Purpose</t>
  </si>
  <si>
    <t>Raw data</t>
  </si>
  <si>
    <t>Original source tables remain untouched.</t>
  </si>
  <si>
    <t>Clean model</t>
  </si>
  <si>
    <t>One analysis-ready transaction table with customer/product/store attributes.</t>
  </si>
  <si>
    <t>Validation</t>
  </si>
  <si>
    <t>Formula check, missing values and shipping checks.</t>
  </si>
  <si>
    <t>KPI layer</t>
  </si>
  <si>
    <t>Sales, profit, margin, orders, units, AOV, returns, cancellations and shipping.</t>
  </si>
  <si>
    <t>Pivot layer</t>
  </si>
  <si>
    <t>Time, category, region, segment, status, payment, products and stores.</t>
  </si>
  <si>
    <t>Dashboard</t>
  </si>
  <si>
    <t>Executive KPI cards, interactive controls, charts and business checkpoints.</t>
  </si>
  <si>
    <t>METRIC DEFINITIONS</t>
  </si>
  <si>
    <t>Metric</t>
  </si>
  <si>
    <t>Definition</t>
  </si>
  <si>
    <t>Total Sales</t>
  </si>
  <si>
    <t>Sum of sales_amount after selected filters.</t>
  </si>
  <si>
    <t>Total Profit</t>
  </si>
  <si>
    <t>Sum of profit after selected filters.</t>
  </si>
  <si>
    <t>Distinct order IDs using order_count_flag.</t>
  </si>
  <si>
    <t>Units Sold</t>
  </si>
  <si>
    <t>Sum of quantity.</t>
  </si>
  <si>
    <t>Profit Margin</t>
  </si>
  <si>
    <t>Total Profit / Total Sales.</t>
  </si>
  <si>
    <t>Average Order Value</t>
  </si>
  <si>
    <t>Total Sales / Orders.</t>
  </si>
  <si>
    <t>Return Rate</t>
  </si>
  <si>
    <t>Returned orders / total orders.</t>
  </si>
  <si>
    <t>Cancellation Rate</t>
  </si>
  <si>
    <t>Cancelled orders / total orders.</t>
  </si>
  <si>
    <t>Average Shipping Days</t>
  </si>
  <si>
    <t>Average non-negative ship_date minus order_date.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</si>
</sst>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\₹#,##0.00"/>
    <numFmt numFmtId="166" formatCode="0.0%"/>
    <numFmt numFmtId="167" formatCode="\₹#,##0.0,,&quot;M&quot;"/>
  </numFmts>
  <fonts count="11" x14ac:knownFonts="1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sz val="10"/>
      <color rgb="FFD7E4EF"/>
      <name val="Calibri"/>
      <family val="2"/>
      <scheme val="minor"/>
    </font>
    <font>
      <b/>
      <sz val="11"/>
      <color rgb="FF163A59"/>
      <name val="Calibri"/>
      <family val="2"/>
      <scheme val="minor"/>
    </font>
    <font>
      <b/>
      <sz val="8"/>
      <color rgb="FF6B7785"/>
      <name val="Calibri"/>
      <family val="2"/>
      <scheme val="minor"/>
    </font>
    <font>
      <b/>
      <sz val="10"/>
      <color rgb="FF0B1F33"/>
      <name val="Calibri"/>
      <family val="2"/>
      <scheme val="minor"/>
    </font>
    <font>
      <b/>
      <sz val="11"/>
      <color rgb="FF0B1F33"/>
      <name val="Calibri"/>
      <family val="2"/>
      <scheme val="minor"/>
    </font>
    <font>
      <sz val="9"/>
      <color rgb="FF6B7785"/>
      <name val="Calibri"/>
      <family val="2"/>
      <scheme val="minor"/>
    </font>
    <font>
      <b/>
      <sz val="8"/>
      <color rgb="FF2F80ED"/>
      <name val="Calibri"/>
      <family val="2"/>
      <scheme val="minor"/>
    </font>
    <font>
      <b/>
      <sz val="18"/>
      <color rgb="FF0B1F33"/>
      <name val="Calibri"/>
      <family val="2"/>
      <scheme val="minor"/>
    </font>
    <font>
      <b/>
      <sz val="11"/>
      <color rgb="FF2F80ED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B1F33"/>
        <bgColor indexed="64"/>
      </patternFill>
    </fill>
    <fill>
      <patternFill patternType="solid">
        <fgColor rgb="FFF5F8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3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F80ED"/>
      </bottom>
      <diagonal/>
    </border>
    <border>
      <left style="thin">
        <color rgb="FFDCE4EC"/>
      </left>
      <right style="thin">
        <color rgb="FFDCE4EC"/>
      </right>
      <top style="thin">
        <color rgb="FFDCE4EC"/>
      </top>
      <bottom style="thin">
        <color rgb="FFDCE4EC"/>
      </bottom>
      <diagonal/>
    </border>
    <border>
      <left style="thin">
        <color rgb="FFD6E7FA"/>
      </left>
      <right style="thin">
        <color rgb="FFD6E7FA"/>
      </right>
      <top style="thin">
        <color rgb="FFD6E7FA"/>
      </top>
      <bottom style="thin">
        <color rgb="FFD6E7FA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3" borderId="1" xfId="0" applyFont="1" applyFill="1" applyBorder="1"/>
    <xf numFmtId="0" fontId="4" fillId="3" borderId="0" xfId="0" applyFont="1" applyFill="1"/>
    <xf numFmtId="0" fontId="5" fillId="4" borderId="2" xfId="0" applyFont="1" applyFill="1" applyBorder="1" applyAlignment="1">
      <alignment horizontal="center"/>
    </xf>
    <xf numFmtId="164" fontId="6" fillId="4" borderId="2" xfId="0" applyNumberFormat="1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10" fillId="4" borderId="0" xfId="0" applyFont="1" applyFill="1"/>
    <xf numFmtId="0" fontId="1" fillId="2" borderId="0" xfId="0" applyFont="1" applyFill="1" applyAlignment="1">
      <alignment horizontal="left" vertical="center"/>
    </xf>
    <xf numFmtId="0" fontId="2" fillId="2" borderId="0" xfId="0" applyFont="1" applyFill="1"/>
    <xf numFmtId="0" fontId="3" fillId="3" borderId="1" xfId="0" applyFont="1" applyFill="1" applyBorder="1"/>
    <xf numFmtId="0" fontId="7" fillId="4" borderId="0" xfId="0" applyFont="1" applyFill="1" applyAlignment="1">
      <alignment vertical="top" wrapText="1"/>
    </xf>
    <xf numFmtId="0" fontId="4" fillId="4" borderId="0" xfId="0" applyFont="1" applyFill="1" applyAlignment="1">
      <alignment horizontal="center"/>
    </xf>
    <xf numFmtId="167" fontId="9" fillId="4" borderId="0" xfId="0" applyNumberFormat="1" applyFont="1" applyFill="1" applyAlignment="1">
      <alignment horizontal="center"/>
    </xf>
    <xf numFmtId="3" fontId="9" fillId="4" borderId="0" xfId="0" applyNumberFormat="1" applyFont="1" applyFill="1" applyAlignment="1">
      <alignment horizontal="center"/>
    </xf>
    <xf numFmtId="166" fontId="9" fillId="4" borderId="0" xfId="0" applyNumberFormat="1" applyFont="1" applyFill="1" applyAlignment="1">
      <alignment horizontal="center"/>
    </xf>
  </cellXfs>
  <cellStyles count="1">
    <cellStyle name="Normal" xfId="0" builtinId="0"/>
  </cellStyles>
  <dxfs count="1">
    <dxf>
      <font>
        <color rgb="FFD9534F"/>
      </font>
      <fill>
        <patternFill>
          <bgColor rgb="FFFCE9E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 Momentum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Sales</c:v>
          </c:tx>
          <c:spPr>
            <a:ln w="34925">
              <a:solidFill>
                <a:srgbClr val="2F80ED"/>
              </a:solidFill>
            </a:ln>
          </c:spPr>
          <c:marker>
            <c:symbol val="circle"/>
            <c:size val="4"/>
          </c:marker>
          <c:cat>
            <c:numRef>
              <c:f>Dashboard_Data!$G$2:$G$25</c:f>
              <c:numCache>
                <c:formatCode>dd\-mmm\-yyyy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Dashboard_Data!$H$2:$H$25</c:f>
              <c:numCache>
                <c:formatCode>General</c:formatCode>
                <c:ptCount val="24"/>
                <c:pt idx="0">
                  <c:v>628138.68000000005</c:v>
                </c:pt>
                <c:pt idx="1">
                  <c:v>879562.69</c:v>
                </c:pt>
                <c:pt idx="2">
                  <c:v>993971.76</c:v>
                </c:pt>
                <c:pt idx="3">
                  <c:v>419613.46</c:v>
                </c:pt>
                <c:pt idx="4">
                  <c:v>1148042.6100000001</c:v>
                </c:pt>
                <c:pt idx="5">
                  <c:v>770614.37</c:v>
                </c:pt>
                <c:pt idx="6">
                  <c:v>729079.27</c:v>
                </c:pt>
                <c:pt idx="7">
                  <c:v>919432.67999999993</c:v>
                </c:pt>
                <c:pt idx="8">
                  <c:v>666061.02</c:v>
                </c:pt>
                <c:pt idx="9">
                  <c:v>869980.05999999994</c:v>
                </c:pt>
                <c:pt idx="10">
                  <c:v>1267168.3</c:v>
                </c:pt>
                <c:pt idx="11">
                  <c:v>1394547.2</c:v>
                </c:pt>
                <c:pt idx="12">
                  <c:v>498298.22</c:v>
                </c:pt>
                <c:pt idx="13">
                  <c:v>789055.84</c:v>
                </c:pt>
                <c:pt idx="14">
                  <c:v>534124.92999999993</c:v>
                </c:pt>
                <c:pt idx="15">
                  <c:v>899808.75</c:v>
                </c:pt>
                <c:pt idx="16">
                  <c:v>712972.48</c:v>
                </c:pt>
                <c:pt idx="17">
                  <c:v>631758.66999999993</c:v>
                </c:pt>
                <c:pt idx="18">
                  <c:v>853572.96</c:v>
                </c:pt>
                <c:pt idx="19">
                  <c:v>845478.20000000007</c:v>
                </c:pt>
                <c:pt idx="20">
                  <c:v>1232830.33</c:v>
                </c:pt>
                <c:pt idx="21">
                  <c:v>955750.2</c:v>
                </c:pt>
                <c:pt idx="22">
                  <c:v>1093721.08</c:v>
                </c:pt>
                <c:pt idx="23">
                  <c:v>1409779.48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FB-4BE8-A9EB-DBA2B4177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dateAx>
        <c:axId val="50010001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crossAx val="50010002"/>
        <c:crosses val="autoZero"/>
        <c:auto val="1"/>
        <c:lblOffset val="100"/>
        <c:baseTimeUnit val="months"/>
      </c:dateAx>
      <c:valAx>
        <c:axId val="50010002"/>
        <c:scaling>
          <c:orientation val="minMax"/>
        </c:scaling>
        <c:delete val="0"/>
        <c:axPos val="l"/>
        <c:numFmt formatCode="\₹0.0,,&quot;M&quot;" sourceLinked="0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Category Contribution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Sales</c:v>
          </c:tx>
          <c:spPr>
            <a:solidFill>
              <a:srgbClr val="20B486"/>
            </a:solidFill>
            <a:ln>
              <a:noFill/>
            </a:ln>
          </c:spPr>
          <c:invertIfNegative val="0"/>
          <c:cat>
            <c:strRef>
              <c:f>Dashboard_Data!$L$2:$L$7</c:f>
              <c:strCache>
                <c:ptCount val="6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Grocery</c:v>
                </c:pt>
                <c:pt idx="4">
                  <c:v>Home &amp; Kitchen</c:v>
                </c:pt>
                <c:pt idx="5">
                  <c:v>Stationery</c:v>
                </c:pt>
              </c:strCache>
            </c:strRef>
          </c:cat>
          <c:val>
            <c:numRef>
              <c:f>Dashboard_Data!$M$2:$M$7</c:f>
              <c:numCache>
                <c:formatCode>General</c:formatCode>
                <c:ptCount val="6"/>
                <c:pt idx="0">
                  <c:v>792866.33</c:v>
                </c:pt>
                <c:pt idx="1">
                  <c:v>11875026.01</c:v>
                </c:pt>
                <c:pt idx="2">
                  <c:v>5859053.9299999997</c:v>
                </c:pt>
                <c:pt idx="3">
                  <c:v>213622.1</c:v>
                </c:pt>
                <c:pt idx="4">
                  <c:v>2201663.11</c:v>
                </c:pt>
                <c:pt idx="5">
                  <c:v>201131.76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C-48B3-9BC3-9B611EDCB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b"/>
        <c:numFmt formatCode="\₹0.0,,&quot;M&quot;" sourceLinked="0"/>
        <c:majorTickMark val="out"/>
        <c:minorTickMark val="none"/>
        <c:tickLblPos val="nextTo"/>
        <c:crossAx val="5002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Regional Performance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>
              <a:srgbClr val="F4B942"/>
            </a:solidFill>
            <a:ln>
              <a:noFill/>
            </a:ln>
          </c:spPr>
          <c:invertIfNegative val="0"/>
          <c:cat>
            <c:strRef>
              <c:f>Dashboard_Data!$O$2:$O$6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Online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Dashboard_Data!$P$2:$P$6</c:f>
              <c:numCache>
                <c:formatCode>General</c:formatCode>
                <c:ptCount val="5"/>
                <c:pt idx="0">
                  <c:v>2429628.9300000002</c:v>
                </c:pt>
                <c:pt idx="1">
                  <c:v>3290097.88</c:v>
                </c:pt>
                <c:pt idx="2">
                  <c:v>10716572.23</c:v>
                </c:pt>
                <c:pt idx="3">
                  <c:v>2201574.5</c:v>
                </c:pt>
                <c:pt idx="4">
                  <c:v>2505489.7000000002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0-4E45-B385-E112E4269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numFmt formatCode="\₹0.0,,&quot;M&quot;" sourceLinked="0"/>
        <c:majorTickMark val="out"/>
        <c:minorTickMark val="none"/>
        <c:tickLblPos val="nextTo"/>
        <c:crossAx val="5003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Order Health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Orders</c:v>
          </c:tx>
          <c:cat>
            <c:strRef>
              <c:f>Dashboard_Data!$R$2:$R$4</c:f>
              <c:strCache>
                <c:ptCount val="3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</c:strCache>
            </c:strRef>
          </c:cat>
          <c:val>
            <c:numRef>
              <c:f>Dashboard_Data!$S$2:$S$4</c:f>
              <c:numCache>
                <c:formatCode>General</c:formatCode>
                <c:ptCount val="3"/>
                <c:pt idx="0">
                  <c:v>47</c:v>
                </c:pt>
                <c:pt idx="1">
                  <c:v>857</c:v>
                </c:pt>
                <c:pt idx="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F7-413A-A06B-172C46193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2"/>
      </c:doughnut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8</xdr:col>
      <xdr:colOff>638175</xdr:colOff>
      <xdr:row>31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13</xdr:col>
      <xdr:colOff>704850</xdr:colOff>
      <xdr:row>31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5</xdr:col>
      <xdr:colOff>704850</xdr:colOff>
      <xdr:row>46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13</xdr:col>
      <xdr:colOff>704850</xdr:colOff>
      <xdr:row>46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awOrder" displayName="tblRawOrder" ref="A1:P1001" totalsRowShown="0">
  <autoFilter ref="A1:P1001" xr:uid="{00000000-0009-0000-0100-000001000000}"/>
  <tableColumns count="16">
    <tableColumn id="1" xr3:uid="{00000000-0010-0000-0000-000001000000}" name="row_id"/>
    <tableColumn id="2" xr3:uid="{00000000-0010-0000-0000-000002000000}" name="order_id"/>
    <tableColumn id="3" xr3:uid="{00000000-0010-0000-0000-000003000000}" name="order_line"/>
    <tableColumn id="4" xr3:uid="{00000000-0010-0000-0000-000004000000}" name="order_date"/>
    <tableColumn id="5" xr3:uid="{00000000-0010-0000-0000-000005000000}" name="ship_date"/>
    <tableColumn id="6" xr3:uid="{00000000-0010-0000-0000-000006000000}" name="customer_id"/>
    <tableColumn id="7" xr3:uid="{00000000-0010-0000-0000-000007000000}" name="product_id"/>
    <tableColumn id="8" xr3:uid="{00000000-0010-0000-0000-000008000000}" name="store_id"/>
    <tableColumn id="9" xr3:uid="{00000000-0010-0000-0000-000009000000}" name="quantity"/>
    <tableColumn id="10" xr3:uid="{00000000-0010-0000-0000-00000A000000}" name="unit_price"/>
    <tableColumn id="11" xr3:uid="{00000000-0010-0000-0000-00000B000000}" name="discount_pct"/>
    <tableColumn id="12" xr3:uid="{00000000-0010-0000-0000-00000C000000}" name="sales_amount"/>
    <tableColumn id="13" xr3:uid="{00000000-0010-0000-0000-00000D000000}" name="profit"/>
    <tableColumn id="14" xr3:uid="{00000000-0010-0000-0000-00000E000000}" name="payment_method"/>
    <tableColumn id="15" xr3:uid="{00000000-0010-0000-0000-00000F000000}" name="ship_mode"/>
    <tableColumn id="16" xr3:uid="{00000000-0010-0000-0000-000010000000}" name="order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RawCustomers" displayName="tblRawCustomers" ref="A1:J501" totalsRowShown="0">
  <autoFilter ref="A1:J501" xr:uid="{00000000-0009-0000-0100-000002000000}"/>
  <tableColumns count="10">
    <tableColumn id="1" xr3:uid="{00000000-0010-0000-0100-000001000000}" name="customer_id"/>
    <tableColumn id="2" xr3:uid="{00000000-0010-0000-0100-000002000000}" name="customer_name"/>
    <tableColumn id="3" xr3:uid="{00000000-0010-0000-0100-000003000000}" name="gender"/>
    <tableColumn id="4" xr3:uid="{00000000-0010-0000-0100-000004000000}" name="age"/>
    <tableColumn id="5" xr3:uid="{00000000-0010-0000-0100-000005000000}" name="email"/>
    <tableColumn id="6" xr3:uid="{00000000-0010-0000-0100-000006000000}" name="city"/>
    <tableColumn id="7" xr3:uid="{00000000-0010-0000-0100-000007000000}" name="state"/>
    <tableColumn id="8" xr3:uid="{00000000-0010-0000-0100-000008000000}" name="region"/>
    <tableColumn id="9" xr3:uid="{00000000-0010-0000-0100-000009000000}" name="segment"/>
    <tableColumn id="10" xr3:uid="{00000000-0010-0000-0100-00000A000000}" name="signup_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RawProducts" displayName="tblRawProducts" ref="A1:F151" totalsRowShown="0">
  <autoFilter ref="A1:F151" xr:uid="{00000000-0009-0000-0100-000003000000}"/>
  <tableColumns count="6">
    <tableColumn id="1" xr3:uid="{00000000-0010-0000-0200-000001000000}" name="product_id"/>
    <tableColumn id="2" xr3:uid="{00000000-0010-0000-0200-000002000000}" name="product_name"/>
    <tableColumn id="3" xr3:uid="{00000000-0010-0000-0200-000003000000}" name="category"/>
    <tableColumn id="4" xr3:uid="{00000000-0010-0000-0200-000004000000}" name="sub_category"/>
    <tableColumn id="5" xr3:uid="{00000000-0010-0000-0200-000005000000}" name="cost_price"/>
    <tableColumn id="6" xr3:uid="{00000000-0010-0000-0200-000006000000}" name="list_pri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RawStores" displayName="tblRawStores" ref="A1:F16" totalsRowShown="0">
  <autoFilter ref="A1:F16" xr:uid="{00000000-0009-0000-0100-000004000000}"/>
  <tableColumns count="6">
    <tableColumn id="1" xr3:uid="{00000000-0010-0000-0300-000001000000}" name="store_id"/>
    <tableColumn id="2" xr3:uid="{00000000-0010-0000-0300-000002000000}" name="store_name"/>
    <tableColumn id="3" xr3:uid="{00000000-0010-0000-0300-000003000000}" name="city"/>
    <tableColumn id="4" xr3:uid="{00000000-0010-0000-0300-000004000000}" name="state"/>
    <tableColumn id="5" xr3:uid="{00000000-0010-0000-0300-000005000000}" name="region"/>
    <tableColumn id="6" xr3:uid="{00000000-0010-0000-0300-000006000000}" name="store_typ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tMonthly" displayName="ptMonthly" ref="A5:D29" totalsRowShown="0">
  <autoFilter ref="A5:D29" xr:uid="{00000000-0009-0000-0100-000006000000}"/>
  <tableColumns count="4">
    <tableColumn id="1" xr3:uid="{00000000-0010-0000-0500-000001000000}" name="order_date"/>
    <tableColumn id="2" xr3:uid="{00000000-0010-0000-0500-000002000000}" name="Sales"/>
    <tableColumn id="3" xr3:uid="{00000000-0010-0000-0500-000003000000}" name="Profit"/>
    <tableColumn id="4" xr3:uid="{00000000-0010-0000-0500-000004000000}" name="Order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tCategory" displayName="ptCategory" ref="G5:J11" totalsRowShown="0">
  <autoFilter ref="G5:J11" xr:uid="{00000000-0009-0000-0100-000007000000}"/>
  <tableColumns count="4">
    <tableColumn id="1" xr3:uid="{00000000-0010-0000-0600-000001000000}" name="category"/>
    <tableColumn id="2" xr3:uid="{00000000-0010-0000-0600-000002000000}" name="Sales"/>
    <tableColumn id="3" xr3:uid="{00000000-0010-0000-0600-000003000000}" name="Profit"/>
    <tableColumn id="4" xr3:uid="{00000000-0010-0000-0600-000004000000}" name="Unit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tRegion" displayName="ptRegion" ref="A37:D42" totalsRowShown="0">
  <autoFilter ref="A37:D42" xr:uid="{00000000-0009-0000-0100-000008000000}"/>
  <tableColumns count="4">
    <tableColumn id="1" xr3:uid="{00000000-0010-0000-0700-000001000000}" name="store_region"/>
    <tableColumn id="2" xr3:uid="{00000000-0010-0000-0700-000002000000}" name="Sales"/>
    <tableColumn id="3" xr3:uid="{00000000-0010-0000-0700-000003000000}" name="Profit"/>
    <tableColumn id="4" xr3:uid="{00000000-0010-0000-0700-000004000000}" name="Order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ptSegment" displayName="ptSegment" ref="G37:J40" totalsRowShown="0">
  <autoFilter ref="G37:J40" xr:uid="{00000000-0009-0000-0100-000009000000}"/>
  <tableColumns count="4">
    <tableColumn id="1" xr3:uid="{00000000-0010-0000-0800-000001000000}" name="segment"/>
    <tableColumn id="2" xr3:uid="{00000000-0010-0000-0800-000002000000}" name="Sales"/>
    <tableColumn id="3" xr3:uid="{00000000-0010-0000-0800-000003000000}" name="Profit"/>
    <tableColumn id="4" xr3:uid="{00000000-0010-0000-0800-000004000000}" name="Order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tStatus" displayName="ptStatus" ref="A47:C50" totalsRowShown="0">
  <autoFilter ref="A47:C50" xr:uid="{00000000-0009-0000-0100-00000A000000}"/>
  <tableColumns count="3">
    <tableColumn id="1" xr3:uid="{00000000-0010-0000-0900-000001000000}" name="order_status"/>
    <tableColumn id="2" xr3:uid="{00000000-0010-0000-0900-000002000000}" name="Sales"/>
    <tableColumn id="3" xr3:uid="{00000000-0010-0000-0900-000003000000}" name="Order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ptPayment" displayName="ptPayment" ref="G47:I53" totalsRowShown="0">
  <autoFilter ref="G47:I53" xr:uid="{00000000-0009-0000-0100-00000B000000}"/>
  <tableColumns count="3">
    <tableColumn id="1" xr3:uid="{00000000-0010-0000-0A00-000001000000}" name="payment_method_clean"/>
    <tableColumn id="2" xr3:uid="{00000000-0010-0000-0A00-000002000000}" name="Sales"/>
    <tableColumn id="3" xr3:uid="{00000000-0010-0000-0A00-000003000000}" name="Order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ptTopProducts" displayName="ptTopProducts" ref="A55:E65" totalsRowShown="0">
  <autoFilter ref="A55:E65" xr:uid="{00000000-0009-0000-0100-00000C000000}"/>
  <tableColumns count="5">
    <tableColumn id="1" xr3:uid="{00000000-0010-0000-0B00-000001000000}" name="product_id"/>
    <tableColumn id="2" xr3:uid="{00000000-0010-0000-0B00-000002000000}" name="product_name"/>
    <tableColumn id="3" xr3:uid="{00000000-0010-0000-0B00-000003000000}" name="Sales"/>
    <tableColumn id="4" xr3:uid="{00000000-0010-0000-0B00-000004000000}" name="Profit"/>
    <tableColumn id="5" xr3:uid="{00000000-0010-0000-0B00-000005000000}" name="Unit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ptStores" displayName="ptStores" ref="G55:L70" totalsRowShown="0">
  <autoFilter ref="G55:L70" xr:uid="{00000000-0009-0000-0100-00000D000000}"/>
  <tableColumns count="6">
    <tableColumn id="1" xr3:uid="{00000000-0010-0000-0C00-000001000000}" name="store_id"/>
    <tableColumn id="2" xr3:uid="{00000000-0010-0000-0C00-000002000000}" name="store_name"/>
    <tableColumn id="3" xr3:uid="{00000000-0010-0000-0C00-000003000000}" name="store_type"/>
    <tableColumn id="4" xr3:uid="{00000000-0010-0000-0C00-000004000000}" name="Sales"/>
    <tableColumn id="5" xr3:uid="{00000000-0010-0000-0C00-000005000000}" name="Profit"/>
    <tableColumn id="6" xr3:uid="{00000000-0010-0000-0C00-000006000000}" name="Order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" displayName="Table14" ref="A2:C8" totalsRowShown="0">
  <autoFilter ref="A2:C8" xr:uid="{00000000-0009-0000-0100-00000E000000}"/>
  <tableColumns count="3">
    <tableColumn id="1" xr3:uid="{00000000-0010-0000-0D00-000001000000}" name="Step"/>
    <tableColumn id="2" xr3:uid="{00000000-0010-0000-0D00-000002000000}" name="Layer"/>
    <tableColumn id="3" xr3:uid="{00000000-0010-0000-0D00-000003000000}" name="Purpos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5" displayName="Table15" ref="A2:B11" totalsRowShown="0">
  <autoFilter ref="A2:B11" xr:uid="{00000000-0009-0000-0100-00000F000000}"/>
  <tableColumns count="2">
    <tableColumn id="1" xr3:uid="{00000000-0010-0000-0E00-000001000000}" name="Metric"/>
    <tableColumn id="2" xr3:uid="{00000000-0010-0000-0E00-000002000000}" name="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.xml"/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showGridLines="0" workbookViewId="0">
      <pane ySplit="1" topLeftCell="A383" activePane="bottomLeft" state="frozen"/>
      <selection pane="bottomLeft"/>
    </sheetView>
  </sheetViews>
  <sheetFormatPr defaultRowHeight="14.4" x14ac:dyDescent="0.3"/>
  <cols>
    <col min="1" max="16" width="14.66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t="s">
        <v>16</v>
      </c>
      <c r="C2">
        <v>1</v>
      </c>
      <c r="D2" s="1">
        <v>45292</v>
      </c>
      <c r="E2" s="1">
        <v>45293</v>
      </c>
      <c r="F2" t="s">
        <v>965</v>
      </c>
      <c r="G2" t="s">
        <v>1329</v>
      </c>
      <c r="H2" t="s">
        <v>1478</v>
      </c>
      <c r="I2">
        <v>1</v>
      </c>
      <c r="J2" s="2">
        <v>1065.95</v>
      </c>
      <c r="K2" s="3">
        <v>0</v>
      </c>
      <c r="L2" s="2">
        <v>1065.95</v>
      </c>
      <c r="M2" s="2">
        <v>380.77</v>
      </c>
      <c r="N2" t="s">
        <v>1493</v>
      </c>
      <c r="O2" t="s">
        <v>1498</v>
      </c>
      <c r="P2" t="s">
        <v>1501</v>
      </c>
    </row>
    <row r="3" spans="1:16" x14ac:dyDescent="0.3">
      <c r="A3">
        <v>2</v>
      </c>
      <c r="B3" t="s">
        <v>17</v>
      </c>
      <c r="C3">
        <v>1</v>
      </c>
      <c r="D3" s="1">
        <v>45294</v>
      </c>
      <c r="E3" s="1">
        <v>45294</v>
      </c>
      <c r="F3" t="s">
        <v>966</v>
      </c>
      <c r="G3" t="s">
        <v>1330</v>
      </c>
      <c r="H3" t="s">
        <v>1478</v>
      </c>
      <c r="I3">
        <v>2</v>
      </c>
      <c r="J3" s="2">
        <v>2393.8200000000002</v>
      </c>
      <c r="K3" s="3">
        <v>0</v>
      </c>
      <c r="L3" s="2">
        <v>4787.6400000000003</v>
      </c>
      <c r="M3" s="2">
        <v>1547.74</v>
      </c>
      <c r="N3" t="s">
        <v>1494</v>
      </c>
      <c r="O3" t="s">
        <v>1499</v>
      </c>
      <c r="P3" t="s">
        <v>1501</v>
      </c>
    </row>
    <row r="4" spans="1:16" x14ac:dyDescent="0.3">
      <c r="A4">
        <v>3</v>
      </c>
      <c r="B4" t="s">
        <v>18</v>
      </c>
      <c r="C4">
        <v>1</v>
      </c>
      <c r="D4" s="1">
        <v>45295</v>
      </c>
      <c r="E4" s="1">
        <v>45295</v>
      </c>
      <c r="F4" t="s">
        <v>967</v>
      </c>
      <c r="G4" t="s">
        <v>1331</v>
      </c>
      <c r="H4" t="s">
        <v>1479</v>
      </c>
      <c r="I4">
        <v>1</v>
      </c>
      <c r="J4" s="2">
        <v>1520.12</v>
      </c>
      <c r="K4" s="3">
        <v>0</v>
      </c>
      <c r="L4" s="2">
        <v>1520.12</v>
      </c>
      <c r="M4" s="2">
        <v>547.69000000000005</v>
      </c>
      <c r="N4" t="s">
        <v>1495</v>
      </c>
      <c r="O4" t="s">
        <v>1498</v>
      </c>
      <c r="P4" t="s">
        <v>1501</v>
      </c>
    </row>
    <row r="5" spans="1:16" x14ac:dyDescent="0.3">
      <c r="A5">
        <v>4</v>
      </c>
      <c r="B5" t="s">
        <v>19</v>
      </c>
      <c r="C5">
        <v>1</v>
      </c>
      <c r="D5" s="1">
        <v>45296</v>
      </c>
      <c r="E5" s="1">
        <v>45299</v>
      </c>
      <c r="F5" t="s">
        <v>968</v>
      </c>
      <c r="G5" t="s">
        <v>1332</v>
      </c>
      <c r="H5" t="s">
        <v>1480</v>
      </c>
      <c r="I5">
        <v>1</v>
      </c>
      <c r="J5" s="2">
        <v>45652.65</v>
      </c>
      <c r="K5" s="3">
        <v>0</v>
      </c>
      <c r="L5" s="2">
        <v>45652.65</v>
      </c>
      <c r="M5" s="2">
        <v>7144.63</v>
      </c>
      <c r="N5" t="s">
        <v>1496</v>
      </c>
      <c r="O5" t="s">
        <v>1498</v>
      </c>
      <c r="P5" t="s">
        <v>1501</v>
      </c>
    </row>
    <row r="6" spans="1:16" x14ac:dyDescent="0.3">
      <c r="A6">
        <v>5</v>
      </c>
      <c r="B6" t="s">
        <v>20</v>
      </c>
      <c r="C6">
        <v>1</v>
      </c>
      <c r="D6" s="1">
        <v>45296</v>
      </c>
      <c r="E6" s="1">
        <v>45299</v>
      </c>
      <c r="F6" t="s">
        <v>969</v>
      </c>
      <c r="G6" t="s">
        <v>1333</v>
      </c>
      <c r="H6" t="s">
        <v>1480</v>
      </c>
      <c r="I6">
        <v>1</v>
      </c>
      <c r="J6" s="2">
        <v>16375.46</v>
      </c>
      <c r="K6" s="3">
        <v>0</v>
      </c>
      <c r="L6" s="2">
        <v>16375.46</v>
      </c>
      <c r="M6" s="2">
        <v>2074.31</v>
      </c>
      <c r="N6" t="s">
        <v>1496</v>
      </c>
      <c r="O6" t="s">
        <v>1499</v>
      </c>
      <c r="P6" t="s">
        <v>1501</v>
      </c>
    </row>
    <row r="7" spans="1:16" x14ac:dyDescent="0.3">
      <c r="A7">
        <v>6</v>
      </c>
      <c r="B7" t="s">
        <v>21</v>
      </c>
      <c r="C7">
        <v>2</v>
      </c>
      <c r="D7" s="1">
        <v>45300</v>
      </c>
      <c r="E7" s="1">
        <v>45301</v>
      </c>
      <c r="F7" t="s">
        <v>970</v>
      </c>
      <c r="G7" t="s">
        <v>1334</v>
      </c>
      <c r="H7" t="s">
        <v>1481</v>
      </c>
      <c r="I7">
        <v>1</v>
      </c>
      <c r="J7" s="2">
        <v>1178.5899999999999</v>
      </c>
      <c r="K7" s="3">
        <v>0</v>
      </c>
      <c r="L7" s="2">
        <v>1178.5899999999999</v>
      </c>
      <c r="M7" s="2">
        <v>152.63999999999999</v>
      </c>
      <c r="N7" t="s">
        <v>1496</v>
      </c>
      <c r="O7" t="s">
        <v>1498</v>
      </c>
      <c r="P7" t="s">
        <v>1501</v>
      </c>
    </row>
    <row r="8" spans="1:16" x14ac:dyDescent="0.3">
      <c r="A8">
        <v>7</v>
      </c>
      <c r="B8" t="s">
        <v>22</v>
      </c>
      <c r="C8">
        <v>1</v>
      </c>
      <c r="D8" s="1">
        <v>45301</v>
      </c>
      <c r="E8" s="1">
        <v>45302</v>
      </c>
      <c r="F8" t="s">
        <v>971</v>
      </c>
      <c r="G8" t="s">
        <v>1335</v>
      </c>
      <c r="H8" t="s">
        <v>1480</v>
      </c>
      <c r="I8">
        <v>2</v>
      </c>
      <c r="J8" s="2">
        <v>2828.96</v>
      </c>
      <c r="K8" s="3">
        <v>0.1</v>
      </c>
      <c r="L8" s="2">
        <v>5092.13</v>
      </c>
      <c r="M8" s="2">
        <v>652.15</v>
      </c>
      <c r="N8" t="s">
        <v>1495</v>
      </c>
      <c r="O8" t="s">
        <v>1500</v>
      </c>
      <c r="P8" t="s">
        <v>1502</v>
      </c>
    </row>
    <row r="9" spans="1:16" x14ac:dyDescent="0.3">
      <c r="A9">
        <v>8</v>
      </c>
      <c r="B9" t="s">
        <v>23</v>
      </c>
      <c r="C9">
        <v>2</v>
      </c>
      <c r="D9" s="1">
        <v>45302</v>
      </c>
      <c r="E9" s="1">
        <v>45303</v>
      </c>
      <c r="F9" t="s">
        <v>972</v>
      </c>
      <c r="G9" t="s">
        <v>1336</v>
      </c>
      <c r="H9" t="s">
        <v>1480</v>
      </c>
      <c r="I9">
        <v>1</v>
      </c>
      <c r="J9" s="2">
        <v>18469.3</v>
      </c>
      <c r="K9" s="3">
        <v>0.05</v>
      </c>
      <c r="L9" s="2">
        <v>17545.830000000002</v>
      </c>
      <c r="M9" s="2">
        <v>3975.19</v>
      </c>
      <c r="N9" t="s">
        <v>1495</v>
      </c>
      <c r="O9" t="s">
        <v>1498</v>
      </c>
      <c r="P9" t="s">
        <v>1501</v>
      </c>
    </row>
    <row r="10" spans="1:16" x14ac:dyDescent="0.3">
      <c r="A10">
        <v>9</v>
      </c>
      <c r="B10" t="s">
        <v>24</v>
      </c>
      <c r="C10">
        <v>1</v>
      </c>
      <c r="D10" s="1">
        <v>45302</v>
      </c>
      <c r="E10" s="1">
        <v>45303</v>
      </c>
      <c r="F10" t="s">
        <v>973</v>
      </c>
      <c r="G10" t="s">
        <v>1337</v>
      </c>
      <c r="H10" t="s">
        <v>1482</v>
      </c>
      <c r="I10">
        <v>2</v>
      </c>
      <c r="J10" s="2">
        <v>12042.96</v>
      </c>
      <c r="K10" s="3">
        <v>0.05</v>
      </c>
      <c r="L10" s="2">
        <v>22881.62</v>
      </c>
      <c r="M10" s="2">
        <v>998.42</v>
      </c>
      <c r="N10" t="s">
        <v>1497</v>
      </c>
      <c r="O10" t="s">
        <v>1498</v>
      </c>
      <c r="P10" t="s">
        <v>1501</v>
      </c>
    </row>
    <row r="11" spans="1:16" x14ac:dyDescent="0.3">
      <c r="A11">
        <v>10</v>
      </c>
      <c r="B11" t="s">
        <v>24</v>
      </c>
      <c r="C11">
        <v>2</v>
      </c>
      <c r="D11" s="1">
        <v>45302</v>
      </c>
      <c r="E11" s="1">
        <v>45303</v>
      </c>
      <c r="F11" t="s">
        <v>973</v>
      </c>
      <c r="G11" t="s">
        <v>1338</v>
      </c>
      <c r="H11" t="s">
        <v>1482</v>
      </c>
      <c r="I11">
        <v>1</v>
      </c>
      <c r="J11" s="2">
        <v>1151.02</v>
      </c>
      <c r="K11" s="3">
        <v>0</v>
      </c>
      <c r="L11" s="2">
        <v>1151.02</v>
      </c>
      <c r="M11" s="2">
        <v>149.55000000000001</v>
      </c>
      <c r="N11" t="s">
        <v>1497</v>
      </c>
      <c r="O11" t="s">
        <v>1498</v>
      </c>
      <c r="P11" t="s">
        <v>1501</v>
      </c>
    </row>
    <row r="12" spans="1:16" x14ac:dyDescent="0.3">
      <c r="A12">
        <v>11</v>
      </c>
      <c r="B12" t="s">
        <v>25</v>
      </c>
      <c r="C12">
        <v>1</v>
      </c>
      <c r="D12" s="1">
        <v>45302</v>
      </c>
      <c r="E12" s="1">
        <v>45302</v>
      </c>
      <c r="F12" t="s">
        <v>974</v>
      </c>
      <c r="G12" t="s">
        <v>1339</v>
      </c>
      <c r="H12" t="s">
        <v>1481</v>
      </c>
      <c r="I12">
        <v>1</v>
      </c>
      <c r="J12" s="2">
        <v>763.54</v>
      </c>
      <c r="K12" s="3">
        <v>0.05</v>
      </c>
      <c r="L12" s="2">
        <v>725.36</v>
      </c>
      <c r="M12" s="2">
        <v>202.8</v>
      </c>
      <c r="N12" t="s">
        <v>1493</v>
      </c>
      <c r="O12" t="s">
        <v>1500</v>
      </c>
      <c r="P12" t="s">
        <v>1501</v>
      </c>
    </row>
    <row r="13" spans="1:16" x14ac:dyDescent="0.3">
      <c r="A13">
        <v>12</v>
      </c>
      <c r="B13" t="s">
        <v>25</v>
      </c>
      <c r="C13">
        <v>2</v>
      </c>
      <c r="D13" s="1">
        <v>45302</v>
      </c>
      <c r="E13" s="1">
        <v>45302</v>
      </c>
      <c r="F13" t="s">
        <v>974</v>
      </c>
      <c r="G13" t="s">
        <v>1340</v>
      </c>
      <c r="H13" t="s">
        <v>1481</v>
      </c>
      <c r="I13">
        <v>1</v>
      </c>
      <c r="J13" s="2">
        <v>5570.6</v>
      </c>
      <c r="K13" s="3">
        <v>0.1</v>
      </c>
      <c r="L13" s="2">
        <v>5013.54</v>
      </c>
      <c r="M13" s="2">
        <v>946.01</v>
      </c>
      <c r="N13" t="s">
        <v>1493</v>
      </c>
      <c r="O13" t="s">
        <v>1500</v>
      </c>
      <c r="P13" t="s">
        <v>1501</v>
      </c>
    </row>
    <row r="14" spans="1:16" x14ac:dyDescent="0.3">
      <c r="A14">
        <v>13</v>
      </c>
      <c r="B14" t="s">
        <v>26</v>
      </c>
      <c r="C14">
        <v>1</v>
      </c>
      <c r="D14" s="1">
        <v>45302</v>
      </c>
      <c r="E14" s="1">
        <v>45302</v>
      </c>
      <c r="F14" t="s">
        <v>975</v>
      </c>
      <c r="G14" t="s">
        <v>1341</v>
      </c>
      <c r="H14" t="s">
        <v>1483</v>
      </c>
      <c r="I14">
        <v>1</v>
      </c>
      <c r="J14" s="2">
        <v>1648.45</v>
      </c>
      <c r="K14" s="3">
        <v>0</v>
      </c>
      <c r="L14" s="2">
        <v>1648.45</v>
      </c>
      <c r="M14" s="2">
        <v>494.33</v>
      </c>
      <c r="N14" t="s">
        <v>1495</v>
      </c>
      <c r="O14" t="s">
        <v>1498</v>
      </c>
      <c r="P14" t="s">
        <v>1501</v>
      </c>
    </row>
    <row r="15" spans="1:16" x14ac:dyDescent="0.3">
      <c r="A15">
        <v>14</v>
      </c>
      <c r="B15" t="s">
        <v>27</v>
      </c>
      <c r="C15">
        <v>1</v>
      </c>
      <c r="D15" s="1">
        <v>45305</v>
      </c>
      <c r="E15" s="1">
        <v>45306</v>
      </c>
      <c r="F15" t="s">
        <v>976</v>
      </c>
      <c r="G15" t="s">
        <v>1337</v>
      </c>
      <c r="H15" t="s">
        <v>1482</v>
      </c>
      <c r="I15">
        <v>1</v>
      </c>
      <c r="J15" s="2">
        <v>12042.96</v>
      </c>
      <c r="K15" s="3">
        <v>0</v>
      </c>
      <c r="L15" s="2">
        <v>12042.96</v>
      </c>
      <c r="M15" s="2">
        <v>1101.3599999999999</v>
      </c>
      <c r="N15" t="s">
        <v>1494</v>
      </c>
      <c r="O15" t="s">
        <v>1498</v>
      </c>
      <c r="P15" t="s">
        <v>1501</v>
      </c>
    </row>
    <row r="16" spans="1:16" x14ac:dyDescent="0.3">
      <c r="A16">
        <v>15</v>
      </c>
      <c r="B16" t="s">
        <v>28</v>
      </c>
      <c r="C16">
        <v>2</v>
      </c>
      <c r="D16" s="1">
        <v>45305</v>
      </c>
      <c r="E16" s="1">
        <v>45305</v>
      </c>
      <c r="F16" t="s">
        <v>977</v>
      </c>
      <c r="G16" t="s">
        <v>1342</v>
      </c>
      <c r="H16" t="s">
        <v>1484</v>
      </c>
      <c r="I16">
        <v>1</v>
      </c>
      <c r="J16" s="2">
        <v>18924.84</v>
      </c>
      <c r="K16" s="3">
        <v>0.1</v>
      </c>
      <c r="L16" s="2">
        <v>17032.36</v>
      </c>
      <c r="M16" s="2">
        <v>889.12</v>
      </c>
      <c r="N16" t="s">
        <v>1493</v>
      </c>
      <c r="O16" t="s">
        <v>1499</v>
      </c>
      <c r="P16" t="s">
        <v>1501</v>
      </c>
    </row>
    <row r="17" spans="1:16" x14ac:dyDescent="0.3">
      <c r="A17">
        <v>16</v>
      </c>
      <c r="B17" t="s">
        <v>29</v>
      </c>
      <c r="C17">
        <v>1</v>
      </c>
      <c r="D17" s="1">
        <v>45306</v>
      </c>
      <c r="F17" t="s">
        <v>978</v>
      </c>
      <c r="G17" t="s">
        <v>1343</v>
      </c>
      <c r="H17" t="s">
        <v>1483</v>
      </c>
      <c r="I17">
        <v>3</v>
      </c>
      <c r="J17" s="2">
        <v>7138.26</v>
      </c>
      <c r="K17" s="3">
        <v>0.2</v>
      </c>
      <c r="L17" s="2">
        <v>17131.82</v>
      </c>
      <c r="M17" s="2">
        <v>708.95</v>
      </c>
      <c r="N17" t="s">
        <v>1495</v>
      </c>
      <c r="O17" t="s">
        <v>1498</v>
      </c>
      <c r="P17" t="s">
        <v>1503</v>
      </c>
    </row>
    <row r="18" spans="1:16" x14ac:dyDescent="0.3">
      <c r="A18">
        <v>17</v>
      </c>
      <c r="B18" t="s">
        <v>30</v>
      </c>
      <c r="C18">
        <v>1</v>
      </c>
      <c r="D18" s="1">
        <v>45307</v>
      </c>
      <c r="E18" s="1">
        <v>45307</v>
      </c>
      <c r="F18" t="s">
        <v>975</v>
      </c>
      <c r="G18" t="s">
        <v>1344</v>
      </c>
      <c r="H18" t="s">
        <v>1484</v>
      </c>
      <c r="I18">
        <v>1</v>
      </c>
      <c r="J18" s="2">
        <v>555.59</v>
      </c>
      <c r="K18" s="3">
        <v>0</v>
      </c>
      <c r="L18" s="2">
        <v>555.59</v>
      </c>
      <c r="M18" s="2">
        <v>176.49</v>
      </c>
      <c r="N18" t="s">
        <v>1496</v>
      </c>
      <c r="O18" t="s">
        <v>1498</v>
      </c>
      <c r="P18" t="s">
        <v>1501</v>
      </c>
    </row>
    <row r="19" spans="1:16" x14ac:dyDescent="0.3">
      <c r="A19">
        <v>18</v>
      </c>
      <c r="B19" t="s">
        <v>31</v>
      </c>
      <c r="C19">
        <v>2</v>
      </c>
      <c r="D19" s="1">
        <v>45308</v>
      </c>
      <c r="E19" s="1">
        <v>45308</v>
      </c>
      <c r="F19" t="s">
        <v>979</v>
      </c>
      <c r="G19" t="s">
        <v>1345</v>
      </c>
      <c r="H19" t="s">
        <v>1485</v>
      </c>
      <c r="I19">
        <v>1</v>
      </c>
      <c r="J19" s="2">
        <v>8112.78</v>
      </c>
      <c r="K19" s="3">
        <v>0</v>
      </c>
      <c r="L19" s="2">
        <v>8112.78</v>
      </c>
      <c r="M19" s="2">
        <v>1235.06</v>
      </c>
      <c r="N19" t="s">
        <v>1496</v>
      </c>
      <c r="O19" t="s">
        <v>1498</v>
      </c>
      <c r="P19" t="s">
        <v>1501</v>
      </c>
    </row>
    <row r="20" spans="1:16" x14ac:dyDescent="0.3">
      <c r="A20">
        <v>19</v>
      </c>
      <c r="B20" t="s">
        <v>32</v>
      </c>
      <c r="C20">
        <v>1</v>
      </c>
      <c r="D20" s="1">
        <v>45308</v>
      </c>
      <c r="E20" s="1">
        <v>45309</v>
      </c>
      <c r="F20" t="s">
        <v>980</v>
      </c>
      <c r="G20" t="s">
        <v>1346</v>
      </c>
      <c r="H20" t="s">
        <v>1480</v>
      </c>
      <c r="I20">
        <v>2</v>
      </c>
      <c r="J20" s="2">
        <v>3324.39</v>
      </c>
      <c r="K20" s="3">
        <v>0</v>
      </c>
      <c r="L20" s="2">
        <v>6648.78</v>
      </c>
      <c r="M20" s="2">
        <v>2468.04</v>
      </c>
      <c r="N20" t="s">
        <v>1495</v>
      </c>
      <c r="O20" t="s">
        <v>1498</v>
      </c>
      <c r="P20" t="s">
        <v>1501</v>
      </c>
    </row>
    <row r="21" spans="1:16" x14ac:dyDescent="0.3">
      <c r="A21">
        <v>20</v>
      </c>
      <c r="B21" t="s">
        <v>33</v>
      </c>
      <c r="C21">
        <v>1</v>
      </c>
      <c r="D21" s="1">
        <v>45308</v>
      </c>
      <c r="E21" s="1">
        <v>45309</v>
      </c>
      <c r="F21" t="s">
        <v>981</v>
      </c>
      <c r="G21" t="s">
        <v>1347</v>
      </c>
      <c r="H21" t="s">
        <v>1486</v>
      </c>
      <c r="I21">
        <v>1</v>
      </c>
      <c r="J21" s="2">
        <v>56707.06</v>
      </c>
      <c r="K21" s="3">
        <v>0</v>
      </c>
      <c r="L21" s="2">
        <v>56707.06</v>
      </c>
      <c r="M21" s="2">
        <v>8963.85</v>
      </c>
      <c r="N21" t="s">
        <v>1497</v>
      </c>
      <c r="O21" t="s">
        <v>1498</v>
      </c>
      <c r="P21" t="s">
        <v>1501</v>
      </c>
    </row>
    <row r="22" spans="1:16" x14ac:dyDescent="0.3">
      <c r="A22">
        <v>21</v>
      </c>
      <c r="B22" t="s">
        <v>34</v>
      </c>
      <c r="C22">
        <v>2</v>
      </c>
      <c r="D22" s="1">
        <v>45309</v>
      </c>
      <c r="E22" s="1">
        <v>45312</v>
      </c>
      <c r="F22" t="s">
        <v>982</v>
      </c>
      <c r="G22" t="s">
        <v>1348</v>
      </c>
      <c r="H22" t="s">
        <v>1480</v>
      </c>
      <c r="I22">
        <v>1</v>
      </c>
      <c r="J22" s="2">
        <v>921.12</v>
      </c>
      <c r="K22" s="3">
        <v>0.1</v>
      </c>
      <c r="L22" s="2">
        <v>829.01</v>
      </c>
      <c r="M22" s="2">
        <v>290.97000000000003</v>
      </c>
      <c r="N22" t="s">
        <v>1493</v>
      </c>
      <c r="O22" t="s">
        <v>1498</v>
      </c>
      <c r="P22" t="s">
        <v>1501</v>
      </c>
    </row>
    <row r="23" spans="1:16" x14ac:dyDescent="0.3">
      <c r="A23">
        <v>22</v>
      </c>
      <c r="B23" t="s">
        <v>35</v>
      </c>
      <c r="C23">
        <v>1</v>
      </c>
      <c r="D23" s="1">
        <v>45309</v>
      </c>
      <c r="E23" s="1">
        <v>45312</v>
      </c>
      <c r="F23" t="s">
        <v>983</v>
      </c>
      <c r="G23" t="s">
        <v>1349</v>
      </c>
      <c r="H23" t="s">
        <v>1480</v>
      </c>
      <c r="I23">
        <v>1</v>
      </c>
      <c r="J23" s="2">
        <v>2650.66</v>
      </c>
      <c r="K23" s="3">
        <v>0</v>
      </c>
      <c r="L23" s="2">
        <v>2650.66</v>
      </c>
      <c r="M23" s="2">
        <v>861.03</v>
      </c>
      <c r="N23" t="s">
        <v>1496</v>
      </c>
      <c r="O23" t="s">
        <v>1500</v>
      </c>
      <c r="P23" t="s">
        <v>1501</v>
      </c>
    </row>
    <row r="24" spans="1:16" x14ac:dyDescent="0.3">
      <c r="A24">
        <v>23</v>
      </c>
      <c r="B24" t="s">
        <v>36</v>
      </c>
      <c r="C24">
        <v>1</v>
      </c>
      <c r="D24" s="1">
        <v>45310</v>
      </c>
      <c r="E24" s="1">
        <v>45311</v>
      </c>
      <c r="F24" t="s">
        <v>984</v>
      </c>
      <c r="G24" t="s">
        <v>1350</v>
      </c>
      <c r="H24" t="s">
        <v>1487</v>
      </c>
      <c r="I24">
        <v>1</v>
      </c>
      <c r="J24" s="2">
        <v>53290.400000000001</v>
      </c>
      <c r="K24" s="3">
        <v>0</v>
      </c>
      <c r="L24" s="2">
        <v>53290.400000000001</v>
      </c>
      <c r="M24" s="2">
        <v>7231.68</v>
      </c>
      <c r="N24" t="s">
        <v>1495</v>
      </c>
      <c r="O24" t="s">
        <v>1499</v>
      </c>
      <c r="P24" t="s">
        <v>1501</v>
      </c>
    </row>
    <row r="25" spans="1:16" x14ac:dyDescent="0.3">
      <c r="A25">
        <v>24</v>
      </c>
      <c r="B25" t="s">
        <v>37</v>
      </c>
      <c r="C25">
        <v>1</v>
      </c>
      <c r="D25" s="1">
        <v>45311</v>
      </c>
      <c r="E25" s="1">
        <v>45311</v>
      </c>
      <c r="F25" t="s">
        <v>985</v>
      </c>
      <c r="G25" t="s">
        <v>1351</v>
      </c>
      <c r="H25" t="s">
        <v>1483</v>
      </c>
      <c r="I25">
        <v>1</v>
      </c>
      <c r="J25" s="2">
        <v>5049.71</v>
      </c>
      <c r="K25" s="3">
        <v>0.1</v>
      </c>
      <c r="L25" s="2">
        <v>4544.74</v>
      </c>
      <c r="M25" s="2">
        <v>809.94</v>
      </c>
      <c r="N25" t="s">
        <v>1496</v>
      </c>
      <c r="O25" t="s">
        <v>1499</v>
      </c>
      <c r="P25" t="s">
        <v>1501</v>
      </c>
    </row>
    <row r="26" spans="1:16" x14ac:dyDescent="0.3">
      <c r="A26">
        <v>25</v>
      </c>
      <c r="B26" t="s">
        <v>38</v>
      </c>
      <c r="C26">
        <v>1</v>
      </c>
      <c r="D26" s="1">
        <v>45311</v>
      </c>
      <c r="E26" s="1">
        <v>45312</v>
      </c>
      <c r="F26" t="s">
        <v>986</v>
      </c>
      <c r="G26" t="s">
        <v>1352</v>
      </c>
      <c r="H26" t="s">
        <v>1484</v>
      </c>
      <c r="I26">
        <v>1</v>
      </c>
      <c r="J26" s="2">
        <v>3696.44</v>
      </c>
      <c r="K26" s="3">
        <v>0.05</v>
      </c>
      <c r="L26" s="2">
        <v>3511.62</v>
      </c>
      <c r="M26" s="2">
        <v>1429.06</v>
      </c>
      <c r="N26" t="s">
        <v>1496</v>
      </c>
      <c r="O26" t="s">
        <v>1498</v>
      </c>
      <c r="P26" t="s">
        <v>1501</v>
      </c>
    </row>
    <row r="27" spans="1:16" x14ac:dyDescent="0.3">
      <c r="A27">
        <v>26</v>
      </c>
      <c r="B27" t="s">
        <v>39</v>
      </c>
      <c r="C27">
        <v>3</v>
      </c>
      <c r="D27" s="1">
        <v>45312</v>
      </c>
      <c r="E27" s="1">
        <v>45314</v>
      </c>
      <c r="F27" t="s">
        <v>987</v>
      </c>
      <c r="G27" t="s">
        <v>1353</v>
      </c>
      <c r="H27" t="s">
        <v>1480</v>
      </c>
      <c r="I27">
        <v>2</v>
      </c>
      <c r="J27" s="2">
        <v>370.27</v>
      </c>
      <c r="K27" s="3">
        <v>0</v>
      </c>
      <c r="L27" s="2">
        <v>740.54</v>
      </c>
      <c r="M27" s="2">
        <v>263.16000000000003</v>
      </c>
      <c r="N27" t="s">
        <v>1495</v>
      </c>
      <c r="O27" t="s">
        <v>1500</v>
      </c>
      <c r="P27" t="s">
        <v>1501</v>
      </c>
    </row>
    <row r="28" spans="1:16" x14ac:dyDescent="0.3">
      <c r="A28">
        <v>27</v>
      </c>
      <c r="B28" t="s">
        <v>40</v>
      </c>
      <c r="C28">
        <v>2</v>
      </c>
      <c r="D28" s="1">
        <v>45314</v>
      </c>
      <c r="E28" s="1">
        <v>45315</v>
      </c>
      <c r="F28" t="s">
        <v>988</v>
      </c>
      <c r="G28" t="s">
        <v>1354</v>
      </c>
      <c r="H28" t="s">
        <v>1483</v>
      </c>
      <c r="I28">
        <v>1</v>
      </c>
      <c r="J28" s="2">
        <v>45654.38</v>
      </c>
      <c r="K28" s="3">
        <v>0</v>
      </c>
      <c r="L28" s="2">
        <v>45654.38</v>
      </c>
      <c r="M28" s="2">
        <v>12954.5</v>
      </c>
      <c r="N28" t="s">
        <v>1496</v>
      </c>
      <c r="O28" t="s">
        <v>1498</v>
      </c>
      <c r="P28" t="s">
        <v>1501</v>
      </c>
    </row>
    <row r="29" spans="1:16" x14ac:dyDescent="0.3">
      <c r="A29">
        <v>28</v>
      </c>
      <c r="B29" t="s">
        <v>41</v>
      </c>
      <c r="C29">
        <v>1</v>
      </c>
      <c r="D29" s="1">
        <v>45314</v>
      </c>
      <c r="E29" s="1">
        <v>45316</v>
      </c>
      <c r="F29" t="s">
        <v>989</v>
      </c>
      <c r="G29" t="s">
        <v>1355</v>
      </c>
      <c r="H29" t="s">
        <v>1480</v>
      </c>
      <c r="I29">
        <v>1</v>
      </c>
      <c r="J29" s="2">
        <v>38093.910000000003</v>
      </c>
      <c r="K29" s="3">
        <v>0</v>
      </c>
      <c r="L29" s="2">
        <v>38093.910000000003</v>
      </c>
      <c r="M29" s="2">
        <v>3769.28</v>
      </c>
      <c r="N29" t="s">
        <v>1494</v>
      </c>
      <c r="O29" t="s">
        <v>1499</v>
      </c>
      <c r="P29" t="s">
        <v>1501</v>
      </c>
    </row>
    <row r="30" spans="1:16" x14ac:dyDescent="0.3">
      <c r="A30">
        <v>29</v>
      </c>
      <c r="B30" t="s">
        <v>42</v>
      </c>
      <c r="C30">
        <v>1</v>
      </c>
      <c r="D30" s="1">
        <v>45315</v>
      </c>
      <c r="E30" s="1">
        <v>45315</v>
      </c>
      <c r="F30" t="s">
        <v>990</v>
      </c>
      <c r="G30" t="s">
        <v>1356</v>
      </c>
      <c r="H30" t="s">
        <v>1488</v>
      </c>
      <c r="I30">
        <v>2</v>
      </c>
      <c r="J30" s="2">
        <v>68671.53</v>
      </c>
      <c r="K30" s="3">
        <v>0</v>
      </c>
      <c r="L30" s="2">
        <v>137343.06</v>
      </c>
      <c r="M30" s="2">
        <v>21405.18</v>
      </c>
      <c r="N30" t="s">
        <v>1493</v>
      </c>
      <c r="O30" t="s">
        <v>1499</v>
      </c>
      <c r="P30" t="s">
        <v>1501</v>
      </c>
    </row>
    <row r="31" spans="1:16" x14ac:dyDescent="0.3">
      <c r="A31">
        <v>30</v>
      </c>
      <c r="B31" t="s">
        <v>43</v>
      </c>
      <c r="C31">
        <v>1</v>
      </c>
      <c r="D31" s="1">
        <v>45318</v>
      </c>
      <c r="E31" s="1">
        <v>45318</v>
      </c>
      <c r="F31" t="s">
        <v>970</v>
      </c>
      <c r="G31" t="s">
        <v>1357</v>
      </c>
      <c r="H31" t="s">
        <v>1481</v>
      </c>
      <c r="I31">
        <v>1</v>
      </c>
      <c r="J31" s="2">
        <v>986.91</v>
      </c>
      <c r="K31" s="3">
        <v>0</v>
      </c>
      <c r="L31" s="2">
        <v>986.91</v>
      </c>
      <c r="M31" s="2">
        <v>128.72999999999999</v>
      </c>
      <c r="N31" t="s">
        <v>1496</v>
      </c>
      <c r="O31" t="s">
        <v>1498</v>
      </c>
      <c r="P31" t="s">
        <v>1501</v>
      </c>
    </row>
    <row r="32" spans="1:16" x14ac:dyDescent="0.3">
      <c r="A32">
        <v>31</v>
      </c>
      <c r="B32" t="s">
        <v>44</v>
      </c>
      <c r="C32">
        <v>1</v>
      </c>
      <c r="D32" s="1">
        <v>45318</v>
      </c>
      <c r="E32" s="1">
        <v>45319</v>
      </c>
      <c r="F32" t="s">
        <v>991</v>
      </c>
      <c r="G32" t="s">
        <v>1358</v>
      </c>
      <c r="H32" t="s">
        <v>1478</v>
      </c>
      <c r="I32">
        <v>1</v>
      </c>
      <c r="J32" s="2">
        <v>37487.300000000003</v>
      </c>
      <c r="K32" s="3">
        <v>0.15</v>
      </c>
      <c r="L32" s="2">
        <v>31864.21</v>
      </c>
      <c r="M32" s="2">
        <v>-2019.54</v>
      </c>
      <c r="N32" t="s">
        <v>1496</v>
      </c>
      <c r="O32" t="s">
        <v>1498</v>
      </c>
      <c r="P32" t="s">
        <v>1501</v>
      </c>
    </row>
    <row r="33" spans="1:16" x14ac:dyDescent="0.3">
      <c r="A33">
        <v>32</v>
      </c>
      <c r="B33" t="s">
        <v>45</v>
      </c>
      <c r="C33">
        <v>1</v>
      </c>
      <c r="D33" s="1">
        <v>45319</v>
      </c>
      <c r="E33" s="1">
        <v>45319</v>
      </c>
      <c r="F33" t="s">
        <v>992</v>
      </c>
      <c r="G33" t="s">
        <v>1358</v>
      </c>
      <c r="H33" t="s">
        <v>1486</v>
      </c>
      <c r="I33">
        <v>1</v>
      </c>
      <c r="J33" s="2">
        <v>37487.300000000003</v>
      </c>
      <c r="K33" s="3">
        <v>0</v>
      </c>
      <c r="L33" s="2">
        <v>37487.300000000003</v>
      </c>
      <c r="M33" s="2">
        <v>3603.55</v>
      </c>
      <c r="N33" t="s">
        <v>1496</v>
      </c>
      <c r="O33" t="s">
        <v>1498</v>
      </c>
      <c r="P33" t="s">
        <v>1501</v>
      </c>
    </row>
    <row r="34" spans="1:16" x14ac:dyDescent="0.3">
      <c r="A34">
        <v>33</v>
      </c>
      <c r="B34" t="s">
        <v>46</v>
      </c>
      <c r="C34">
        <v>1</v>
      </c>
      <c r="D34" s="1">
        <v>45319</v>
      </c>
      <c r="E34" s="1">
        <v>45319</v>
      </c>
      <c r="F34" t="s">
        <v>993</v>
      </c>
      <c r="G34" t="s">
        <v>1359</v>
      </c>
      <c r="H34" t="s">
        <v>1478</v>
      </c>
      <c r="I34">
        <v>4</v>
      </c>
      <c r="J34" s="2">
        <v>5570.41</v>
      </c>
      <c r="K34" s="3">
        <v>0</v>
      </c>
      <c r="L34" s="2">
        <v>22281.64</v>
      </c>
      <c r="M34" s="2">
        <v>5681.2</v>
      </c>
      <c r="N34" t="s">
        <v>1494</v>
      </c>
      <c r="O34" t="s">
        <v>1498</v>
      </c>
      <c r="P34" t="s">
        <v>1501</v>
      </c>
    </row>
    <row r="35" spans="1:16" x14ac:dyDescent="0.3">
      <c r="A35">
        <v>34</v>
      </c>
      <c r="B35" t="s">
        <v>47</v>
      </c>
      <c r="C35">
        <v>1</v>
      </c>
      <c r="D35" s="1">
        <v>45321</v>
      </c>
      <c r="E35" s="1">
        <v>45323</v>
      </c>
      <c r="F35" t="s">
        <v>994</v>
      </c>
      <c r="G35" t="s">
        <v>1360</v>
      </c>
      <c r="H35" t="s">
        <v>1480</v>
      </c>
      <c r="I35">
        <v>1</v>
      </c>
      <c r="J35" s="2">
        <v>1166.3499999999999</v>
      </c>
      <c r="K35" s="3">
        <v>0.15</v>
      </c>
      <c r="L35" s="2">
        <v>991.4</v>
      </c>
      <c r="M35" s="2">
        <v>-38.340000000000003</v>
      </c>
      <c r="N35" t="s">
        <v>1497</v>
      </c>
      <c r="O35" t="s">
        <v>1498</v>
      </c>
      <c r="P35" t="s">
        <v>1501</v>
      </c>
    </row>
    <row r="36" spans="1:16" x14ac:dyDescent="0.3">
      <c r="A36">
        <v>35</v>
      </c>
      <c r="B36" t="s">
        <v>48</v>
      </c>
      <c r="C36">
        <v>1</v>
      </c>
      <c r="D36" s="1">
        <v>45322</v>
      </c>
      <c r="E36" s="1">
        <v>45324</v>
      </c>
      <c r="F36" t="s">
        <v>994</v>
      </c>
      <c r="G36" t="s">
        <v>1361</v>
      </c>
      <c r="H36" t="s">
        <v>1480</v>
      </c>
      <c r="I36">
        <v>1</v>
      </c>
      <c r="J36" s="2">
        <v>4840.8599999999997</v>
      </c>
      <c r="K36" s="3">
        <v>0.2</v>
      </c>
      <c r="L36" s="2">
        <v>3872.69</v>
      </c>
      <c r="M36" s="2">
        <v>467.28</v>
      </c>
      <c r="N36" t="s">
        <v>1494</v>
      </c>
      <c r="O36" t="s">
        <v>1498</v>
      </c>
      <c r="P36" t="s">
        <v>1501</v>
      </c>
    </row>
    <row r="37" spans="1:16" x14ac:dyDescent="0.3">
      <c r="A37">
        <v>36</v>
      </c>
      <c r="B37" t="s">
        <v>49</v>
      </c>
      <c r="C37">
        <v>1</v>
      </c>
      <c r="D37" s="1">
        <v>45322</v>
      </c>
      <c r="E37" s="1">
        <v>45322</v>
      </c>
      <c r="F37" t="s">
        <v>995</v>
      </c>
      <c r="G37" t="s">
        <v>1362</v>
      </c>
      <c r="H37" t="s">
        <v>1489</v>
      </c>
      <c r="I37">
        <v>3</v>
      </c>
      <c r="J37" s="2">
        <v>375.5</v>
      </c>
      <c r="K37" s="3">
        <v>0</v>
      </c>
      <c r="L37" s="2">
        <v>1126.5</v>
      </c>
      <c r="M37" s="2">
        <v>438.45</v>
      </c>
      <c r="N37" t="s">
        <v>1497</v>
      </c>
      <c r="O37" t="s">
        <v>1499</v>
      </c>
      <c r="P37" t="s">
        <v>1501</v>
      </c>
    </row>
    <row r="38" spans="1:16" x14ac:dyDescent="0.3">
      <c r="A38">
        <v>37</v>
      </c>
      <c r="B38" t="s">
        <v>50</v>
      </c>
      <c r="C38">
        <v>1</v>
      </c>
      <c r="D38" s="1">
        <v>45323</v>
      </c>
      <c r="E38" s="1">
        <v>45325</v>
      </c>
      <c r="F38" t="s">
        <v>996</v>
      </c>
      <c r="G38" t="s">
        <v>1354</v>
      </c>
      <c r="H38" t="s">
        <v>1480</v>
      </c>
      <c r="I38">
        <v>2</v>
      </c>
      <c r="J38" s="2">
        <v>45654.38</v>
      </c>
      <c r="K38" s="3">
        <v>0.1</v>
      </c>
      <c r="L38" s="2">
        <v>82177.88</v>
      </c>
      <c r="M38" s="2">
        <v>16778.12</v>
      </c>
      <c r="N38" t="s">
        <v>1496</v>
      </c>
      <c r="O38" t="s">
        <v>1498</v>
      </c>
      <c r="P38" t="s">
        <v>1501</v>
      </c>
    </row>
    <row r="39" spans="1:16" x14ac:dyDescent="0.3">
      <c r="A39">
        <v>38</v>
      </c>
      <c r="B39" t="s">
        <v>51</v>
      </c>
      <c r="C39">
        <v>2</v>
      </c>
      <c r="D39" s="1">
        <v>45323</v>
      </c>
      <c r="E39" s="1">
        <v>45324</v>
      </c>
      <c r="F39" t="s">
        <v>977</v>
      </c>
      <c r="G39" t="s">
        <v>1363</v>
      </c>
      <c r="H39" t="s">
        <v>1484</v>
      </c>
      <c r="I39">
        <v>1</v>
      </c>
      <c r="J39" s="2">
        <v>23041.22</v>
      </c>
      <c r="K39" s="3">
        <v>0.05</v>
      </c>
      <c r="L39" s="2">
        <v>21889.16</v>
      </c>
      <c r="M39" s="2">
        <v>3812.68</v>
      </c>
      <c r="N39" t="s">
        <v>1496</v>
      </c>
      <c r="O39" t="s">
        <v>1500</v>
      </c>
      <c r="P39" t="s">
        <v>1501</v>
      </c>
    </row>
    <row r="40" spans="1:16" x14ac:dyDescent="0.3">
      <c r="A40">
        <v>39</v>
      </c>
      <c r="B40" t="s">
        <v>52</v>
      </c>
      <c r="C40">
        <v>1</v>
      </c>
      <c r="D40" s="1">
        <v>45325</v>
      </c>
      <c r="E40" s="1">
        <v>45326</v>
      </c>
      <c r="F40" t="s">
        <v>997</v>
      </c>
      <c r="G40" t="s">
        <v>1341</v>
      </c>
      <c r="H40" t="s">
        <v>1486</v>
      </c>
      <c r="I40">
        <v>2</v>
      </c>
      <c r="J40" s="2">
        <v>1648.45</v>
      </c>
      <c r="K40" s="3">
        <v>0</v>
      </c>
      <c r="L40" s="2">
        <v>3296.9</v>
      </c>
      <c r="M40" s="2">
        <v>988.66</v>
      </c>
      <c r="N40" t="s">
        <v>1495</v>
      </c>
      <c r="O40" t="s">
        <v>1499</v>
      </c>
      <c r="P40" t="s">
        <v>1501</v>
      </c>
    </row>
    <row r="41" spans="1:16" x14ac:dyDescent="0.3">
      <c r="A41">
        <v>40</v>
      </c>
      <c r="B41" t="s">
        <v>53</v>
      </c>
      <c r="C41">
        <v>1</v>
      </c>
      <c r="D41" s="1">
        <v>45326</v>
      </c>
      <c r="E41" s="1">
        <v>45326</v>
      </c>
      <c r="F41" t="s">
        <v>998</v>
      </c>
      <c r="G41" t="s">
        <v>1364</v>
      </c>
      <c r="H41" t="s">
        <v>1483</v>
      </c>
      <c r="I41">
        <v>1</v>
      </c>
      <c r="J41" s="2">
        <v>590.01</v>
      </c>
      <c r="K41" s="3">
        <v>0</v>
      </c>
      <c r="L41" s="2">
        <v>590.01</v>
      </c>
      <c r="M41" s="2">
        <v>72.55</v>
      </c>
      <c r="N41" t="s">
        <v>1494</v>
      </c>
      <c r="O41" t="s">
        <v>1498</v>
      </c>
      <c r="P41" t="s">
        <v>1501</v>
      </c>
    </row>
    <row r="42" spans="1:16" x14ac:dyDescent="0.3">
      <c r="A42">
        <v>41</v>
      </c>
      <c r="B42" t="s">
        <v>54</v>
      </c>
      <c r="C42">
        <v>1</v>
      </c>
      <c r="D42" s="1">
        <v>45326</v>
      </c>
      <c r="E42" s="1">
        <v>45326</v>
      </c>
      <c r="F42" t="s">
        <v>999</v>
      </c>
      <c r="G42" t="s">
        <v>1359</v>
      </c>
      <c r="H42" t="s">
        <v>1482</v>
      </c>
      <c r="I42">
        <v>1</v>
      </c>
      <c r="J42" s="2">
        <v>5570.41</v>
      </c>
      <c r="K42" s="3">
        <v>0</v>
      </c>
      <c r="L42" s="2">
        <v>5570.41</v>
      </c>
      <c r="M42" s="2">
        <v>1420.3</v>
      </c>
      <c r="N42" t="s">
        <v>1495</v>
      </c>
      <c r="O42" t="s">
        <v>1498</v>
      </c>
      <c r="P42" t="s">
        <v>1501</v>
      </c>
    </row>
    <row r="43" spans="1:16" x14ac:dyDescent="0.3">
      <c r="A43">
        <v>42</v>
      </c>
      <c r="B43" t="s">
        <v>55</v>
      </c>
      <c r="C43">
        <v>2</v>
      </c>
      <c r="D43" s="1">
        <v>45330</v>
      </c>
      <c r="E43" s="1">
        <v>45333</v>
      </c>
      <c r="F43" t="s">
        <v>1000</v>
      </c>
      <c r="G43" t="s">
        <v>1351</v>
      </c>
      <c r="H43" t="s">
        <v>1480</v>
      </c>
      <c r="I43">
        <v>1</v>
      </c>
      <c r="J43" s="2">
        <v>5049.71</v>
      </c>
      <c r="K43" s="3">
        <v>0</v>
      </c>
      <c r="L43" s="2">
        <v>5049.71</v>
      </c>
      <c r="M43" s="2">
        <v>1314.91</v>
      </c>
      <c r="N43" t="s">
        <v>1495</v>
      </c>
      <c r="O43" t="s">
        <v>1498</v>
      </c>
      <c r="P43" t="s">
        <v>1501</v>
      </c>
    </row>
    <row r="44" spans="1:16" x14ac:dyDescent="0.3">
      <c r="A44">
        <v>43</v>
      </c>
      <c r="B44" t="s">
        <v>56</v>
      </c>
      <c r="C44">
        <v>1</v>
      </c>
      <c r="D44" s="1">
        <v>45330</v>
      </c>
      <c r="E44" s="1">
        <v>45333</v>
      </c>
      <c r="F44" t="s">
        <v>1001</v>
      </c>
      <c r="G44" t="s">
        <v>1365</v>
      </c>
      <c r="H44" t="s">
        <v>1480</v>
      </c>
      <c r="I44">
        <v>3</v>
      </c>
      <c r="J44" s="2">
        <v>1749.13</v>
      </c>
      <c r="K44" s="3">
        <v>0.05</v>
      </c>
      <c r="L44" s="2">
        <v>4985.0200000000004</v>
      </c>
      <c r="M44" s="2">
        <v>1666.54</v>
      </c>
      <c r="N44" t="s">
        <v>1493</v>
      </c>
      <c r="O44" t="s">
        <v>1500</v>
      </c>
      <c r="P44" t="s">
        <v>1501</v>
      </c>
    </row>
    <row r="45" spans="1:16" x14ac:dyDescent="0.3">
      <c r="A45">
        <v>44</v>
      </c>
      <c r="B45" t="s">
        <v>57</v>
      </c>
      <c r="C45">
        <v>1</v>
      </c>
      <c r="D45" s="1">
        <v>45331</v>
      </c>
      <c r="E45" s="1">
        <v>45332</v>
      </c>
      <c r="F45" t="s">
        <v>1002</v>
      </c>
      <c r="G45" t="s">
        <v>1334</v>
      </c>
      <c r="H45" t="s">
        <v>1479</v>
      </c>
      <c r="I45">
        <v>1</v>
      </c>
      <c r="J45" s="2">
        <v>1178.5899999999999</v>
      </c>
      <c r="K45" s="3">
        <v>0</v>
      </c>
      <c r="L45" s="2">
        <v>1178.5899999999999</v>
      </c>
      <c r="M45" s="2">
        <v>152.63999999999999</v>
      </c>
      <c r="N45" t="s">
        <v>1495</v>
      </c>
      <c r="O45" t="s">
        <v>1499</v>
      </c>
      <c r="P45" t="s">
        <v>1502</v>
      </c>
    </row>
    <row r="46" spans="1:16" x14ac:dyDescent="0.3">
      <c r="A46">
        <v>45</v>
      </c>
      <c r="B46" t="s">
        <v>57</v>
      </c>
      <c r="C46">
        <v>3</v>
      </c>
      <c r="D46" s="1">
        <v>45331</v>
      </c>
      <c r="E46" s="1">
        <v>45332</v>
      </c>
      <c r="F46" t="s">
        <v>1002</v>
      </c>
      <c r="G46" t="s">
        <v>1366</v>
      </c>
      <c r="H46" t="s">
        <v>1479</v>
      </c>
      <c r="I46">
        <v>3</v>
      </c>
      <c r="J46" s="2">
        <v>1397.64</v>
      </c>
      <c r="K46" s="3">
        <v>0</v>
      </c>
      <c r="L46" s="2">
        <v>4192.92</v>
      </c>
      <c r="M46" s="2">
        <v>259.86</v>
      </c>
      <c r="N46" t="s">
        <v>1495</v>
      </c>
      <c r="O46" t="s">
        <v>1499</v>
      </c>
      <c r="P46" t="s">
        <v>1502</v>
      </c>
    </row>
    <row r="47" spans="1:16" x14ac:dyDescent="0.3">
      <c r="A47">
        <v>46</v>
      </c>
      <c r="B47" t="s">
        <v>58</v>
      </c>
      <c r="C47">
        <v>1</v>
      </c>
      <c r="D47" s="1">
        <v>45331</v>
      </c>
      <c r="E47" s="1">
        <v>45331</v>
      </c>
      <c r="F47" t="s">
        <v>1003</v>
      </c>
      <c r="G47" t="s">
        <v>1367</v>
      </c>
      <c r="H47" t="s">
        <v>1486</v>
      </c>
      <c r="I47">
        <v>1</v>
      </c>
      <c r="J47" s="2">
        <v>27891.1</v>
      </c>
      <c r="K47" s="3">
        <v>0</v>
      </c>
      <c r="L47" s="2">
        <v>27891.1</v>
      </c>
      <c r="M47" s="2">
        <v>7842.54</v>
      </c>
      <c r="N47" t="s">
        <v>1494</v>
      </c>
      <c r="O47" t="s">
        <v>1498</v>
      </c>
      <c r="P47" t="s">
        <v>1501</v>
      </c>
    </row>
    <row r="48" spans="1:16" x14ac:dyDescent="0.3">
      <c r="A48">
        <v>47</v>
      </c>
      <c r="B48" t="s">
        <v>59</v>
      </c>
      <c r="C48">
        <v>1</v>
      </c>
      <c r="D48" s="1">
        <v>45332</v>
      </c>
      <c r="E48" s="1">
        <v>45334</v>
      </c>
      <c r="F48" t="s">
        <v>1004</v>
      </c>
      <c r="G48" t="s">
        <v>1368</v>
      </c>
      <c r="H48" t="s">
        <v>1480</v>
      </c>
      <c r="I48">
        <v>1</v>
      </c>
      <c r="J48" s="2">
        <v>1640.09</v>
      </c>
      <c r="K48" s="3">
        <v>0</v>
      </c>
      <c r="L48" s="2">
        <v>1640.09</v>
      </c>
      <c r="M48" s="2">
        <v>324.18</v>
      </c>
      <c r="N48" t="s">
        <v>1493</v>
      </c>
      <c r="O48" t="s">
        <v>1499</v>
      </c>
      <c r="P48" t="s">
        <v>1501</v>
      </c>
    </row>
    <row r="49" spans="1:16" x14ac:dyDescent="0.3">
      <c r="A49">
        <v>48</v>
      </c>
      <c r="B49" t="s">
        <v>60</v>
      </c>
      <c r="C49">
        <v>1</v>
      </c>
      <c r="D49" s="1">
        <v>45333</v>
      </c>
      <c r="E49" s="1">
        <v>45336</v>
      </c>
      <c r="F49" t="s">
        <v>1005</v>
      </c>
      <c r="G49" t="s">
        <v>1369</v>
      </c>
      <c r="H49" t="s">
        <v>1480</v>
      </c>
      <c r="I49">
        <v>3</v>
      </c>
      <c r="J49" s="2">
        <v>23968.04</v>
      </c>
      <c r="K49" s="3">
        <v>0</v>
      </c>
      <c r="L49" s="2">
        <v>71904.12</v>
      </c>
      <c r="M49" s="2">
        <v>20090.759999999998</v>
      </c>
      <c r="N49" t="s">
        <v>1495</v>
      </c>
      <c r="O49" t="s">
        <v>1498</v>
      </c>
      <c r="P49" t="s">
        <v>1501</v>
      </c>
    </row>
    <row r="50" spans="1:16" x14ac:dyDescent="0.3">
      <c r="A50">
        <v>49</v>
      </c>
      <c r="B50" t="s">
        <v>61</v>
      </c>
      <c r="C50">
        <v>1</v>
      </c>
      <c r="D50" s="1">
        <v>45335</v>
      </c>
      <c r="E50" s="1">
        <v>45337</v>
      </c>
      <c r="F50" t="s">
        <v>1006</v>
      </c>
      <c r="G50" t="s">
        <v>1370</v>
      </c>
      <c r="H50" t="s">
        <v>1480</v>
      </c>
      <c r="I50">
        <v>1</v>
      </c>
      <c r="J50" s="2">
        <v>19480.22</v>
      </c>
      <c r="K50" s="3">
        <v>0</v>
      </c>
      <c r="L50" s="2">
        <v>19480.22</v>
      </c>
      <c r="M50" s="2">
        <v>1671.99</v>
      </c>
      <c r="N50" t="s">
        <v>1496</v>
      </c>
      <c r="O50" t="s">
        <v>1498</v>
      </c>
      <c r="P50" t="s">
        <v>1501</v>
      </c>
    </row>
    <row r="51" spans="1:16" x14ac:dyDescent="0.3">
      <c r="A51">
        <v>50</v>
      </c>
      <c r="B51" t="s">
        <v>62</v>
      </c>
      <c r="C51">
        <v>1</v>
      </c>
      <c r="D51" s="1">
        <v>45335</v>
      </c>
      <c r="E51" s="1">
        <v>45336</v>
      </c>
      <c r="F51" t="s">
        <v>1007</v>
      </c>
      <c r="G51" t="s">
        <v>1354</v>
      </c>
      <c r="H51" t="s">
        <v>1483</v>
      </c>
      <c r="I51">
        <v>1</v>
      </c>
      <c r="J51" s="2">
        <v>45654.38</v>
      </c>
      <c r="K51" s="3">
        <v>0</v>
      </c>
      <c r="L51" s="2">
        <v>45654.38</v>
      </c>
      <c r="M51" s="2">
        <v>12954.5</v>
      </c>
      <c r="N51" t="s">
        <v>1496</v>
      </c>
      <c r="O51" t="s">
        <v>1498</v>
      </c>
      <c r="P51" t="s">
        <v>1501</v>
      </c>
    </row>
    <row r="52" spans="1:16" x14ac:dyDescent="0.3">
      <c r="A52">
        <v>51</v>
      </c>
      <c r="B52" t="s">
        <v>63</v>
      </c>
      <c r="C52">
        <v>2</v>
      </c>
      <c r="D52" s="1">
        <v>45335</v>
      </c>
      <c r="E52" s="1">
        <v>45336</v>
      </c>
      <c r="F52" t="s">
        <v>1008</v>
      </c>
      <c r="G52" t="s">
        <v>1371</v>
      </c>
      <c r="H52" t="s">
        <v>1480</v>
      </c>
      <c r="I52">
        <v>3</v>
      </c>
      <c r="J52" s="2">
        <v>5245.11</v>
      </c>
      <c r="K52" s="3">
        <v>0.1</v>
      </c>
      <c r="L52" s="2">
        <v>14161.8</v>
      </c>
      <c r="M52" s="2">
        <v>4258.32</v>
      </c>
      <c r="N52" t="s">
        <v>1494</v>
      </c>
      <c r="O52" t="s">
        <v>1499</v>
      </c>
      <c r="P52" t="s">
        <v>1501</v>
      </c>
    </row>
    <row r="53" spans="1:16" x14ac:dyDescent="0.3">
      <c r="A53">
        <v>52</v>
      </c>
      <c r="B53" t="s">
        <v>64</v>
      </c>
      <c r="C53">
        <v>1</v>
      </c>
      <c r="D53" s="1">
        <v>45335</v>
      </c>
      <c r="E53" s="1">
        <v>45336</v>
      </c>
      <c r="F53" t="s">
        <v>1009</v>
      </c>
      <c r="G53" t="s">
        <v>1329</v>
      </c>
      <c r="H53" t="s">
        <v>1486</v>
      </c>
      <c r="I53">
        <v>1</v>
      </c>
      <c r="J53" s="2">
        <v>1065.95</v>
      </c>
      <c r="K53" s="3">
        <v>0.2</v>
      </c>
      <c r="L53" s="2">
        <v>852.76</v>
      </c>
      <c r="M53" s="2">
        <v>167.58</v>
      </c>
      <c r="N53" t="s">
        <v>1496</v>
      </c>
      <c r="O53" t="s">
        <v>1498</v>
      </c>
      <c r="P53" t="s">
        <v>1501</v>
      </c>
    </row>
    <row r="54" spans="1:16" x14ac:dyDescent="0.3">
      <c r="A54">
        <v>53</v>
      </c>
      <c r="B54" t="s">
        <v>65</v>
      </c>
      <c r="C54">
        <v>1</v>
      </c>
      <c r="D54" s="1">
        <v>45336</v>
      </c>
      <c r="F54" t="s">
        <v>1010</v>
      </c>
      <c r="G54" t="s">
        <v>1340</v>
      </c>
      <c r="H54" t="s">
        <v>1490</v>
      </c>
      <c r="I54">
        <v>1</v>
      </c>
      <c r="J54" s="2">
        <v>5570.6</v>
      </c>
      <c r="K54" s="3">
        <v>0</v>
      </c>
      <c r="L54" s="2">
        <v>5570.6</v>
      </c>
      <c r="M54" s="2">
        <v>1503.07</v>
      </c>
      <c r="N54" t="s">
        <v>1494</v>
      </c>
      <c r="O54" t="s">
        <v>1498</v>
      </c>
      <c r="P54" t="s">
        <v>1503</v>
      </c>
    </row>
    <row r="55" spans="1:16" x14ac:dyDescent="0.3">
      <c r="A55">
        <v>54</v>
      </c>
      <c r="B55" t="s">
        <v>66</v>
      </c>
      <c r="C55">
        <v>1</v>
      </c>
      <c r="D55" s="1">
        <v>45337</v>
      </c>
      <c r="E55" s="1">
        <v>45338</v>
      </c>
      <c r="F55" t="s">
        <v>1011</v>
      </c>
      <c r="G55" t="s">
        <v>1372</v>
      </c>
      <c r="H55" t="s">
        <v>1487</v>
      </c>
      <c r="I55">
        <v>1</v>
      </c>
      <c r="J55" s="2">
        <v>22695.17</v>
      </c>
      <c r="K55" s="3">
        <v>0</v>
      </c>
      <c r="L55" s="2">
        <v>22695.17</v>
      </c>
      <c r="M55" s="2">
        <v>3536.01</v>
      </c>
      <c r="N55" t="s">
        <v>1496</v>
      </c>
      <c r="O55" t="s">
        <v>1500</v>
      </c>
      <c r="P55" t="s">
        <v>1501</v>
      </c>
    </row>
    <row r="56" spans="1:16" x14ac:dyDescent="0.3">
      <c r="A56">
        <v>55</v>
      </c>
      <c r="B56" t="s">
        <v>67</v>
      </c>
      <c r="C56">
        <v>1</v>
      </c>
      <c r="D56" s="1">
        <v>45337</v>
      </c>
      <c r="E56" s="1">
        <v>45339</v>
      </c>
      <c r="F56" t="s">
        <v>1012</v>
      </c>
      <c r="G56" t="s">
        <v>1373</v>
      </c>
      <c r="H56" t="s">
        <v>1480</v>
      </c>
      <c r="I56">
        <v>1</v>
      </c>
      <c r="J56" s="2">
        <v>1404.85</v>
      </c>
      <c r="K56" s="3">
        <v>0.1</v>
      </c>
      <c r="L56" s="2">
        <v>1264.3699999999999</v>
      </c>
      <c r="M56" s="2">
        <v>-8.7200000000000006</v>
      </c>
      <c r="N56" t="s">
        <v>1494</v>
      </c>
      <c r="O56" t="s">
        <v>1498</v>
      </c>
      <c r="P56" t="s">
        <v>1501</v>
      </c>
    </row>
    <row r="57" spans="1:16" x14ac:dyDescent="0.3">
      <c r="A57">
        <v>56</v>
      </c>
      <c r="B57" t="s">
        <v>67</v>
      </c>
      <c r="C57">
        <v>2</v>
      </c>
      <c r="D57" s="1">
        <v>45337</v>
      </c>
      <c r="E57" s="1">
        <v>45339</v>
      </c>
      <c r="F57" t="s">
        <v>1012</v>
      </c>
      <c r="G57" t="s">
        <v>1374</v>
      </c>
      <c r="H57" t="s">
        <v>1480</v>
      </c>
      <c r="I57">
        <v>2</v>
      </c>
      <c r="J57" s="2">
        <v>1645.17</v>
      </c>
      <c r="K57" s="3">
        <v>0.1</v>
      </c>
      <c r="L57" s="2">
        <v>2961.31</v>
      </c>
      <c r="M57" s="2">
        <v>352.83</v>
      </c>
      <c r="N57" t="s">
        <v>1494</v>
      </c>
      <c r="O57" t="s">
        <v>1498</v>
      </c>
      <c r="P57" t="s">
        <v>1501</v>
      </c>
    </row>
    <row r="58" spans="1:16" x14ac:dyDescent="0.3">
      <c r="A58">
        <v>57</v>
      </c>
      <c r="B58" t="s">
        <v>68</v>
      </c>
      <c r="C58">
        <v>1</v>
      </c>
      <c r="D58" s="1">
        <v>45338</v>
      </c>
      <c r="E58" s="1">
        <v>45340</v>
      </c>
      <c r="F58" t="s">
        <v>1013</v>
      </c>
      <c r="G58" t="s">
        <v>1375</v>
      </c>
      <c r="H58" t="s">
        <v>1480</v>
      </c>
      <c r="I58">
        <v>1</v>
      </c>
      <c r="J58" s="2">
        <v>35534</v>
      </c>
      <c r="K58" s="3">
        <v>0</v>
      </c>
      <c r="L58" s="2">
        <v>35534</v>
      </c>
      <c r="M58" s="2">
        <v>5801.56</v>
      </c>
      <c r="N58" t="s">
        <v>1495</v>
      </c>
      <c r="O58" t="s">
        <v>1498</v>
      </c>
      <c r="P58" t="s">
        <v>1501</v>
      </c>
    </row>
    <row r="59" spans="1:16" x14ac:dyDescent="0.3">
      <c r="A59">
        <v>58</v>
      </c>
      <c r="B59" t="s">
        <v>69</v>
      </c>
      <c r="C59">
        <v>1</v>
      </c>
      <c r="D59" s="1">
        <v>45338</v>
      </c>
      <c r="E59" s="1">
        <v>45339</v>
      </c>
      <c r="F59" t="s">
        <v>1014</v>
      </c>
      <c r="G59" t="s">
        <v>1376</v>
      </c>
      <c r="H59" t="s">
        <v>1479</v>
      </c>
      <c r="I59">
        <v>1</v>
      </c>
      <c r="J59" s="2">
        <v>5444.12</v>
      </c>
      <c r="K59" s="3">
        <v>0</v>
      </c>
      <c r="L59" s="2">
        <v>5444.12</v>
      </c>
      <c r="M59" s="2">
        <v>2427.61</v>
      </c>
      <c r="N59" t="s">
        <v>1496</v>
      </c>
      <c r="O59" t="s">
        <v>1498</v>
      </c>
      <c r="P59" t="s">
        <v>1501</v>
      </c>
    </row>
    <row r="60" spans="1:16" x14ac:dyDescent="0.3">
      <c r="A60">
        <v>59</v>
      </c>
      <c r="B60" t="s">
        <v>70</v>
      </c>
      <c r="C60">
        <v>1</v>
      </c>
      <c r="D60" s="1">
        <v>45339</v>
      </c>
      <c r="E60" s="1">
        <v>45342</v>
      </c>
      <c r="F60" t="s">
        <v>1015</v>
      </c>
      <c r="G60" t="s">
        <v>1341</v>
      </c>
      <c r="H60" t="s">
        <v>1480</v>
      </c>
      <c r="I60">
        <v>1</v>
      </c>
      <c r="J60" s="2">
        <v>1648.45</v>
      </c>
      <c r="K60" s="3">
        <v>0.15</v>
      </c>
      <c r="L60" s="2">
        <v>1401.18</v>
      </c>
      <c r="M60" s="2">
        <v>247.06</v>
      </c>
      <c r="N60" t="s">
        <v>1493</v>
      </c>
      <c r="O60" t="s">
        <v>1499</v>
      </c>
      <c r="P60" t="s">
        <v>1501</v>
      </c>
    </row>
    <row r="61" spans="1:16" x14ac:dyDescent="0.3">
      <c r="A61">
        <v>60</v>
      </c>
      <c r="B61" t="s">
        <v>71</v>
      </c>
      <c r="C61">
        <v>1</v>
      </c>
      <c r="D61" s="1">
        <v>45339</v>
      </c>
      <c r="E61" s="1">
        <v>45340</v>
      </c>
      <c r="F61" t="s">
        <v>1016</v>
      </c>
      <c r="G61" t="s">
        <v>1357</v>
      </c>
      <c r="H61" t="s">
        <v>1480</v>
      </c>
      <c r="I61">
        <v>1</v>
      </c>
      <c r="J61" s="2">
        <v>986.91</v>
      </c>
      <c r="K61" s="3">
        <v>0</v>
      </c>
      <c r="L61" s="2">
        <v>986.91</v>
      </c>
      <c r="M61" s="2">
        <v>128.72999999999999</v>
      </c>
      <c r="N61" t="s">
        <v>1495</v>
      </c>
      <c r="O61" t="s">
        <v>1499</v>
      </c>
      <c r="P61" t="s">
        <v>1501</v>
      </c>
    </row>
    <row r="62" spans="1:16" x14ac:dyDescent="0.3">
      <c r="A62">
        <v>61</v>
      </c>
      <c r="B62" t="s">
        <v>72</v>
      </c>
      <c r="C62">
        <v>1</v>
      </c>
      <c r="D62" s="1">
        <v>45341</v>
      </c>
      <c r="E62" s="1">
        <v>45344</v>
      </c>
      <c r="F62" t="s">
        <v>994</v>
      </c>
      <c r="G62" t="s">
        <v>1343</v>
      </c>
      <c r="H62" t="s">
        <v>1480</v>
      </c>
      <c r="I62">
        <v>1</v>
      </c>
      <c r="J62" s="2">
        <v>7138.26</v>
      </c>
      <c r="K62" s="3">
        <v>0.1</v>
      </c>
      <c r="L62" s="2">
        <v>6424.43</v>
      </c>
      <c r="M62" s="2">
        <v>950.14</v>
      </c>
      <c r="O62" t="s">
        <v>1498</v>
      </c>
      <c r="P62" t="s">
        <v>1501</v>
      </c>
    </row>
    <row r="63" spans="1:16" x14ac:dyDescent="0.3">
      <c r="A63">
        <v>62</v>
      </c>
      <c r="B63" t="s">
        <v>73</v>
      </c>
      <c r="C63">
        <v>1</v>
      </c>
      <c r="D63" s="1">
        <v>45341</v>
      </c>
      <c r="F63" t="s">
        <v>1017</v>
      </c>
      <c r="G63" t="s">
        <v>1358</v>
      </c>
      <c r="H63" t="s">
        <v>1481</v>
      </c>
      <c r="I63">
        <v>2</v>
      </c>
      <c r="J63" s="2">
        <v>37487.300000000003</v>
      </c>
      <c r="K63" s="3">
        <v>0</v>
      </c>
      <c r="L63" s="2">
        <v>74974.600000000006</v>
      </c>
      <c r="M63" s="2">
        <v>7207.1</v>
      </c>
      <c r="N63" t="s">
        <v>1496</v>
      </c>
      <c r="O63" t="s">
        <v>1500</v>
      </c>
      <c r="P63" t="s">
        <v>1503</v>
      </c>
    </row>
    <row r="64" spans="1:16" x14ac:dyDescent="0.3">
      <c r="A64">
        <v>63</v>
      </c>
      <c r="B64" t="s">
        <v>74</v>
      </c>
      <c r="C64">
        <v>1</v>
      </c>
      <c r="D64" s="1">
        <v>45342</v>
      </c>
      <c r="E64" s="1">
        <v>45343</v>
      </c>
      <c r="F64" t="s">
        <v>970</v>
      </c>
      <c r="G64" t="s">
        <v>1377</v>
      </c>
      <c r="H64" t="s">
        <v>1481</v>
      </c>
      <c r="I64">
        <v>3</v>
      </c>
      <c r="J64" s="2">
        <v>43870.05</v>
      </c>
      <c r="K64" s="3">
        <v>0</v>
      </c>
      <c r="L64" s="2">
        <v>131610.15</v>
      </c>
      <c r="M64" s="2">
        <v>25484.67</v>
      </c>
      <c r="N64" t="s">
        <v>1497</v>
      </c>
      <c r="O64" t="s">
        <v>1498</v>
      </c>
      <c r="P64" t="s">
        <v>1501</v>
      </c>
    </row>
    <row r="65" spans="1:16" x14ac:dyDescent="0.3">
      <c r="A65">
        <v>64</v>
      </c>
      <c r="B65" t="s">
        <v>75</v>
      </c>
      <c r="C65">
        <v>1</v>
      </c>
      <c r="D65" s="1">
        <v>45343</v>
      </c>
      <c r="E65" s="1">
        <v>45344</v>
      </c>
      <c r="F65" t="s">
        <v>1018</v>
      </c>
      <c r="G65" t="s">
        <v>1378</v>
      </c>
      <c r="H65" t="s">
        <v>1486</v>
      </c>
      <c r="I65">
        <v>1</v>
      </c>
      <c r="J65" s="2">
        <v>1378.78</v>
      </c>
      <c r="K65" s="3">
        <v>0.15</v>
      </c>
      <c r="L65" s="2">
        <v>1171.96</v>
      </c>
      <c r="M65" s="2">
        <v>-30.16</v>
      </c>
      <c r="N65" t="s">
        <v>1494</v>
      </c>
      <c r="O65" t="s">
        <v>1498</v>
      </c>
      <c r="P65" t="s">
        <v>1501</v>
      </c>
    </row>
    <row r="66" spans="1:16" x14ac:dyDescent="0.3">
      <c r="A66">
        <v>65</v>
      </c>
      <c r="B66" t="s">
        <v>76</v>
      </c>
      <c r="C66">
        <v>1</v>
      </c>
      <c r="D66" s="1">
        <v>45344</v>
      </c>
      <c r="E66" s="1">
        <v>45347</v>
      </c>
      <c r="F66" t="s">
        <v>1019</v>
      </c>
      <c r="G66" t="s">
        <v>1379</v>
      </c>
      <c r="H66" t="s">
        <v>1480</v>
      </c>
      <c r="I66">
        <v>1</v>
      </c>
      <c r="J66" s="2">
        <v>20939.349999999999</v>
      </c>
      <c r="K66" s="3">
        <v>0.05</v>
      </c>
      <c r="L66" s="2">
        <v>19892.38</v>
      </c>
      <c r="M66" s="2">
        <v>4786.47</v>
      </c>
      <c r="N66" t="s">
        <v>1496</v>
      </c>
      <c r="O66" t="s">
        <v>1499</v>
      </c>
      <c r="P66" t="s">
        <v>1501</v>
      </c>
    </row>
    <row r="67" spans="1:16" x14ac:dyDescent="0.3">
      <c r="A67">
        <v>66</v>
      </c>
      <c r="B67" t="s">
        <v>77</v>
      </c>
      <c r="C67">
        <v>1</v>
      </c>
      <c r="D67" s="1">
        <v>45344</v>
      </c>
      <c r="E67" s="1">
        <v>45346</v>
      </c>
      <c r="F67" t="s">
        <v>1008</v>
      </c>
      <c r="G67" t="s">
        <v>1380</v>
      </c>
      <c r="H67" t="s">
        <v>1480</v>
      </c>
      <c r="I67">
        <v>1</v>
      </c>
      <c r="J67" s="2">
        <v>694.66</v>
      </c>
      <c r="K67" s="3">
        <v>0.15</v>
      </c>
      <c r="L67" s="2">
        <v>590.46</v>
      </c>
      <c r="M67" s="2">
        <v>-12.13</v>
      </c>
      <c r="N67" t="s">
        <v>1497</v>
      </c>
      <c r="O67" t="s">
        <v>1498</v>
      </c>
      <c r="P67" t="s">
        <v>1501</v>
      </c>
    </row>
    <row r="68" spans="1:16" x14ac:dyDescent="0.3">
      <c r="A68">
        <v>67</v>
      </c>
      <c r="B68" t="s">
        <v>78</v>
      </c>
      <c r="C68">
        <v>1</v>
      </c>
      <c r="D68" s="1">
        <v>45345</v>
      </c>
      <c r="E68" s="1">
        <v>45348</v>
      </c>
      <c r="F68" t="s">
        <v>994</v>
      </c>
      <c r="G68" t="s">
        <v>1381</v>
      </c>
      <c r="H68" t="s">
        <v>1480</v>
      </c>
      <c r="I68">
        <v>1</v>
      </c>
      <c r="J68" s="2">
        <v>4870.55</v>
      </c>
      <c r="K68" s="3">
        <v>0.15</v>
      </c>
      <c r="L68" s="2">
        <v>4139.97</v>
      </c>
      <c r="M68" s="2">
        <v>1246.3499999999999</v>
      </c>
      <c r="N68" t="s">
        <v>1494</v>
      </c>
      <c r="O68" t="s">
        <v>1498</v>
      </c>
      <c r="P68" t="s">
        <v>1501</v>
      </c>
    </row>
    <row r="69" spans="1:16" x14ac:dyDescent="0.3">
      <c r="A69">
        <v>68</v>
      </c>
      <c r="B69" t="s">
        <v>79</v>
      </c>
      <c r="C69">
        <v>1</v>
      </c>
      <c r="D69" s="1">
        <v>45345</v>
      </c>
      <c r="E69" s="1">
        <v>45345</v>
      </c>
      <c r="F69" t="s">
        <v>1020</v>
      </c>
      <c r="G69" t="s">
        <v>1330</v>
      </c>
      <c r="H69" t="s">
        <v>1490</v>
      </c>
      <c r="I69">
        <v>2</v>
      </c>
      <c r="J69" s="2">
        <v>2393.8200000000002</v>
      </c>
      <c r="K69" s="3">
        <v>0</v>
      </c>
      <c r="L69" s="2">
        <v>4787.6400000000003</v>
      </c>
      <c r="M69" s="2">
        <v>1547.74</v>
      </c>
      <c r="N69" t="s">
        <v>1493</v>
      </c>
      <c r="O69" t="s">
        <v>1498</v>
      </c>
      <c r="P69" t="s">
        <v>1501</v>
      </c>
    </row>
    <row r="70" spans="1:16" x14ac:dyDescent="0.3">
      <c r="A70">
        <v>69</v>
      </c>
      <c r="B70" t="s">
        <v>80</v>
      </c>
      <c r="C70">
        <v>1</v>
      </c>
      <c r="D70" s="1">
        <v>45346</v>
      </c>
      <c r="E70" s="1">
        <v>45348</v>
      </c>
      <c r="F70" t="s">
        <v>997</v>
      </c>
      <c r="G70" t="s">
        <v>1333</v>
      </c>
      <c r="H70" t="s">
        <v>1480</v>
      </c>
      <c r="I70">
        <v>2</v>
      </c>
      <c r="J70" s="2">
        <v>16375.46</v>
      </c>
      <c r="K70" s="3">
        <v>0</v>
      </c>
      <c r="L70" s="2">
        <v>32750.92</v>
      </c>
      <c r="M70" s="2">
        <v>4148.62</v>
      </c>
      <c r="N70" t="s">
        <v>1497</v>
      </c>
      <c r="O70" t="s">
        <v>1499</v>
      </c>
      <c r="P70" t="s">
        <v>1501</v>
      </c>
    </row>
    <row r="71" spans="1:16" x14ac:dyDescent="0.3">
      <c r="A71">
        <v>70</v>
      </c>
      <c r="B71" t="s">
        <v>81</v>
      </c>
      <c r="C71">
        <v>2</v>
      </c>
      <c r="D71" s="1">
        <v>45348</v>
      </c>
      <c r="E71" s="1">
        <v>45348</v>
      </c>
      <c r="F71" t="s">
        <v>1021</v>
      </c>
      <c r="G71" t="s">
        <v>1382</v>
      </c>
      <c r="H71" t="s">
        <v>1482</v>
      </c>
      <c r="I71">
        <v>1</v>
      </c>
      <c r="J71" s="2">
        <v>561.82000000000005</v>
      </c>
      <c r="K71" s="3">
        <v>0</v>
      </c>
      <c r="L71" s="2">
        <v>561.82000000000005</v>
      </c>
      <c r="M71" s="2">
        <v>45.76</v>
      </c>
      <c r="N71" t="s">
        <v>1496</v>
      </c>
      <c r="O71" t="s">
        <v>1499</v>
      </c>
      <c r="P71" t="s">
        <v>1501</v>
      </c>
    </row>
    <row r="72" spans="1:16" x14ac:dyDescent="0.3">
      <c r="A72">
        <v>71</v>
      </c>
      <c r="B72" t="s">
        <v>82</v>
      </c>
      <c r="C72">
        <v>2</v>
      </c>
      <c r="D72" s="1">
        <v>45348</v>
      </c>
      <c r="E72" s="1">
        <v>45348</v>
      </c>
      <c r="F72" t="s">
        <v>1022</v>
      </c>
      <c r="G72" t="s">
        <v>1383</v>
      </c>
      <c r="H72" t="s">
        <v>1486</v>
      </c>
      <c r="I72">
        <v>1</v>
      </c>
      <c r="J72" s="2">
        <v>17693.080000000002</v>
      </c>
      <c r="K72" s="3">
        <v>0</v>
      </c>
      <c r="L72" s="2">
        <v>17693.080000000002</v>
      </c>
      <c r="M72" s="2">
        <v>3546.04</v>
      </c>
      <c r="N72" t="s">
        <v>1496</v>
      </c>
      <c r="O72" t="s">
        <v>1500</v>
      </c>
      <c r="P72" t="s">
        <v>1501</v>
      </c>
    </row>
    <row r="73" spans="1:16" x14ac:dyDescent="0.3">
      <c r="A73">
        <v>72</v>
      </c>
      <c r="B73" t="s">
        <v>83</v>
      </c>
      <c r="C73">
        <v>1</v>
      </c>
      <c r="D73" s="1">
        <v>45348</v>
      </c>
      <c r="E73" s="1">
        <v>45349</v>
      </c>
      <c r="F73" t="s">
        <v>1023</v>
      </c>
      <c r="G73" t="s">
        <v>1384</v>
      </c>
      <c r="H73" t="s">
        <v>1484</v>
      </c>
      <c r="I73">
        <v>1</v>
      </c>
      <c r="J73" s="2">
        <v>35937.699999999997</v>
      </c>
      <c r="K73" s="3">
        <v>0</v>
      </c>
      <c r="L73" s="2">
        <v>35937.699999999997</v>
      </c>
      <c r="M73" s="2">
        <v>10629.44</v>
      </c>
      <c r="N73" t="s">
        <v>1494</v>
      </c>
      <c r="O73" t="s">
        <v>1499</v>
      </c>
      <c r="P73" t="s">
        <v>1501</v>
      </c>
    </row>
    <row r="74" spans="1:16" x14ac:dyDescent="0.3">
      <c r="A74">
        <v>73</v>
      </c>
      <c r="B74" t="s">
        <v>83</v>
      </c>
      <c r="C74">
        <v>2</v>
      </c>
      <c r="D74" s="1">
        <v>45348</v>
      </c>
      <c r="E74" s="1">
        <v>45349</v>
      </c>
      <c r="F74" t="s">
        <v>1023</v>
      </c>
      <c r="G74" t="s">
        <v>1385</v>
      </c>
      <c r="H74" t="s">
        <v>1484</v>
      </c>
      <c r="I74">
        <v>2</v>
      </c>
      <c r="J74" s="2">
        <v>46757.35</v>
      </c>
      <c r="K74" s="3">
        <v>0.05</v>
      </c>
      <c r="L74" s="2">
        <v>88838.96</v>
      </c>
      <c r="M74" s="2">
        <v>4458.5200000000004</v>
      </c>
      <c r="N74" t="s">
        <v>1494</v>
      </c>
      <c r="O74" t="s">
        <v>1499</v>
      </c>
      <c r="P74" t="s">
        <v>1501</v>
      </c>
    </row>
    <row r="75" spans="1:16" x14ac:dyDescent="0.3">
      <c r="A75">
        <v>74</v>
      </c>
      <c r="B75" t="s">
        <v>84</v>
      </c>
      <c r="C75">
        <v>2</v>
      </c>
      <c r="D75" s="1">
        <v>45349</v>
      </c>
      <c r="E75" s="1">
        <v>45350</v>
      </c>
      <c r="F75" t="s">
        <v>978</v>
      </c>
      <c r="G75" t="s">
        <v>1356</v>
      </c>
      <c r="H75" t="s">
        <v>1483</v>
      </c>
      <c r="I75">
        <v>1</v>
      </c>
      <c r="J75" s="2">
        <v>68671.53</v>
      </c>
      <c r="K75" s="3">
        <v>0.05</v>
      </c>
      <c r="L75" s="2">
        <v>65237.95</v>
      </c>
      <c r="M75" s="2">
        <v>7269.01</v>
      </c>
      <c r="N75" t="s">
        <v>1495</v>
      </c>
      <c r="O75" t="s">
        <v>1498</v>
      </c>
      <c r="P75" t="s">
        <v>1501</v>
      </c>
    </row>
    <row r="76" spans="1:16" x14ac:dyDescent="0.3">
      <c r="A76">
        <v>75</v>
      </c>
      <c r="B76" t="s">
        <v>85</v>
      </c>
      <c r="C76">
        <v>1</v>
      </c>
      <c r="D76" s="1">
        <v>45350</v>
      </c>
      <c r="E76" s="1">
        <v>45351</v>
      </c>
      <c r="F76" t="s">
        <v>1024</v>
      </c>
      <c r="G76" t="s">
        <v>1348</v>
      </c>
      <c r="H76" t="s">
        <v>1480</v>
      </c>
      <c r="I76">
        <v>1</v>
      </c>
      <c r="J76" s="2">
        <v>921.12</v>
      </c>
      <c r="K76" s="3">
        <v>0</v>
      </c>
      <c r="L76" s="2">
        <v>921.12</v>
      </c>
      <c r="M76" s="2">
        <v>383.08</v>
      </c>
      <c r="N76" t="s">
        <v>1494</v>
      </c>
      <c r="O76" t="s">
        <v>1499</v>
      </c>
      <c r="P76" t="s">
        <v>1501</v>
      </c>
    </row>
    <row r="77" spans="1:16" x14ac:dyDescent="0.3">
      <c r="A77">
        <v>76</v>
      </c>
      <c r="B77" t="s">
        <v>85</v>
      </c>
      <c r="C77">
        <v>2</v>
      </c>
      <c r="D77" s="1">
        <v>45350</v>
      </c>
      <c r="E77" s="1">
        <v>45351</v>
      </c>
      <c r="F77" t="s">
        <v>1024</v>
      </c>
      <c r="G77" t="s">
        <v>1386</v>
      </c>
      <c r="H77" t="s">
        <v>1480</v>
      </c>
      <c r="I77">
        <v>1</v>
      </c>
      <c r="J77" s="2">
        <v>1094.7</v>
      </c>
      <c r="K77" s="3">
        <v>0.2</v>
      </c>
      <c r="L77" s="2">
        <v>875.76</v>
      </c>
      <c r="M77" s="2">
        <v>-154.96</v>
      </c>
      <c r="N77" t="s">
        <v>1494</v>
      </c>
      <c r="O77" t="s">
        <v>1499</v>
      </c>
      <c r="P77" t="s">
        <v>1501</v>
      </c>
    </row>
    <row r="78" spans="1:16" x14ac:dyDescent="0.3">
      <c r="A78">
        <v>77</v>
      </c>
      <c r="B78" t="s">
        <v>86</v>
      </c>
      <c r="C78">
        <v>1</v>
      </c>
      <c r="D78" s="1">
        <v>45351</v>
      </c>
      <c r="E78" s="1">
        <v>45351</v>
      </c>
      <c r="F78" t="s">
        <v>1025</v>
      </c>
      <c r="G78" t="s">
        <v>1387</v>
      </c>
      <c r="H78" t="s">
        <v>1481</v>
      </c>
      <c r="I78">
        <v>1</v>
      </c>
      <c r="J78" s="2">
        <v>2184.2199999999998</v>
      </c>
      <c r="K78" s="3">
        <v>0</v>
      </c>
      <c r="L78" s="2">
        <v>2184.2199999999998</v>
      </c>
      <c r="M78" s="2">
        <v>542.11</v>
      </c>
      <c r="N78" t="s">
        <v>1493</v>
      </c>
      <c r="O78" t="s">
        <v>1498</v>
      </c>
      <c r="P78" t="s">
        <v>1501</v>
      </c>
    </row>
    <row r="79" spans="1:16" x14ac:dyDescent="0.3">
      <c r="A79">
        <v>78</v>
      </c>
      <c r="B79" t="s">
        <v>87</v>
      </c>
      <c r="C79">
        <v>1</v>
      </c>
      <c r="D79" s="1">
        <v>45351</v>
      </c>
      <c r="E79" s="1">
        <v>45353</v>
      </c>
      <c r="F79" t="s">
        <v>1005</v>
      </c>
      <c r="G79" t="s">
        <v>1388</v>
      </c>
      <c r="H79" t="s">
        <v>1480</v>
      </c>
      <c r="I79">
        <v>1</v>
      </c>
      <c r="J79" s="2">
        <v>5746.05</v>
      </c>
      <c r="K79" s="3">
        <v>0.2</v>
      </c>
      <c r="L79" s="2">
        <v>4596.84</v>
      </c>
      <c r="M79" s="2">
        <v>616.49</v>
      </c>
      <c r="N79" t="s">
        <v>1496</v>
      </c>
      <c r="O79" t="s">
        <v>1498</v>
      </c>
      <c r="P79" t="s">
        <v>1502</v>
      </c>
    </row>
    <row r="80" spans="1:16" x14ac:dyDescent="0.3">
      <c r="A80">
        <v>79</v>
      </c>
      <c r="B80" t="s">
        <v>88</v>
      </c>
      <c r="C80">
        <v>1</v>
      </c>
      <c r="D80" s="1">
        <v>45352</v>
      </c>
      <c r="E80" s="1">
        <v>45353</v>
      </c>
      <c r="F80" t="s">
        <v>1026</v>
      </c>
      <c r="G80" t="s">
        <v>1346</v>
      </c>
      <c r="H80" t="s">
        <v>1480</v>
      </c>
      <c r="I80">
        <v>1</v>
      </c>
      <c r="J80" s="2">
        <v>3324.39</v>
      </c>
      <c r="K80" s="3">
        <v>0</v>
      </c>
      <c r="L80" s="2">
        <v>3324.39</v>
      </c>
      <c r="M80" s="2">
        <v>1234.02</v>
      </c>
      <c r="N80" t="s">
        <v>1493</v>
      </c>
      <c r="O80" t="s">
        <v>1498</v>
      </c>
      <c r="P80" t="s">
        <v>1501</v>
      </c>
    </row>
    <row r="81" spans="1:16" x14ac:dyDescent="0.3">
      <c r="A81">
        <v>80</v>
      </c>
      <c r="B81" t="s">
        <v>89</v>
      </c>
      <c r="C81">
        <v>1</v>
      </c>
      <c r="D81" s="1">
        <v>45352</v>
      </c>
      <c r="E81" s="1">
        <v>45353</v>
      </c>
      <c r="F81" t="s">
        <v>1027</v>
      </c>
      <c r="G81" t="s">
        <v>1369</v>
      </c>
      <c r="H81" t="s">
        <v>1484</v>
      </c>
      <c r="I81">
        <v>1</v>
      </c>
      <c r="J81" s="2">
        <v>23968.04</v>
      </c>
      <c r="K81" s="3">
        <v>0.05</v>
      </c>
      <c r="L81" s="2">
        <v>22769.64</v>
      </c>
      <c r="M81" s="2">
        <v>5498.52</v>
      </c>
      <c r="N81" t="s">
        <v>1495</v>
      </c>
      <c r="O81" t="s">
        <v>1499</v>
      </c>
      <c r="P81" t="s">
        <v>1501</v>
      </c>
    </row>
    <row r="82" spans="1:16" x14ac:dyDescent="0.3">
      <c r="A82">
        <v>81</v>
      </c>
      <c r="B82" t="s">
        <v>90</v>
      </c>
      <c r="C82">
        <v>2</v>
      </c>
      <c r="D82" s="1">
        <v>45352</v>
      </c>
      <c r="E82" s="1">
        <v>45353</v>
      </c>
      <c r="F82" t="s">
        <v>1028</v>
      </c>
      <c r="G82" t="s">
        <v>1389</v>
      </c>
      <c r="H82" t="s">
        <v>1480</v>
      </c>
      <c r="I82">
        <v>1</v>
      </c>
      <c r="J82" s="2">
        <v>676.97</v>
      </c>
      <c r="K82" s="3">
        <v>0.1</v>
      </c>
      <c r="L82" s="2">
        <v>609.27</v>
      </c>
      <c r="M82" s="2">
        <v>-13.41</v>
      </c>
      <c r="N82" t="s">
        <v>1493</v>
      </c>
      <c r="O82" t="s">
        <v>1498</v>
      </c>
      <c r="P82" t="s">
        <v>1501</v>
      </c>
    </row>
    <row r="83" spans="1:16" x14ac:dyDescent="0.3">
      <c r="A83">
        <v>82</v>
      </c>
      <c r="B83" t="s">
        <v>91</v>
      </c>
      <c r="C83">
        <v>1</v>
      </c>
      <c r="D83" s="1">
        <v>45353</v>
      </c>
      <c r="F83" t="s">
        <v>998</v>
      </c>
      <c r="G83" t="s">
        <v>1390</v>
      </c>
      <c r="H83" t="s">
        <v>1483</v>
      </c>
      <c r="I83">
        <v>2</v>
      </c>
      <c r="J83" s="2">
        <v>38147.39</v>
      </c>
      <c r="K83" s="3">
        <v>0.15</v>
      </c>
      <c r="L83" s="2">
        <v>64850.559999999998</v>
      </c>
      <c r="M83" s="2">
        <v>10255.86</v>
      </c>
      <c r="N83" t="s">
        <v>1495</v>
      </c>
      <c r="O83" t="s">
        <v>1499</v>
      </c>
      <c r="P83" t="s">
        <v>1503</v>
      </c>
    </row>
    <row r="84" spans="1:16" x14ac:dyDescent="0.3">
      <c r="A84">
        <v>83</v>
      </c>
      <c r="B84" t="s">
        <v>92</v>
      </c>
      <c r="C84">
        <v>1</v>
      </c>
      <c r="D84" s="1">
        <v>45353</v>
      </c>
      <c r="E84" s="1">
        <v>45353</v>
      </c>
      <c r="F84" t="s">
        <v>1029</v>
      </c>
      <c r="G84" t="s">
        <v>1391</v>
      </c>
      <c r="H84" t="s">
        <v>1478</v>
      </c>
      <c r="I84">
        <v>1</v>
      </c>
      <c r="J84" s="2">
        <v>1624.5</v>
      </c>
      <c r="K84" s="3">
        <v>0</v>
      </c>
      <c r="L84" s="2">
        <v>1624.5</v>
      </c>
      <c r="M84" s="2">
        <v>536.88</v>
      </c>
      <c r="N84" t="s">
        <v>1496</v>
      </c>
      <c r="O84" t="s">
        <v>1499</v>
      </c>
      <c r="P84" t="s">
        <v>1501</v>
      </c>
    </row>
    <row r="85" spans="1:16" x14ac:dyDescent="0.3">
      <c r="A85">
        <v>84</v>
      </c>
      <c r="B85" t="s">
        <v>93</v>
      </c>
      <c r="C85">
        <v>1</v>
      </c>
      <c r="D85" s="1">
        <v>45355</v>
      </c>
      <c r="E85" s="1">
        <v>45356</v>
      </c>
      <c r="F85" t="s">
        <v>1030</v>
      </c>
      <c r="G85" t="s">
        <v>1392</v>
      </c>
      <c r="H85" t="s">
        <v>1491</v>
      </c>
      <c r="I85">
        <v>1</v>
      </c>
      <c r="J85" s="2">
        <v>17688.330000000002</v>
      </c>
      <c r="K85" s="3">
        <v>0</v>
      </c>
      <c r="L85" s="2">
        <v>17688.330000000002</v>
      </c>
      <c r="M85" s="2">
        <v>2903.89</v>
      </c>
      <c r="N85" t="s">
        <v>1496</v>
      </c>
      <c r="O85" t="s">
        <v>1498</v>
      </c>
      <c r="P85" t="s">
        <v>1501</v>
      </c>
    </row>
    <row r="86" spans="1:16" x14ac:dyDescent="0.3">
      <c r="A86">
        <v>85</v>
      </c>
      <c r="B86" t="s">
        <v>94</v>
      </c>
      <c r="C86">
        <v>1</v>
      </c>
      <c r="D86" s="1">
        <v>45355</v>
      </c>
      <c r="F86" t="s">
        <v>1031</v>
      </c>
      <c r="G86" t="s">
        <v>1381</v>
      </c>
      <c r="H86" t="s">
        <v>1479</v>
      </c>
      <c r="I86">
        <v>1</v>
      </c>
      <c r="J86" s="2">
        <v>4870.55</v>
      </c>
      <c r="K86" s="3">
        <v>0.1</v>
      </c>
      <c r="L86" s="2">
        <v>4383.49</v>
      </c>
      <c r="M86" s="2">
        <v>1489.87</v>
      </c>
      <c r="N86" t="s">
        <v>1497</v>
      </c>
      <c r="O86" t="s">
        <v>1498</v>
      </c>
      <c r="P86" t="s">
        <v>1503</v>
      </c>
    </row>
    <row r="87" spans="1:16" x14ac:dyDescent="0.3">
      <c r="A87">
        <v>86</v>
      </c>
      <c r="B87" t="s">
        <v>95</v>
      </c>
      <c r="C87">
        <v>1</v>
      </c>
      <c r="D87" s="1">
        <v>45355</v>
      </c>
      <c r="E87" s="1">
        <v>45356</v>
      </c>
      <c r="F87" t="s">
        <v>1000</v>
      </c>
      <c r="G87" t="s">
        <v>1393</v>
      </c>
      <c r="H87" t="s">
        <v>1480</v>
      </c>
      <c r="I87">
        <v>1</v>
      </c>
      <c r="J87" s="2">
        <v>3230.07</v>
      </c>
      <c r="K87" s="3">
        <v>0</v>
      </c>
      <c r="L87" s="2">
        <v>3230.07</v>
      </c>
      <c r="M87" s="2">
        <v>1361.52</v>
      </c>
      <c r="N87" t="s">
        <v>1496</v>
      </c>
      <c r="O87" t="s">
        <v>1500</v>
      </c>
      <c r="P87" t="s">
        <v>1501</v>
      </c>
    </row>
    <row r="88" spans="1:16" x14ac:dyDescent="0.3">
      <c r="A88">
        <v>87</v>
      </c>
      <c r="B88" t="s">
        <v>96</v>
      </c>
      <c r="C88">
        <v>1</v>
      </c>
      <c r="D88" s="1">
        <v>45357</v>
      </c>
      <c r="E88" s="1">
        <v>45358</v>
      </c>
      <c r="F88" t="s">
        <v>1032</v>
      </c>
      <c r="G88" t="s">
        <v>1394</v>
      </c>
      <c r="H88" t="s">
        <v>1480</v>
      </c>
      <c r="I88">
        <v>1</v>
      </c>
      <c r="J88" s="2">
        <v>902.62</v>
      </c>
      <c r="K88" s="3">
        <v>0.1</v>
      </c>
      <c r="L88" s="2">
        <v>812.36</v>
      </c>
      <c r="M88" s="2">
        <v>160.72999999999999</v>
      </c>
      <c r="N88" t="s">
        <v>1496</v>
      </c>
      <c r="O88" t="s">
        <v>1498</v>
      </c>
      <c r="P88" t="s">
        <v>1501</v>
      </c>
    </row>
    <row r="89" spans="1:16" x14ac:dyDescent="0.3">
      <c r="A89">
        <v>88</v>
      </c>
      <c r="B89" t="s">
        <v>97</v>
      </c>
      <c r="C89">
        <v>1</v>
      </c>
      <c r="D89" s="1">
        <v>45358</v>
      </c>
      <c r="E89" s="1">
        <v>45358</v>
      </c>
      <c r="F89" t="s">
        <v>1033</v>
      </c>
      <c r="G89" t="s">
        <v>1383</v>
      </c>
      <c r="H89" t="s">
        <v>1482</v>
      </c>
      <c r="I89">
        <v>2</v>
      </c>
      <c r="J89" s="2">
        <v>17693.080000000002</v>
      </c>
      <c r="K89" s="3">
        <v>0.1</v>
      </c>
      <c r="L89" s="2">
        <v>31847.54</v>
      </c>
      <c r="M89" s="2">
        <v>3553.46</v>
      </c>
      <c r="N89" t="s">
        <v>1496</v>
      </c>
      <c r="O89" t="s">
        <v>1499</v>
      </c>
      <c r="P89" t="s">
        <v>1501</v>
      </c>
    </row>
    <row r="90" spans="1:16" x14ac:dyDescent="0.3">
      <c r="A90">
        <v>89</v>
      </c>
      <c r="B90" t="s">
        <v>98</v>
      </c>
      <c r="C90">
        <v>1</v>
      </c>
      <c r="D90" s="1">
        <v>45359</v>
      </c>
      <c r="E90" s="1">
        <v>45362</v>
      </c>
      <c r="F90" t="s">
        <v>1034</v>
      </c>
      <c r="G90" t="s">
        <v>1354</v>
      </c>
      <c r="H90" t="s">
        <v>1480</v>
      </c>
      <c r="I90">
        <v>2</v>
      </c>
      <c r="J90" s="2">
        <v>45654.38</v>
      </c>
      <c r="K90" s="3">
        <v>0</v>
      </c>
      <c r="L90" s="2">
        <v>91308.76</v>
      </c>
      <c r="M90" s="2">
        <v>25909</v>
      </c>
      <c r="N90" t="s">
        <v>1495</v>
      </c>
      <c r="O90" t="s">
        <v>1498</v>
      </c>
      <c r="P90" t="s">
        <v>1501</v>
      </c>
    </row>
    <row r="91" spans="1:16" x14ac:dyDescent="0.3">
      <c r="A91">
        <v>90</v>
      </c>
      <c r="B91" t="s">
        <v>99</v>
      </c>
      <c r="C91">
        <v>1</v>
      </c>
      <c r="D91" s="1">
        <v>45359</v>
      </c>
      <c r="E91" s="1">
        <v>45361</v>
      </c>
      <c r="F91" t="s">
        <v>1035</v>
      </c>
      <c r="G91" t="s">
        <v>1395</v>
      </c>
      <c r="H91" t="s">
        <v>1480</v>
      </c>
      <c r="I91">
        <v>1</v>
      </c>
      <c r="J91" s="2">
        <v>5383.63</v>
      </c>
      <c r="K91" s="3">
        <v>0</v>
      </c>
      <c r="L91" s="2">
        <v>5383.63</v>
      </c>
      <c r="M91" s="2">
        <v>1175.04</v>
      </c>
      <c r="N91" t="s">
        <v>1497</v>
      </c>
      <c r="O91" t="s">
        <v>1499</v>
      </c>
      <c r="P91" t="s">
        <v>1501</v>
      </c>
    </row>
    <row r="92" spans="1:16" x14ac:dyDescent="0.3">
      <c r="A92">
        <v>91</v>
      </c>
      <c r="B92" t="s">
        <v>100</v>
      </c>
      <c r="C92">
        <v>1</v>
      </c>
      <c r="D92" s="1">
        <v>45360</v>
      </c>
      <c r="E92" s="1">
        <v>45361</v>
      </c>
      <c r="F92" t="s">
        <v>991</v>
      </c>
      <c r="G92" t="s">
        <v>1329</v>
      </c>
      <c r="H92" t="s">
        <v>1482</v>
      </c>
      <c r="I92">
        <v>1</v>
      </c>
      <c r="J92" s="2">
        <v>1065.95</v>
      </c>
      <c r="K92" s="3">
        <v>0</v>
      </c>
      <c r="L92" s="2">
        <v>1065.95</v>
      </c>
      <c r="M92" s="2">
        <v>380.77</v>
      </c>
      <c r="N92" t="s">
        <v>1494</v>
      </c>
      <c r="O92" t="s">
        <v>1499</v>
      </c>
      <c r="P92" t="s">
        <v>1502</v>
      </c>
    </row>
    <row r="93" spans="1:16" x14ac:dyDescent="0.3">
      <c r="A93">
        <v>92</v>
      </c>
      <c r="B93" t="s">
        <v>101</v>
      </c>
      <c r="C93">
        <v>1</v>
      </c>
      <c r="D93" s="1">
        <v>45360</v>
      </c>
      <c r="E93" s="1">
        <v>45361</v>
      </c>
      <c r="F93" t="s">
        <v>1036</v>
      </c>
      <c r="G93" t="s">
        <v>1396</v>
      </c>
      <c r="H93" t="s">
        <v>1480</v>
      </c>
      <c r="I93">
        <v>3</v>
      </c>
      <c r="J93" s="2">
        <v>1866.05</v>
      </c>
      <c r="K93" s="3">
        <v>0.15</v>
      </c>
      <c r="L93" s="2">
        <v>4758.43</v>
      </c>
      <c r="M93" s="2">
        <v>985.3</v>
      </c>
      <c r="N93" t="s">
        <v>1494</v>
      </c>
      <c r="O93" t="s">
        <v>1499</v>
      </c>
      <c r="P93" t="s">
        <v>1501</v>
      </c>
    </row>
    <row r="94" spans="1:16" x14ac:dyDescent="0.3">
      <c r="A94">
        <v>93</v>
      </c>
      <c r="B94" t="s">
        <v>102</v>
      </c>
      <c r="C94">
        <v>1</v>
      </c>
      <c r="D94" s="1">
        <v>45361</v>
      </c>
      <c r="E94" s="1">
        <v>45363</v>
      </c>
      <c r="F94" t="s">
        <v>1027</v>
      </c>
      <c r="G94" t="s">
        <v>1397</v>
      </c>
      <c r="H94" t="s">
        <v>1480</v>
      </c>
      <c r="I94">
        <v>2</v>
      </c>
      <c r="J94" s="2">
        <v>42202.74</v>
      </c>
      <c r="K94" s="3">
        <v>0</v>
      </c>
      <c r="L94" s="2">
        <v>84405.48</v>
      </c>
      <c r="M94" s="2">
        <v>15575.52</v>
      </c>
      <c r="N94" t="s">
        <v>1496</v>
      </c>
      <c r="O94" t="s">
        <v>1498</v>
      </c>
      <c r="P94" t="s">
        <v>1501</v>
      </c>
    </row>
    <row r="95" spans="1:16" x14ac:dyDescent="0.3">
      <c r="A95">
        <v>94</v>
      </c>
      <c r="B95" t="s">
        <v>103</v>
      </c>
      <c r="C95">
        <v>1</v>
      </c>
      <c r="D95" s="1">
        <v>45362</v>
      </c>
      <c r="E95" s="1">
        <v>45363</v>
      </c>
      <c r="F95" t="s">
        <v>1037</v>
      </c>
      <c r="G95" t="s">
        <v>1346</v>
      </c>
      <c r="H95" t="s">
        <v>1492</v>
      </c>
      <c r="I95">
        <v>2</v>
      </c>
      <c r="J95" s="2">
        <v>3324.39</v>
      </c>
      <c r="K95" s="3">
        <v>0.05</v>
      </c>
      <c r="L95" s="2">
        <v>6316.34</v>
      </c>
      <c r="M95" s="2">
        <v>2135.6</v>
      </c>
      <c r="N95" t="s">
        <v>1497</v>
      </c>
      <c r="O95" t="s">
        <v>1498</v>
      </c>
      <c r="P95" t="s">
        <v>1501</v>
      </c>
    </row>
    <row r="96" spans="1:16" x14ac:dyDescent="0.3">
      <c r="A96">
        <v>95</v>
      </c>
      <c r="B96" t="s">
        <v>104</v>
      </c>
      <c r="C96">
        <v>2</v>
      </c>
      <c r="D96" s="1">
        <v>45363</v>
      </c>
      <c r="E96" s="1">
        <v>45365</v>
      </c>
      <c r="F96" t="s">
        <v>1038</v>
      </c>
      <c r="G96" t="s">
        <v>1339</v>
      </c>
      <c r="H96" t="s">
        <v>1480</v>
      </c>
      <c r="I96">
        <v>1</v>
      </c>
      <c r="J96" s="2">
        <v>763.54</v>
      </c>
      <c r="K96" s="3">
        <v>0</v>
      </c>
      <c r="L96" s="2">
        <v>763.54</v>
      </c>
      <c r="M96" s="2">
        <v>240.98</v>
      </c>
      <c r="N96" t="s">
        <v>1495</v>
      </c>
      <c r="O96" t="s">
        <v>1500</v>
      </c>
      <c r="P96" t="s">
        <v>1501</v>
      </c>
    </row>
    <row r="97" spans="1:16" x14ac:dyDescent="0.3">
      <c r="A97">
        <v>96</v>
      </c>
      <c r="B97" t="s">
        <v>105</v>
      </c>
      <c r="C97">
        <v>1</v>
      </c>
      <c r="D97" s="1">
        <v>45363</v>
      </c>
      <c r="E97" s="1">
        <v>45363</v>
      </c>
      <c r="F97" t="s">
        <v>1039</v>
      </c>
      <c r="G97" t="s">
        <v>1384</v>
      </c>
      <c r="H97" t="s">
        <v>1481</v>
      </c>
      <c r="I97">
        <v>1</v>
      </c>
      <c r="J97" s="2">
        <v>35937.699999999997</v>
      </c>
      <c r="K97" s="3">
        <v>0</v>
      </c>
      <c r="L97" s="2">
        <v>35937.699999999997</v>
      </c>
      <c r="M97" s="2">
        <v>10629.44</v>
      </c>
      <c r="N97" t="s">
        <v>1496</v>
      </c>
      <c r="O97" t="s">
        <v>1498</v>
      </c>
      <c r="P97" t="s">
        <v>1501</v>
      </c>
    </row>
    <row r="98" spans="1:16" x14ac:dyDescent="0.3">
      <c r="A98">
        <v>97</v>
      </c>
      <c r="B98" t="s">
        <v>106</v>
      </c>
      <c r="C98">
        <v>1</v>
      </c>
      <c r="D98" s="1">
        <v>45364</v>
      </c>
      <c r="E98" s="1">
        <v>45366</v>
      </c>
      <c r="F98" t="s">
        <v>981</v>
      </c>
      <c r="G98" t="s">
        <v>1398</v>
      </c>
      <c r="H98" t="s">
        <v>1480</v>
      </c>
      <c r="I98">
        <v>1</v>
      </c>
      <c r="J98" s="2">
        <v>21441.39</v>
      </c>
      <c r="K98" s="3">
        <v>0</v>
      </c>
      <c r="L98" s="2">
        <v>21441.39</v>
      </c>
      <c r="M98" s="2">
        <v>4253.84</v>
      </c>
      <c r="N98" t="s">
        <v>1495</v>
      </c>
      <c r="O98" t="s">
        <v>1500</v>
      </c>
      <c r="P98" t="s">
        <v>1501</v>
      </c>
    </row>
    <row r="99" spans="1:16" x14ac:dyDescent="0.3">
      <c r="A99">
        <v>98</v>
      </c>
      <c r="B99" t="s">
        <v>107</v>
      </c>
      <c r="C99">
        <v>2</v>
      </c>
      <c r="D99" s="1">
        <v>45364</v>
      </c>
      <c r="E99" s="1">
        <v>45364</v>
      </c>
      <c r="F99" t="s">
        <v>1040</v>
      </c>
      <c r="G99" t="s">
        <v>1344</v>
      </c>
      <c r="H99" t="s">
        <v>1484</v>
      </c>
      <c r="I99">
        <v>3</v>
      </c>
      <c r="J99" s="2">
        <v>555.59</v>
      </c>
      <c r="K99" s="3">
        <v>0.05</v>
      </c>
      <c r="L99" s="2">
        <v>1583.43</v>
      </c>
      <c r="M99" s="2">
        <v>446.13</v>
      </c>
      <c r="N99" t="s">
        <v>1496</v>
      </c>
      <c r="O99" t="s">
        <v>1498</v>
      </c>
      <c r="P99" t="s">
        <v>1501</v>
      </c>
    </row>
    <row r="100" spans="1:16" x14ac:dyDescent="0.3">
      <c r="A100">
        <v>99</v>
      </c>
      <c r="B100" t="s">
        <v>108</v>
      </c>
      <c r="C100">
        <v>1</v>
      </c>
      <c r="D100" s="1">
        <v>45367</v>
      </c>
      <c r="E100" s="1">
        <v>45369</v>
      </c>
      <c r="F100" t="s">
        <v>1041</v>
      </c>
      <c r="G100" t="s">
        <v>1340</v>
      </c>
      <c r="H100" t="s">
        <v>1480</v>
      </c>
      <c r="I100">
        <v>1</v>
      </c>
      <c r="J100" s="2">
        <v>5570.6</v>
      </c>
      <c r="K100" s="3">
        <v>0</v>
      </c>
      <c r="L100" s="2">
        <v>5570.6</v>
      </c>
      <c r="M100" s="2">
        <v>1503.07</v>
      </c>
      <c r="N100" t="s">
        <v>1494</v>
      </c>
      <c r="O100" t="s">
        <v>1500</v>
      </c>
      <c r="P100" t="s">
        <v>1501</v>
      </c>
    </row>
    <row r="101" spans="1:16" x14ac:dyDescent="0.3">
      <c r="A101">
        <v>100</v>
      </c>
      <c r="B101" t="s">
        <v>109</v>
      </c>
      <c r="C101">
        <v>1</v>
      </c>
      <c r="D101" s="1">
        <v>45367</v>
      </c>
      <c r="E101" s="1">
        <v>45369</v>
      </c>
      <c r="F101" t="s">
        <v>1042</v>
      </c>
      <c r="G101" t="s">
        <v>1352</v>
      </c>
      <c r="H101" t="s">
        <v>1480</v>
      </c>
      <c r="I101">
        <v>1</v>
      </c>
      <c r="J101" s="2">
        <v>3696.44</v>
      </c>
      <c r="K101" s="3">
        <v>0</v>
      </c>
      <c r="L101" s="2">
        <v>3696.44</v>
      </c>
      <c r="M101" s="2">
        <v>1613.88</v>
      </c>
      <c r="N101" t="s">
        <v>1496</v>
      </c>
      <c r="O101" t="s">
        <v>1500</v>
      </c>
      <c r="P101" t="s">
        <v>1501</v>
      </c>
    </row>
    <row r="102" spans="1:16" x14ac:dyDescent="0.3">
      <c r="A102">
        <v>101</v>
      </c>
      <c r="B102" t="s">
        <v>110</v>
      </c>
      <c r="C102">
        <v>2</v>
      </c>
      <c r="D102" s="1">
        <v>45367</v>
      </c>
      <c r="E102" s="1">
        <v>45368</v>
      </c>
      <c r="F102" t="s">
        <v>1043</v>
      </c>
      <c r="G102" t="s">
        <v>1387</v>
      </c>
      <c r="H102" t="s">
        <v>1480</v>
      </c>
      <c r="I102">
        <v>1</v>
      </c>
      <c r="J102" s="2">
        <v>2184.2199999999998</v>
      </c>
      <c r="K102" s="3">
        <v>0.1</v>
      </c>
      <c r="L102" s="2">
        <v>1965.8</v>
      </c>
      <c r="M102" s="2">
        <v>323.69</v>
      </c>
      <c r="N102" t="s">
        <v>1494</v>
      </c>
      <c r="O102" t="s">
        <v>1500</v>
      </c>
      <c r="P102" t="s">
        <v>1501</v>
      </c>
    </row>
    <row r="103" spans="1:16" x14ac:dyDescent="0.3">
      <c r="A103">
        <v>102</v>
      </c>
      <c r="B103" t="s">
        <v>111</v>
      </c>
      <c r="C103">
        <v>2</v>
      </c>
      <c r="D103" s="1">
        <v>45367</v>
      </c>
      <c r="E103" s="1">
        <v>45368</v>
      </c>
      <c r="F103" t="s">
        <v>1044</v>
      </c>
      <c r="G103" t="s">
        <v>1396</v>
      </c>
      <c r="H103" t="s">
        <v>1480</v>
      </c>
      <c r="I103">
        <v>1</v>
      </c>
      <c r="J103" s="2">
        <v>1866.05</v>
      </c>
      <c r="K103" s="3">
        <v>0</v>
      </c>
      <c r="L103" s="2">
        <v>1866.05</v>
      </c>
      <c r="M103" s="2">
        <v>608.34</v>
      </c>
      <c r="N103" t="s">
        <v>1497</v>
      </c>
      <c r="O103" t="s">
        <v>1498</v>
      </c>
      <c r="P103" t="s">
        <v>1501</v>
      </c>
    </row>
    <row r="104" spans="1:16" x14ac:dyDescent="0.3">
      <c r="A104">
        <v>103</v>
      </c>
      <c r="B104" t="s">
        <v>112</v>
      </c>
      <c r="C104">
        <v>1</v>
      </c>
      <c r="D104" s="1">
        <v>45367</v>
      </c>
      <c r="E104" s="1">
        <v>45368</v>
      </c>
      <c r="F104" t="s">
        <v>965</v>
      </c>
      <c r="G104" t="s">
        <v>1399</v>
      </c>
      <c r="H104" t="s">
        <v>1480</v>
      </c>
      <c r="I104">
        <v>1</v>
      </c>
      <c r="J104" s="2">
        <v>711.86</v>
      </c>
      <c r="K104" s="3">
        <v>0.25</v>
      </c>
      <c r="L104" s="2">
        <v>533.89</v>
      </c>
      <c r="M104" s="2">
        <v>-105.17</v>
      </c>
      <c r="N104" t="s">
        <v>1495</v>
      </c>
      <c r="O104" t="s">
        <v>1498</v>
      </c>
      <c r="P104" t="s">
        <v>1501</v>
      </c>
    </row>
    <row r="105" spans="1:16" x14ac:dyDescent="0.3">
      <c r="A105">
        <v>104</v>
      </c>
      <c r="B105" t="s">
        <v>113</v>
      </c>
      <c r="C105">
        <v>1</v>
      </c>
      <c r="D105" s="1">
        <v>45368</v>
      </c>
      <c r="E105" s="1">
        <v>45368</v>
      </c>
      <c r="F105" t="s">
        <v>1045</v>
      </c>
      <c r="G105" t="s">
        <v>1400</v>
      </c>
      <c r="H105" t="s">
        <v>1487</v>
      </c>
      <c r="I105">
        <v>1</v>
      </c>
      <c r="J105" s="2">
        <v>36178.629999999997</v>
      </c>
      <c r="K105" s="3">
        <v>0</v>
      </c>
      <c r="L105" s="2">
        <v>36178.629999999997</v>
      </c>
      <c r="M105" s="2">
        <v>5875.75</v>
      </c>
      <c r="N105" t="s">
        <v>1496</v>
      </c>
      <c r="O105" t="s">
        <v>1498</v>
      </c>
      <c r="P105" t="s">
        <v>1501</v>
      </c>
    </row>
    <row r="106" spans="1:16" x14ac:dyDescent="0.3">
      <c r="A106">
        <v>105</v>
      </c>
      <c r="B106" t="s">
        <v>114</v>
      </c>
      <c r="C106">
        <v>1</v>
      </c>
      <c r="D106" s="1">
        <v>45369</v>
      </c>
      <c r="E106" s="1">
        <v>45370</v>
      </c>
      <c r="F106" t="s">
        <v>1046</v>
      </c>
      <c r="G106" t="s">
        <v>1401</v>
      </c>
      <c r="H106" t="s">
        <v>1480</v>
      </c>
      <c r="I106">
        <v>1</v>
      </c>
      <c r="J106" s="2">
        <v>50900.49</v>
      </c>
      <c r="K106" s="3">
        <v>0</v>
      </c>
      <c r="L106" s="2">
        <v>50900.49</v>
      </c>
      <c r="M106" s="2">
        <v>7930.74</v>
      </c>
      <c r="N106" t="s">
        <v>1496</v>
      </c>
      <c r="O106" t="s">
        <v>1498</v>
      </c>
      <c r="P106" t="s">
        <v>1501</v>
      </c>
    </row>
    <row r="107" spans="1:16" x14ac:dyDescent="0.3">
      <c r="A107">
        <v>106</v>
      </c>
      <c r="B107" t="s">
        <v>115</v>
      </c>
      <c r="C107">
        <v>1</v>
      </c>
      <c r="D107" s="1">
        <v>45369</v>
      </c>
      <c r="E107" s="1">
        <v>45370</v>
      </c>
      <c r="F107" t="s">
        <v>987</v>
      </c>
      <c r="G107" t="s">
        <v>1375</v>
      </c>
      <c r="H107" t="s">
        <v>1480</v>
      </c>
      <c r="I107">
        <v>1</v>
      </c>
      <c r="J107" s="2">
        <v>35534</v>
      </c>
      <c r="K107" s="3">
        <v>0.2</v>
      </c>
      <c r="L107" s="2">
        <v>28427.200000000001</v>
      </c>
      <c r="M107" s="2">
        <v>-1305.24</v>
      </c>
      <c r="N107" t="s">
        <v>1495</v>
      </c>
      <c r="O107" t="s">
        <v>1498</v>
      </c>
      <c r="P107" t="s">
        <v>1501</v>
      </c>
    </row>
    <row r="108" spans="1:16" x14ac:dyDescent="0.3">
      <c r="A108">
        <v>107</v>
      </c>
      <c r="B108" t="s">
        <v>116</v>
      </c>
      <c r="C108">
        <v>1</v>
      </c>
      <c r="D108" s="1">
        <v>45369</v>
      </c>
      <c r="E108" s="1">
        <v>45372</v>
      </c>
      <c r="F108" t="s">
        <v>1047</v>
      </c>
      <c r="G108" t="s">
        <v>1402</v>
      </c>
      <c r="H108" t="s">
        <v>1480</v>
      </c>
      <c r="I108">
        <v>2</v>
      </c>
      <c r="J108" s="2">
        <v>1419.44</v>
      </c>
      <c r="K108" s="3">
        <v>0</v>
      </c>
      <c r="L108" s="2">
        <v>2838.88</v>
      </c>
      <c r="M108" s="2">
        <v>213.88</v>
      </c>
      <c r="N108" t="s">
        <v>1493</v>
      </c>
      <c r="O108" t="s">
        <v>1499</v>
      </c>
      <c r="P108" t="s">
        <v>1502</v>
      </c>
    </row>
    <row r="109" spans="1:16" x14ac:dyDescent="0.3">
      <c r="A109">
        <v>108</v>
      </c>
      <c r="B109" t="s">
        <v>117</v>
      </c>
      <c r="C109">
        <v>1</v>
      </c>
      <c r="D109" s="1">
        <v>45370</v>
      </c>
      <c r="E109" s="1">
        <v>45371</v>
      </c>
      <c r="F109" t="s">
        <v>1048</v>
      </c>
      <c r="G109" t="s">
        <v>1396</v>
      </c>
      <c r="H109" t="s">
        <v>1480</v>
      </c>
      <c r="I109">
        <v>1</v>
      </c>
      <c r="J109" s="2">
        <v>1866.05</v>
      </c>
      <c r="K109" s="3">
        <v>0</v>
      </c>
      <c r="L109" s="2">
        <v>1866.05</v>
      </c>
      <c r="M109" s="2">
        <v>608.34</v>
      </c>
      <c r="N109" t="s">
        <v>1497</v>
      </c>
      <c r="O109" t="s">
        <v>1498</v>
      </c>
      <c r="P109" t="s">
        <v>1501</v>
      </c>
    </row>
    <row r="110" spans="1:16" x14ac:dyDescent="0.3">
      <c r="A110">
        <v>109</v>
      </c>
      <c r="B110" t="s">
        <v>118</v>
      </c>
      <c r="C110">
        <v>1</v>
      </c>
      <c r="D110" s="1">
        <v>45370</v>
      </c>
      <c r="E110" s="1">
        <v>45372</v>
      </c>
      <c r="F110" t="s">
        <v>1049</v>
      </c>
      <c r="G110" t="s">
        <v>1403</v>
      </c>
      <c r="H110" t="s">
        <v>1480</v>
      </c>
      <c r="I110">
        <v>3</v>
      </c>
      <c r="J110" s="2">
        <v>24758.98</v>
      </c>
      <c r="K110" s="3">
        <v>0.2</v>
      </c>
      <c r="L110" s="2">
        <v>59421.55</v>
      </c>
      <c r="M110" s="2">
        <v>-2346.59</v>
      </c>
      <c r="N110" t="s">
        <v>1496</v>
      </c>
      <c r="O110" t="s">
        <v>1498</v>
      </c>
      <c r="P110" t="s">
        <v>1501</v>
      </c>
    </row>
    <row r="111" spans="1:16" x14ac:dyDescent="0.3">
      <c r="A111">
        <v>110</v>
      </c>
      <c r="B111" t="s">
        <v>119</v>
      </c>
      <c r="C111">
        <v>1</v>
      </c>
      <c r="D111" s="1">
        <v>45372</v>
      </c>
      <c r="E111" s="1">
        <v>45372</v>
      </c>
      <c r="F111" t="s">
        <v>1050</v>
      </c>
      <c r="G111" t="s">
        <v>1404</v>
      </c>
      <c r="H111" t="s">
        <v>1481</v>
      </c>
      <c r="I111">
        <v>1</v>
      </c>
      <c r="J111" s="2">
        <v>44125.88</v>
      </c>
      <c r="K111" s="3">
        <v>0.2</v>
      </c>
      <c r="L111" s="2">
        <v>35300.699999999997</v>
      </c>
      <c r="M111" s="2">
        <v>986.01</v>
      </c>
      <c r="N111" t="s">
        <v>1496</v>
      </c>
      <c r="O111" t="s">
        <v>1499</v>
      </c>
      <c r="P111" t="s">
        <v>1501</v>
      </c>
    </row>
    <row r="112" spans="1:16" x14ac:dyDescent="0.3">
      <c r="A112">
        <v>111</v>
      </c>
      <c r="B112" t="s">
        <v>120</v>
      </c>
      <c r="C112">
        <v>2</v>
      </c>
      <c r="D112" s="1">
        <v>45373</v>
      </c>
      <c r="E112" s="1">
        <v>45375</v>
      </c>
      <c r="F112" t="s">
        <v>984</v>
      </c>
      <c r="G112" t="s">
        <v>1372</v>
      </c>
      <c r="H112" t="s">
        <v>1480</v>
      </c>
      <c r="I112">
        <v>1</v>
      </c>
      <c r="J112" s="2">
        <v>22695.17</v>
      </c>
      <c r="K112" s="3">
        <v>0</v>
      </c>
      <c r="L112" s="2">
        <v>22695.17</v>
      </c>
      <c r="M112" s="2">
        <v>3536.01</v>
      </c>
      <c r="N112" t="s">
        <v>1496</v>
      </c>
      <c r="O112" t="s">
        <v>1498</v>
      </c>
      <c r="P112" t="s">
        <v>1501</v>
      </c>
    </row>
    <row r="113" spans="1:16" x14ac:dyDescent="0.3">
      <c r="A113">
        <v>112</v>
      </c>
      <c r="B113" t="s">
        <v>121</v>
      </c>
      <c r="C113">
        <v>1</v>
      </c>
      <c r="D113" s="1">
        <v>45373</v>
      </c>
      <c r="E113" s="1">
        <v>45375</v>
      </c>
      <c r="F113" t="s">
        <v>1023</v>
      </c>
      <c r="G113" t="s">
        <v>1405</v>
      </c>
      <c r="H113" t="s">
        <v>1480</v>
      </c>
      <c r="I113">
        <v>2</v>
      </c>
      <c r="J113" s="2">
        <v>57633.32</v>
      </c>
      <c r="K113" s="3">
        <v>0.05</v>
      </c>
      <c r="L113" s="2">
        <v>109503.31</v>
      </c>
      <c r="M113" s="2">
        <v>8637.65</v>
      </c>
      <c r="N113" t="s">
        <v>1496</v>
      </c>
      <c r="O113" t="s">
        <v>1499</v>
      </c>
      <c r="P113" t="s">
        <v>1501</v>
      </c>
    </row>
    <row r="114" spans="1:16" x14ac:dyDescent="0.3">
      <c r="A114">
        <v>113</v>
      </c>
      <c r="B114" t="s">
        <v>122</v>
      </c>
      <c r="C114">
        <v>2</v>
      </c>
      <c r="D114" s="1">
        <v>45374</v>
      </c>
      <c r="E114" s="1">
        <v>45374</v>
      </c>
      <c r="F114" t="s">
        <v>1051</v>
      </c>
      <c r="G114" t="s">
        <v>1406</v>
      </c>
      <c r="H114" t="s">
        <v>1479</v>
      </c>
      <c r="I114">
        <v>1</v>
      </c>
      <c r="J114" s="2">
        <v>150.38</v>
      </c>
      <c r="K114" s="3">
        <v>0</v>
      </c>
      <c r="L114" s="2">
        <v>150.38</v>
      </c>
      <c r="M114" s="2">
        <v>48.61</v>
      </c>
      <c r="N114" t="s">
        <v>1496</v>
      </c>
      <c r="O114" t="s">
        <v>1500</v>
      </c>
      <c r="P114" t="s">
        <v>1501</v>
      </c>
    </row>
    <row r="115" spans="1:16" x14ac:dyDescent="0.3">
      <c r="A115">
        <v>114</v>
      </c>
      <c r="B115" t="s">
        <v>123</v>
      </c>
      <c r="C115">
        <v>2</v>
      </c>
      <c r="D115" s="1">
        <v>45374</v>
      </c>
      <c r="E115" s="1">
        <v>45374</v>
      </c>
      <c r="F115" t="s">
        <v>1052</v>
      </c>
      <c r="G115" t="s">
        <v>1407</v>
      </c>
      <c r="H115" t="s">
        <v>1481</v>
      </c>
      <c r="I115">
        <v>1</v>
      </c>
      <c r="J115" s="2">
        <v>810.23</v>
      </c>
      <c r="K115" s="3">
        <v>0</v>
      </c>
      <c r="L115" s="2">
        <v>810.23</v>
      </c>
      <c r="M115" s="2">
        <v>91.79</v>
      </c>
      <c r="N115" t="s">
        <v>1496</v>
      </c>
      <c r="O115" t="s">
        <v>1498</v>
      </c>
      <c r="P115" t="s">
        <v>1501</v>
      </c>
    </row>
    <row r="116" spans="1:16" x14ac:dyDescent="0.3">
      <c r="A116">
        <v>115</v>
      </c>
      <c r="B116" t="s">
        <v>124</v>
      </c>
      <c r="C116">
        <v>1</v>
      </c>
      <c r="D116" s="1">
        <v>45374</v>
      </c>
      <c r="F116" t="s">
        <v>972</v>
      </c>
      <c r="G116" t="s">
        <v>1408</v>
      </c>
      <c r="H116" t="s">
        <v>1484</v>
      </c>
      <c r="I116">
        <v>1</v>
      </c>
      <c r="J116" s="2">
        <v>3284.39</v>
      </c>
      <c r="K116" s="3">
        <v>0</v>
      </c>
      <c r="L116" s="2">
        <v>3284.39</v>
      </c>
      <c r="M116" s="2">
        <v>887.88</v>
      </c>
      <c r="N116" t="s">
        <v>1494</v>
      </c>
      <c r="O116" t="s">
        <v>1498</v>
      </c>
      <c r="P116" t="s">
        <v>1503</v>
      </c>
    </row>
    <row r="117" spans="1:16" x14ac:dyDescent="0.3">
      <c r="A117">
        <v>116</v>
      </c>
      <c r="B117" t="s">
        <v>125</v>
      </c>
      <c r="C117">
        <v>2</v>
      </c>
      <c r="D117" s="1">
        <v>45374</v>
      </c>
      <c r="F117" t="s">
        <v>1053</v>
      </c>
      <c r="G117" t="s">
        <v>1409</v>
      </c>
      <c r="H117" t="s">
        <v>1485</v>
      </c>
      <c r="I117">
        <v>1</v>
      </c>
      <c r="J117" s="2">
        <v>10956.72</v>
      </c>
      <c r="K117" s="3">
        <v>0</v>
      </c>
      <c r="L117" s="2">
        <v>10956.72</v>
      </c>
      <c r="M117" s="2">
        <v>2312</v>
      </c>
      <c r="N117" t="s">
        <v>1493</v>
      </c>
      <c r="O117" t="s">
        <v>1498</v>
      </c>
      <c r="P117" t="s">
        <v>1503</v>
      </c>
    </row>
    <row r="118" spans="1:16" x14ac:dyDescent="0.3">
      <c r="A118">
        <v>117</v>
      </c>
      <c r="B118" t="s">
        <v>126</v>
      </c>
      <c r="C118">
        <v>1</v>
      </c>
      <c r="D118" s="1">
        <v>45375</v>
      </c>
      <c r="E118" s="1">
        <v>45375</v>
      </c>
      <c r="F118" t="s">
        <v>1054</v>
      </c>
      <c r="G118" t="s">
        <v>1410</v>
      </c>
      <c r="H118" t="s">
        <v>1491</v>
      </c>
      <c r="I118">
        <v>3</v>
      </c>
      <c r="J118" s="2">
        <v>1753.24</v>
      </c>
      <c r="K118" s="3">
        <v>0</v>
      </c>
      <c r="L118" s="2">
        <v>5259.72</v>
      </c>
      <c r="M118" s="2">
        <v>1734.9</v>
      </c>
      <c r="N118" t="s">
        <v>1496</v>
      </c>
      <c r="O118" t="s">
        <v>1500</v>
      </c>
      <c r="P118" t="s">
        <v>1501</v>
      </c>
    </row>
    <row r="119" spans="1:16" x14ac:dyDescent="0.3">
      <c r="A119">
        <v>118</v>
      </c>
      <c r="B119" t="s">
        <v>127</v>
      </c>
      <c r="C119">
        <v>1</v>
      </c>
      <c r="D119" s="1">
        <v>45377</v>
      </c>
      <c r="E119" s="1">
        <v>45377</v>
      </c>
      <c r="F119" t="s">
        <v>1051</v>
      </c>
      <c r="G119" t="s">
        <v>1411</v>
      </c>
      <c r="H119" t="s">
        <v>1487</v>
      </c>
      <c r="I119">
        <v>2</v>
      </c>
      <c r="J119" s="2">
        <v>65997.17</v>
      </c>
      <c r="K119" s="3">
        <v>0.1</v>
      </c>
      <c r="L119" s="2">
        <v>118794.91</v>
      </c>
      <c r="M119" s="2">
        <v>3212.93</v>
      </c>
      <c r="N119" t="s">
        <v>1496</v>
      </c>
      <c r="O119" t="s">
        <v>1498</v>
      </c>
      <c r="P119" t="s">
        <v>1501</v>
      </c>
    </row>
    <row r="120" spans="1:16" x14ac:dyDescent="0.3">
      <c r="A120">
        <v>119</v>
      </c>
      <c r="B120" t="s">
        <v>128</v>
      </c>
      <c r="C120">
        <v>1</v>
      </c>
      <c r="D120" s="1">
        <v>45378</v>
      </c>
      <c r="E120" s="1">
        <v>45381</v>
      </c>
      <c r="F120" t="s">
        <v>1051</v>
      </c>
      <c r="G120" t="s">
        <v>1395</v>
      </c>
      <c r="H120" t="s">
        <v>1480</v>
      </c>
      <c r="I120">
        <v>1</v>
      </c>
      <c r="J120" s="2">
        <v>5383.63</v>
      </c>
      <c r="K120" s="3">
        <v>0</v>
      </c>
      <c r="L120" s="2">
        <v>5383.63</v>
      </c>
      <c r="M120" s="2">
        <v>1175.04</v>
      </c>
      <c r="N120" t="s">
        <v>1496</v>
      </c>
      <c r="O120" t="s">
        <v>1498</v>
      </c>
      <c r="P120" t="s">
        <v>1501</v>
      </c>
    </row>
    <row r="121" spans="1:16" x14ac:dyDescent="0.3">
      <c r="A121">
        <v>120</v>
      </c>
      <c r="B121" t="s">
        <v>129</v>
      </c>
      <c r="C121">
        <v>1</v>
      </c>
      <c r="D121" s="1">
        <v>45381</v>
      </c>
      <c r="F121" t="s">
        <v>1055</v>
      </c>
      <c r="G121" t="s">
        <v>1412</v>
      </c>
      <c r="H121" t="s">
        <v>1479</v>
      </c>
      <c r="I121">
        <v>1</v>
      </c>
      <c r="J121" s="2">
        <v>78073.17</v>
      </c>
      <c r="K121" s="3">
        <v>0</v>
      </c>
      <c r="L121" s="2">
        <v>78073.17</v>
      </c>
      <c r="M121" s="2">
        <v>12188.31</v>
      </c>
      <c r="N121" t="s">
        <v>1494</v>
      </c>
      <c r="O121" t="s">
        <v>1500</v>
      </c>
      <c r="P121" t="s">
        <v>1503</v>
      </c>
    </row>
    <row r="122" spans="1:16" x14ac:dyDescent="0.3">
      <c r="A122">
        <v>121</v>
      </c>
      <c r="B122" t="s">
        <v>130</v>
      </c>
      <c r="C122">
        <v>3</v>
      </c>
      <c r="D122" s="1">
        <v>45382</v>
      </c>
      <c r="E122" s="1">
        <v>45384</v>
      </c>
      <c r="F122" t="s">
        <v>1056</v>
      </c>
      <c r="G122" t="s">
        <v>1395</v>
      </c>
      <c r="H122" t="s">
        <v>1480</v>
      </c>
      <c r="I122">
        <v>1</v>
      </c>
      <c r="J122" s="2">
        <v>5383.63</v>
      </c>
      <c r="K122" s="3">
        <v>0.1</v>
      </c>
      <c r="L122" s="2">
        <v>4845.2700000000004</v>
      </c>
      <c r="M122" s="2">
        <v>636.67999999999995</v>
      </c>
      <c r="N122" t="s">
        <v>1496</v>
      </c>
      <c r="O122" t="s">
        <v>1498</v>
      </c>
      <c r="P122" t="s">
        <v>1501</v>
      </c>
    </row>
    <row r="123" spans="1:16" x14ac:dyDescent="0.3">
      <c r="A123">
        <v>122</v>
      </c>
      <c r="B123" t="s">
        <v>131</v>
      </c>
      <c r="C123">
        <v>2</v>
      </c>
      <c r="D123" s="1">
        <v>45382</v>
      </c>
      <c r="E123" s="1">
        <v>45384</v>
      </c>
      <c r="F123" t="s">
        <v>1019</v>
      </c>
      <c r="G123" t="s">
        <v>1413</v>
      </c>
      <c r="H123" t="s">
        <v>1480</v>
      </c>
      <c r="I123">
        <v>2</v>
      </c>
      <c r="J123" s="2">
        <v>771.89</v>
      </c>
      <c r="K123" s="3">
        <v>0</v>
      </c>
      <c r="L123" s="2">
        <v>1543.78</v>
      </c>
      <c r="M123" s="2">
        <v>440.88</v>
      </c>
      <c r="N123" t="s">
        <v>1494</v>
      </c>
      <c r="O123" t="s">
        <v>1498</v>
      </c>
      <c r="P123" t="s">
        <v>1501</v>
      </c>
    </row>
    <row r="124" spans="1:16" x14ac:dyDescent="0.3">
      <c r="A124">
        <v>123</v>
      </c>
      <c r="B124" t="s">
        <v>132</v>
      </c>
      <c r="C124">
        <v>1</v>
      </c>
      <c r="D124" s="1">
        <v>45383</v>
      </c>
      <c r="E124" s="1">
        <v>45386</v>
      </c>
      <c r="F124" t="s">
        <v>1057</v>
      </c>
      <c r="G124" t="s">
        <v>1414</v>
      </c>
      <c r="H124" t="s">
        <v>1480</v>
      </c>
      <c r="I124">
        <v>1</v>
      </c>
      <c r="J124" s="2">
        <v>20329.61</v>
      </c>
      <c r="K124" s="3">
        <v>0</v>
      </c>
      <c r="L124" s="2">
        <v>20329.61</v>
      </c>
      <c r="M124" s="2">
        <v>4962.38</v>
      </c>
      <c r="N124" t="s">
        <v>1496</v>
      </c>
      <c r="O124" t="s">
        <v>1498</v>
      </c>
      <c r="P124" t="s">
        <v>1502</v>
      </c>
    </row>
    <row r="125" spans="1:16" x14ac:dyDescent="0.3">
      <c r="A125">
        <v>124</v>
      </c>
      <c r="B125" t="s">
        <v>133</v>
      </c>
      <c r="C125">
        <v>2</v>
      </c>
      <c r="D125" s="1">
        <v>45384</v>
      </c>
      <c r="E125" s="1">
        <v>45387</v>
      </c>
      <c r="F125" t="s">
        <v>1058</v>
      </c>
      <c r="G125" t="s">
        <v>1373</v>
      </c>
      <c r="H125" t="s">
        <v>1480</v>
      </c>
      <c r="I125">
        <v>1</v>
      </c>
      <c r="J125" s="2">
        <v>1404.85</v>
      </c>
      <c r="K125" s="3">
        <v>0</v>
      </c>
      <c r="L125" s="2">
        <v>1404.85</v>
      </c>
      <c r="M125" s="2">
        <v>131.76</v>
      </c>
      <c r="N125" t="s">
        <v>1495</v>
      </c>
      <c r="O125" t="s">
        <v>1498</v>
      </c>
      <c r="P125" t="s">
        <v>1501</v>
      </c>
    </row>
    <row r="126" spans="1:16" x14ac:dyDescent="0.3">
      <c r="A126">
        <v>125</v>
      </c>
      <c r="B126" t="s">
        <v>134</v>
      </c>
      <c r="C126">
        <v>1</v>
      </c>
      <c r="D126" s="1">
        <v>45385</v>
      </c>
      <c r="E126" s="1">
        <v>45386</v>
      </c>
      <c r="F126" t="s">
        <v>1059</v>
      </c>
      <c r="G126" t="s">
        <v>1415</v>
      </c>
      <c r="H126" t="s">
        <v>1490</v>
      </c>
      <c r="I126">
        <v>2</v>
      </c>
      <c r="J126" s="2">
        <v>4772.1499999999996</v>
      </c>
      <c r="K126" s="3">
        <v>0</v>
      </c>
      <c r="L126" s="2">
        <v>9544.2999999999993</v>
      </c>
      <c r="M126" s="2">
        <v>2420.12</v>
      </c>
      <c r="N126" t="s">
        <v>1494</v>
      </c>
      <c r="O126" t="s">
        <v>1498</v>
      </c>
      <c r="P126" t="s">
        <v>1501</v>
      </c>
    </row>
    <row r="127" spans="1:16" x14ac:dyDescent="0.3">
      <c r="A127">
        <v>126</v>
      </c>
      <c r="B127" t="s">
        <v>135</v>
      </c>
      <c r="C127">
        <v>1</v>
      </c>
      <c r="D127" s="1">
        <v>45385</v>
      </c>
      <c r="E127" s="1">
        <v>45386</v>
      </c>
      <c r="F127" t="s">
        <v>1041</v>
      </c>
      <c r="G127" t="s">
        <v>1416</v>
      </c>
      <c r="H127" t="s">
        <v>1484</v>
      </c>
      <c r="I127">
        <v>1</v>
      </c>
      <c r="J127" s="2">
        <v>1404.87</v>
      </c>
      <c r="K127" s="3">
        <v>0</v>
      </c>
      <c r="L127" s="2">
        <v>1404.87</v>
      </c>
      <c r="M127" s="2">
        <v>179.87</v>
      </c>
      <c r="N127" t="s">
        <v>1495</v>
      </c>
      <c r="O127" t="s">
        <v>1498</v>
      </c>
      <c r="P127" t="s">
        <v>1501</v>
      </c>
    </row>
    <row r="128" spans="1:16" x14ac:dyDescent="0.3">
      <c r="A128">
        <v>127</v>
      </c>
      <c r="B128" t="s">
        <v>136</v>
      </c>
      <c r="C128">
        <v>1</v>
      </c>
      <c r="D128" s="1">
        <v>45386</v>
      </c>
      <c r="E128" s="1">
        <v>45387</v>
      </c>
      <c r="F128" t="s">
        <v>1060</v>
      </c>
      <c r="G128" t="s">
        <v>1417</v>
      </c>
      <c r="H128" t="s">
        <v>1491</v>
      </c>
      <c r="I128">
        <v>1</v>
      </c>
      <c r="J128" s="2">
        <v>1497.68</v>
      </c>
      <c r="K128" s="3">
        <v>0</v>
      </c>
      <c r="L128" s="2">
        <v>1497.68</v>
      </c>
      <c r="M128" s="2">
        <v>174.58</v>
      </c>
      <c r="N128" t="s">
        <v>1496</v>
      </c>
      <c r="O128" t="s">
        <v>1500</v>
      </c>
      <c r="P128" t="s">
        <v>1501</v>
      </c>
    </row>
    <row r="129" spans="1:16" x14ac:dyDescent="0.3">
      <c r="A129">
        <v>128</v>
      </c>
      <c r="B129" t="s">
        <v>137</v>
      </c>
      <c r="C129">
        <v>2</v>
      </c>
      <c r="D129" s="1">
        <v>45387</v>
      </c>
      <c r="E129" s="1">
        <v>45388</v>
      </c>
      <c r="F129" t="s">
        <v>1061</v>
      </c>
      <c r="G129" t="s">
        <v>1338</v>
      </c>
      <c r="H129" t="s">
        <v>1484</v>
      </c>
      <c r="I129">
        <v>1</v>
      </c>
      <c r="J129" s="2">
        <v>1151.02</v>
      </c>
      <c r="K129" s="3">
        <v>0.2</v>
      </c>
      <c r="L129" s="2">
        <v>920.82</v>
      </c>
      <c r="M129" s="2">
        <v>-80.650000000000006</v>
      </c>
      <c r="N129" t="s">
        <v>1496</v>
      </c>
      <c r="O129" t="s">
        <v>1498</v>
      </c>
      <c r="P129" t="s">
        <v>1501</v>
      </c>
    </row>
    <row r="130" spans="1:16" x14ac:dyDescent="0.3">
      <c r="A130">
        <v>129</v>
      </c>
      <c r="B130" t="s">
        <v>137</v>
      </c>
      <c r="C130">
        <v>3</v>
      </c>
      <c r="D130" s="1">
        <v>45387</v>
      </c>
      <c r="E130" s="1">
        <v>45388</v>
      </c>
      <c r="F130" t="s">
        <v>1061</v>
      </c>
      <c r="G130" t="s">
        <v>1418</v>
      </c>
      <c r="H130" t="s">
        <v>1484</v>
      </c>
      <c r="I130">
        <v>1</v>
      </c>
      <c r="J130" s="2">
        <v>30604.9</v>
      </c>
      <c r="K130" s="3">
        <v>0</v>
      </c>
      <c r="L130" s="2">
        <v>30604.9</v>
      </c>
      <c r="M130" s="2">
        <v>7928.17</v>
      </c>
      <c r="N130" t="s">
        <v>1496</v>
      </c>
      <c r="O130" t="s">
        <v>1498</v>
      </c>
      <c r="P130" t="s">
        <v>1501</v>
      </c>
    </row>
    <row r="131" spans="1:16" x14ac:dyDescent="0.3">
      <c r="A131">
        <v>130</v>
      </c>
      <c r="B131" t="s">
        <v>138</v>
      </c>
      <c r="C131">
        <v>1</v>
      </c>
      <c r="D131" s="1">
        <v>45388</v>
      </c>
      <c r="E131" s="1">
        <v>45388</v>
      </c>
      <c r="F131" t="s">
        <v>991</v>
      </c>
      <c r="G131" t="s">
        <v>1419</v>
      </c>
      <c r="H131" t="s">
        <v>1490</v>
      </c>
      <c r="I131">
        <v>1</v>
      </c>
      <c r="J131" s="2">
        <v>29006.55</v>
      </c>
      <c r="K131" s="3">
        <v>0</v>
      </c>
      <c r="L131" s="2">
        <v>29006.55</v>
      </c>
      <c r="M131" s="2">
        <v>5136.18</v>
      </c>
      <c r="N131" t="s">
        <v>1497</v>
      </c>
      <c r="O131" t="s">
        <v>1498</v>
      </c>
      <c r="P131" t="s">
        <v>1501</v>
      </c>
    </row>
    <row r="132" spans="1:16" x14ac:dyDescent="0.3">
      <c r="A132">
        <v>131</v>
      </c>
      <c r="B132" t="s">
        <v>139</v>
      </c>
      <c r="C132">
        <v>2</v>
      </c>
      <c r="D132" s="1">
        <v>45388</v>
      </c>
      <c r="F132" t="s">
        <v>1062</v>
      </c>
      <c r="G132" t="s">
        <v>1342</v>
      </c>
      <c r="H132" t="s">
        <v>1480</v>
      </c>
      <c r="I132">
        <v>2</v>
      </c>
      <c r="J132" s="2">
        <v>18924.84</v>
      </c>
      <c r="K132" s="3">
        <v>0</v>
      </c>
      <c r="L132" s="2">
        <v>37849.68</v>
      </c>
      <c r="M132" s="2">
        <v>5563.2</v>
      </c>
      <c r="N132" t="s">
        <v>1495</v>
      </c>
      <c r="O132" t="s">
        <v>1498</v>
      </c>
      <c r="P132" t="s">
        <v>1503</v>
      </c>
    </row>
    <row r="133" spans="1:16" x14ac:dyDescent="0.3">
      <c r="A133">
        <v>132</v>
      </c>
      <c r="B133" t="s">
        <v>140</v>
      </c>
      <c r="C133">
        <v>1</v>
      </c>
      <c r="D133" s="1">
        <v>45390</v>
      </c>
      <c r="E133" s="1">
        <v>45390</v>
      </c>
      <c r="F133" t="s">
        <v>1008</v>
      </c>
      <c r="G133" t="s">
        <v>1360</v>
      </c>
      <c r="H133" t="s">
        <v>1492</v>
      </c>
      <c r="I133">
        <v>1</v>
      </c>
      <c r="J133" s="2">
        <v>1166.3499999999999</v>
      </c>
      <c r="K133" s="3">
        <v>0</v>
      </c>
      <c r="L133" s="2">
        <v>1166.3499999999999</v>
      </c>
      <c r="M133" s="2">
        <v>136.61000000000001</v>
      </c>
      <c r="N133" t="s">
        <v>1496</v>
      </c>
      <c r="O133" t="s">
        <v>1498</v>
      </c>
      <c r="P133" t="s">
        <v>1501</v>
      </c>
    </row>
    <row r="134" spans="1:16" x14ac:dyDescent="0.3">
      <c r="A134">
        <v>133</v>
      </c>
      <c r="B134" t="s">
        <v>141</v>
      </c>
      <c r="C134">
        <v>1</v>
      </c>
      <c r="D134" s="1">
        <v>45393</v>
      </c>
      <c r="E134" s="1">
        <v>45394</v>
      </c>
      <c r="F134" t="s">
        <v>1063</v>
      </c>
      <c r="G134" t="s">
        <v>1420</v>
      </c>
      <c r="H134" t="s">
        <v>1480</v>
      </c>
      <c r="I134">
        <v>1</v>
      </c>
      <c r="J134" s="2">
        <v>257.32</v>
      </c>
      <c r="K134" s="3">
        <v>0</v>
      </c>
      <c r="L134" s="2">
        <v>257.32</v>
      </c>
      <c r="M134" s="2">
        <v>16.670000000000002</v>
      </c>
      <c r="N134" t="s">
        <v>1496</v>
      </c>
      <c r="O134" t="s">
        <v>1499</v>
      </c>
      <c r="P134" t="s">
        <v>1502</v>
      </c>
    </row>
    <row r="135" spans="1:16" x14ac:dyDescent="0.3">
      <c r="A135">
        <v>134</v>
      </c>
      <c r="B135" t="s">
        <v>142</v>
      </c>
      <c r="C135">
        <v>1</v>
      </c>
      <c r="D135" s="1">
        <v>45394</v>
      </c>
      <c r="E135" s="1">
        <v>45396</v>
      </c>
      <c r="F135" t="s">
        <v>1064</v>
      </c>
      <c r="G135" t="s">
        <v>1337</v>
      </c>
      <c r="H135" t="s">
        <v>1480</v>
      </c>
      <c r="I135">
        <v>1</v>
      </c>
      <c r="J135" s="2">
        <v>12042.96</v>
      </c>
      <c r="K135" s="3">
        <v>0</v>
      </c>
      <c r="L135" s="2">
        <v>12042.96</v>
      </c>
      <c r="M135" s="2">
        <v>1101.3599999999999</v>
      </c>
      <c r="N135" t="s">
        <v>1497</v>
      </c>
      <c r="O135" t="s">
        <v>1500</v>
      </c>
      <c r="P135" t="s">
        <v>1501</v>
      </c>
    </row>
    <row r="136" spans="1:16" x14ac:dyDescent="0.3">
      <c r="A136">
        <v>135</v>
      </c>
      <c r="B136" t="s">
        <v>143</v>
      </c>
      <c r="C136">
        <v>1</v>
      </c>
      <c r="D136" s="1">
        <v>45397</v>
      </c>
      <c r="E136" s="1">
        <v>45398</v>
      </c>
      <c r="F136" t="s">
        <v>1065</v>
      </c>
      <c r="G136" t="s">
        <v>1408</v>
      </c>
      <c r="H136" t="s">
        <v>1490</v>
      </c>
      <c r="I136">
        <v>2</v>
      </c>
      <c r="J136" s="2">
        <v>3284.39</v>
      </c>
      <c r="K136" s="3">
        <v>0.2</v>
      </c>
      <c r="L136" s="2">
        <v>5255.02</v>
      </c>
      <c r="M136" s="2">
        <v>462</v>
      </c>
      <c r="N136" t="s">
        <v>1497</v>
      </c>
      <c r="O136" t="s">
        <v>1499</v>
      </c>
      <c r="P136" t="s">
        <v>1501</v>
      </c>
    </row>
    <row r="137" spans="1:16" x14ac:dyDescent="0.3">
      <c r="A137">
        <v>136</v>
      </c>
      <c r="B137" t="s">
        <v>144</v>
      </c>
      <c r="C137">
        <v>1</v>
      </c>
      <c r="D137" s="1">
        <v>45399</v>
      </c>
      <c r="E137" s="1">
        <v>45399</v>
      </c>
      <c r="F137" t="s">
        <v>965</v>
      </c>
      <c r="G137" t="s">
        <v>1421</v>
      </c>
      <c r="H137" t="s">
        <v>1482</v>
      </c>
      <c r="I137">
        <v>1</v>
      </c>
      <c r="J137" s="2">
        <v>227.54</v>
      </c>
      <c r="K137" s="3">
        <v>0.05</v>
      </c>
      <c r="L137" s="2">
        <v>216.16</v>
      </c>
      <c r="M137" s="2">
        <v>21.82</v>
      </c>
      <c r="N137" t="s">
        <v>1496</v>
      </c>
      <c r="O137" t="s">
        <v>1498</v>
      </c>
      <c r="P137" t="s">
        <v>1501</v>
      </c>
    </row>
    <row r="138" spans="1:16" x14ac:dyDescent="0.3">
      <c r="A138">
        <v>137</v>
      </c>
      <c r="B138" t="s">
        <v>144</v>
      </c>
      <c r="C138">
        <v>2</v>
      </c>
      <c r="D138" s="1">
        <v>45399</v>
      </c>
      <c r="E138" s="1">
        <v>45399</v>
      </c>
      <c r="F138" t="s">
        <v>965</v>
      </c>
      <c r="G138" t="s">
        <v>1344</v>
      </c>
      <c r="H138" t="s">
        <v>1482</v>
      </c>
      <c r="I138">
        <v>1</v>
      </c>
      <c r="J138" s="2">
        <v>555.59</v>
      </c>
      <c r="K138" s="3">
        <v>0</v>
      </c>
      <c r="L138" s="2">
        <v>555.59</v>
      </c>
      <c r="M138" s="2">
        <v>176.49</v>
      </c>
      <c r="N138" t="s">
        <v>1496</v>
      </c>
      <c r="O138" t="s">
        <v>1498</v>
      </c>
      <c r="P138" t="s">
        <v>1501</v>
      </c>
    </row>
    <row r="139" spans="1:16" x14ac:dyDescent="0.3">
      <c r="A139">
        <v>138</v>
      </c>
      <c r="B139" t="s">
        <v>145</v>
      </c>
      <c r="C139">
        <v>1</v>
      </c>
      <c r="D139" s="1">
        <v>45399</v>
      </c>
      <c r="E139" s="1">
        <v>45401</v>
      </c>
      <c r="F139" t="s">
        <v>1066</v>
      </c>
      <c r="G139" t="s">
        <v>1422</v>
      </c>
      <c r="H139" t="s">
        <v>1480</v>
      </c>
      <c r="I139">
        <v>2</v>
      </c>
      <c r="J139" s="2">
        <v>27508.38</v>
      </c>
      <c r="K139" s="3">
        <v>0.1</v>
      </c>
      <c r="L139" s="2">
        <v>49515.08</v>
      </c>
      <c r="M139" s="2">
        <v>2939.02</v>
      </c>
      <c r="N139" t="s">
        <v>1496</v>
      </c>
      <c r="O139" t="s">
        <v>1498</v>
      </c>
      <c r="P139" t="s">
        <v>1501</v>
      </c>
    </row>
    <row r="140" spans="1:16" x14ac:dyDescent="0.3">
      <c r="A140">
        <v>139</v>
      </c>
      <c r="B140" t="s">
        <v>146</v>
      </c>
      <c r="C140">
        <v>1</v>
      </c>
      <c r="D140" s="1">
        <v>45399</v>
      </c>
      <c r="E140" s="1">
        <v>45401</v>
      </c>
      <c r="F140" t="s">
        <v>1067</v>
      </c>
      <c r="G140" t="s">
        <v>1381</v>
      </c>
      <c r="H140" t="s">
        <v>1480</v>
      </c>
      <c r="I140">
        <v>1</v>
      </c>
      <c r="J140" s="2">
        <v>4870.55</v>
      </c>
      <c r="K140" s="3">
        <v>0</v>
      </c>
      <c r="L140" s="2">
        <v>4870.55</v>
      </c>
      <c r="M140" s="2">
        <v>1976.93</v>
      </c>
      <c r="N140" t="s">
        <v>1497</v>
      </c>
      <c r="O140" t="s">
        <v>1498</v>
      </c>
      <c r="P140" t="s">
        <v>1502</v>
      </c>
    </row>
    <row r="141" spans="1:16" x14ac:dyDescent="0.3">
      <c r="A141">
        <v>140</v>
      </c>
      <c r="B141" t="s">
        <v>147</v>
      </c>
      <c r="C141">
        <v>1</v>
      </c>
      <c r="D141" s="1">
        <v>45401</v>
      </c>
      <c r="E141" s="1">
        <v>45402</v>
      </c>
      <c r="F141" t="s">
        <v>967</v>
      </c>
      <c r="G141" t="s">
        <v>1423</v>
      </c>
      <c r="H141" t="s">
        <v>1487</v>
      </c>
      <c r="I141">
        <v>1</v>
      </c>
      <c r="J141" s="2">
        <v>2319.64</v>
      </c>
      <c r="K141" s="3">
        <v>0.05</v>
      </c>
      <c r="L141" s="2">
        <v>2203.66</v>
      </c>
      <c r="M141" s="2">
        <v>706.15</v>
      </c>
      <c r="N141" t="s">
        <v>1495</v>
      </c>
      <c r="O141" t="s">
        <v>1499</v>
      </c>
      <c r="P141" t="s">
        <v>1501</v>
      </c>
    </row>
    <row r="142" spans="1:16" x14ac:dyDescent="0.3">
      <c r="A142">
        <v>141</v>
      </c>
      <c r="B142" t="s">
        <v>148</v>
      </c>
      <c r="C142">
        <v>1</v>
      </c>
      <c r="D142" s="1">
        <v>45401</v>
      </c>
      <c r="E142" s="1">
        <v>45402</v>
      </c>
      <c r="F142" t="s">
        <v>1065</v>
      </c>
      <c r="G142" t="s">
        <v>1393</v>
      </c>
      <c r="H142" t="s">
        <v>1478</v>
      </c>
      <c r="I142">
        <v>1</v>
      </c>
      <c r="J142" s="2">
        <v>3230.07</v>
      </c>
      <c r="K142" s="3">
        <v>0</v>
      </c>
      <c r="L142" s="2">
        <v>3230.07</v>
      </c>
      <c r="M142" s="2">
        <v>1361.52</v>
      </c>
      <c r="N142" t="s">
        <v>1494</v>
      </c>
      <c r="O142" t="s">
        <v>1498</v>
      </c>
      <c r="P142" t="s">
        <v>1501</v>
      </c>
    </row>
    <row r="143" spans="1:16" x14ac:dyDescent="0.3">
      <c r="A143">
        <v>142</v>
      </c>
      <c r="B143" t="s">
        <v>149</v>
      </c>
      <c r="C143">
        <v>1</v>
      </c>
      <c r="D143" s="1">
        <v>45402</v>
      </c>
      <c r="E143" s="1">
        <v>45403</v>
      </c>
      <c r="F143" t="s">
        <v>1059</v>
      </c>
      <c r="G143" t="s">
        <v>1386</v>
      </c>
      <c r="H143" t="s">
        <v>1490</v>
      </c>
      <c r="I143">
        <v>1</v>
      </c>
      <c r="J143" s="2">
        <v>1094.7</v>
      </c>
      <c r="K143" s="3">
        <v>0</v>
      </c>
      <c r="L143" s="2">
        <v>1094.7</v>
      </c>
      <c r="M143" s="2">
        <v>63.98</v>
      </c>
      <c r="N143" t="s">
        <v>1493</v>
      </c>
      <c r="O143" t="s">
        <v>1498</v>
      </c>
      <c r="P143" t="s">
        <v>1501</v>
      </c>
    </row>
    <row r="144" spans="1:16" x14ac:dyDescent="0.3">
      <c r="A144">
        <v>143</v>
      </c>
      <c r="B144" t="s">
        <v>150</v>
      </c>
      <c r="C144">
        <v>1</v>
      </c>
      <c r="D144" s="1">
        <v>45403</v>
      </c>
      <c r="E144" s="1">
        <v>45404</v>
      </c>
      <c r="F144" t="s">
        <v>1068</v>
      </c>
      <c r="G144" t="s">
        <v>1424</v>
      </c>
      <c r="H144" t="s">
        <v>1480</v>
      </c>
      <c r="I144">
        <v>1</v>
      </c>
      <c r="J144" s="2">
        <v>31609.79</v>
      </c>
      <c r="K144" s="3">
        <v>0</v>
      </c>
      <c r="L144" s="2">
        <v>31609.79</v>
      </c>
      <c r="M144" s="2">
        <v>3440.18</v>
      </c>
      <c r="N144" t="s">
        <v>1495</v>
      </c>
      <c r="O144" t="s">
        <v>1499</v>
      </c>
      <c r="P144" t="s">
        <v>1501</v>
      </c>
    </row>
    <row r="145" spans="1:16" x14ac:dyDescent="0.3">
      <c r="A145">
        <v>144</v>
      </c>
      <c r="B145" t="s">
        <v>151</v>
      </c>
      <c r="C145">
        <v>1</v>
      </c>
      <c r="D145" s="1">
        <v>45403</v>
      </c>
      <c r="F145" t="s">
        <v>1015</v>
      </c>
      <c r="G145" t="s">
        <v>1422</v>
      </c>
      <c r="H145" t="s">
        <v>1480</v>
      </c>
      <c r="I145">
        <v>1</v>
      </c>
      <c r="J145" s="2">
        <v>27508.38</v>
      </c>
      <c r="K145" s="3">
        <v>0</v>
      </c>
      <c r="L145" s="2">
        <v>27508.38</v>
      </c>
      <c r="M145" s="2">
        <v>4220.3500000000004</v>
      </c>
      <c r="N145" t="s">
        <v>1497</v>
      </c>
      <c r="O145" t="s">
        <v>1499</v>
      </c>
      <c r="P145" t="s">
        <v>1503</v>
      </c>
    </row>
    <row r="146" spans="1:16" x14ac:dyDescent="0.3">
      <c r="A146">
        <v>145</v>
      </c>
      <c r="B146" t="s">
        <v>152</v>
      </c>
      <c r="C146">
        <v>1</v>
      </c>
      <c r="D146" s="1">
        <v>45404</v>
      </c>
      <c r="E146" s="1">
        <v>45404</v>
      </c>
      <c r="F146" t="s">
        <v>1069</v>
      </c>
      <c r="G146" t="s">
        <v>1425</v>
      </c>
      <c r="H146" t="s">
        <v>1482</v>
      </c>
      <c r="I146">
        <v>1</v>
      </c>
      <c r="J146" s="2">
        <v>6347.66</v>
      </c>
      <c r="K146" s="3">
        <v>0.15</v>
      </c>
      <c r="L146" s="2">
        <v>5395.51</v>
      </c>
      <c r="M146" s="2">
        <v>791.34</v>
      </c>
      <c r="N146" t="s">
        <v>1496</v>
      </c>
      <c r="O146" t="s">
        <v>1499</v>
      </c>
      <c r="P146" t="s">
        <v>1501</v>
      </c>
    </row>
    <row r="147" spans="1:16" x14ac:dyDescent="0.3">
      <c r="A147">
        <v>146</v>
      </c>
      <c r="B147" t="s">
        <v>153</v>
      </c>
      <c r="C147">
        <v>1</v>
      </c>
      <c r="D147" s="1">
        <v>45405</v>
      </c>
      <c r="E147" s="1">
        <v>45406</v>
      </c>
      <c r="F147" t="s">
        <v>1070</v>
      </c>
      <c r="G147" t="s">
        <v>1389</v>
      </c>
      <c r="H147" t="s">
        <v>1491</v>
      </c>
      <c r="I147">
        <v>2</v>
      </c>
      <c r="J147" s="2">
        <v>676.97</v>
      </c>
      <c r="K147" s="3">
        <v>0</v>
      </c>
      <c r="L147" s="2">
        <v>1353.94</v>
      </c>
      <c r="M147" s="2">
        <v>108.58</v>
      </c>
      <c r="N147" t="s">
        <v>1493</v>
      </c>
      <c r="O147" t="s">
        <v>1499</v>
      </c>
      <c r="P147" t="s">
        <v>1501</v>
      </c>
    </row>
    <row r="148" spans="1:16" x14ac:dyDescent="0.3">
      <c r="A148">
        <v>147</v>
      </c>
      <c r="B148" t="s">
        <v>154</v>
      </c>
      <c r="C148">
        <v>2</v>
      </c>
      <c r="D148" s="1">
        <v>45406</v>
      </c>
      <c r="E148" s="1">
        <v>45406</v>
      </c>
      <c r="F148" t="s">
        <v>1071</v>
      </c>
      <c r="G148" t="s">
        <v>1426</v>
      </c>
      <c r="H148" t="s">
        <v>1486</v>
      </c>
      <c r="I148">
        <v>1</v>
      </c>
      <c r="J148" s="2">
        <v>33135.4</v>
      </c>
      <c r="K148" s="3">
        <v>0</v>
      </c>
      <c r="L148" s="2">
        <v>33135.4</v>
      </c>
      <c r="M148" s="2">
        <v>8643.2900000000009</v>
      </c>
      <c r="O148" t="s">
        <v>1499</v>
      </c>
      <c r="P148" t="s">
        <v>1501</v>
      </c>
    </row>
    <row r="149" spans="1:16" x14ac:dyDescent="0.3">
      <c r="A149">
        <v>148</v>
      </c>
      <c r="B149" t="s">
        <v>154</v>
      </c>
      <c r="C149">
        <v>3</v>
      </c>
      <c r="D149" s="1">
        <v>45406</v>
      </c>
      <c r="E149" s="1">
        <v>45406</v>
      </c>
      <c r="F149" t="s">
        <v>1071</v>
      </c>
      <c r="G149" t="s">
        <v>1381</v>
      </c>
      <c r="H149" t="s">
        <v>1486</v>
      </c>
      <c r="I149">
        <v>1</v>
      </c>
      <c r="J149" s="2">
        <v>4870.55</v>
      </c>
      <c r="K149" s="3">
        <v>0</v>
      </c>
      <c r="L149" s="2">
        <v>4870.55</v>
      </c>
      <c r="M149" s="2">
        <v>1976.93</v>
      </c>
      <c r="N149" t="s">
        <v>1496</v>
      </c>
      <c r="O149" t="s">
        <v>1499</v>
      </c>
      <c r="P149" t="s">
        <v>1501</v>
      </c>
    </row>
    <row r="150" spans="1:16" x14ac:dyDescent="0.3">
      <c r="A150">
        <v>149</v>
      </c>
      <c r="B150" t="s">
        <v>155</v>
      </c>
      <c r="C150">
        <v>2</v>
      </c>
      <c r="D150" s="1">
        <v>45406</v>
      </c>
      <c r="E150" s="1">
        <v>45409</v>
      </c>
      <c r="F150" t="s">
        <v>1072</v>
      </c>
      <c r="G150" t="s">
        <v>1414</v>
      </c>
      <c r="H150" t="s">
        <v>1480</v>
      </c>
      <c r="I150">
        <v>1</v>
      </c>
      <c r="J150" s="2">
        <v>20329.61</v>
      </c>
      <c r="K150" s="3">
        <v>0</v>
      </c>
      <c r="L150" s="2">
        <v>20329.61</v>
      </c>
      <c r="M150" s="2">
        <v>4962.38</v>
      </c>
      <c r="N150" t="s">
        <v>1496</v>
      </c>
      <c r="O150" t="s">
        <v>1498</v>
      </c>
      <c r="P150" t="s">
        <v>1501</v>
      </c>
    </row>
    <row r="151" spans="1:16" x14ac:dyDescent="0.3">
      <c r="A151">
        <v>150</v>
      </c>
      <c r="B151" t="s">
        <v>156</v>
      </c>
      <c r="C151">
        <v>1</v>
      </c>
      <c r="D151" s="1">
        <v>45406</v>
      </c>
      <c r="E151" s="1">
        <v>45406</v>
      </c>
      <c r="F151" t="s">
        <v>1050</v>
      </c>
      <c r="G151" t="s">
        <v>1390</v>
      </c>
      <c r="H151" t="s">
        <v>1486</v>
      </c>
      <c r="I151">
        <v>1</v>
      </c>
      <c r="J151" s="2">
        <v>38147.39</v>
      </c>
      <c r="K151" s="3">
        <v>0.1</v>
      </c>
      <c r="L151" s="2">
        <v>34332.65</v>
      </c>
      <c r="M151" s="2">
        <v>7035.3</v>
      </c>
      <c r="N151" t="s">
        <v>1493</v>
      </c>
      <c r="O151" t="s">
        <v>1498</v>
      </c>
      <c r="P151" t="s">
        <v>1501</v>
      </c>
    </row>
    <row r="152" spans="1:16" x14ac:dyDescent="0.3">
      <c r="A152">
        <v>151</v>
      </c>
      <c r="B152" t="s">
        <v>157</v>
      </c>
      <c r="C152">
        <v>1</v>
      </c>
      <c r="D152" s="1">
        <v>45407</v>
      </c>
      <c r="F152" t="s">
        <v>1073</v>
      </c>
      <c r="G152" t="s">
        <v>1370</v>
      </c>
      <c r="H152" t="s">
        <v>1480</v>
      </c>
      <c r="I152">
        <v>1</v>
      </c>
      <c r="J152" s="2">
        <v>19480.22</v>
      </c>
      <c r="K152" s="3">
        <v>0</v>
      </c>
      <c r="L152" s="2">
        <v>19480.22</v>
      </c>
      <c r="M152" s="2">
        <v>1671.99</v>
      </c>
      <c r="N152" t="s">
        <v>1495</v>
      </c>
      <c r="O152" t="s">
        <v>1498</v>
      </c>
      <c r="P152" t="s">
        <v>1503</v>
      </c>
    </row>
    <row r="153" spans="1:16" x14ac:dyDescent="0.3">
      <c r="A153">
        <v>152</v>
      </c>
      <c r="B153" t="s">
        <v>158</v>
      </c>
      <c r="C153">
        <v>1</v>
      </c>
      <c r="D153" s="1">
        <v>45408</v>
      </c>
      <c r="E153" s="1">
        <v>45408</v>
      </c>
      <c r="F153" t="s">
        <v>1028</v>
      </c>
      <c r="G153" t="s">
        <v>1410</v>
      </c>
      <c r="H153" t="s">
        <v>1481</v>
      </c>
      <c r="I153">
        <v>1</v>
      </c>
      <c r="J153" s="2">
        <v>1753.24</v>
      </c>
      <c r="K153" s="3">
        <v>0</v>
      </c>
      <c r="L153" s="2">
        <v>1753.24</v>
      </c>
      <c r="M153" s="2">
        <v>578.29999999999995</v>
      </c>
      <c r="N153" t="s">
        <v>1495</v>
      </c>
      <c r="O153" t="s">
        <v>1499</v>
      </c>
      <c r="P153" t="s">
        <v>1501</v>
      </c>
    </row>
    <row r="154" spans="1:16" x14ac:dyDescent="0.3">
      <c r="A154">
        <v>153</v>
      </c>
      <c r="B154" t="s">
        <v>159</v>
      </c>
      <c r="C154">
        <v>1</v>
      </c>
      <c r="D154" s="1">
        <v>45410</v>
      </c>
      <c r="E154" s="1">
        <v>45410</v>
      </c>
      <c r="F154" t="s">
        <v>1074</v>
      </c>
      <c r="G154" t="s">
        <v>1343</v>
      </c>
      <c r="H154" t="s">
        <v>1483</v>
      </c>
      <c r="I154">
        <v>2</v>
      </c>
      <c r="J154" s="2">
        <v>7138.26</v>
      </c>
      <c r="K154" s="3">
        <v>0</v>
      </c>
      <c r="L154" s="2">
        <v>14276.52</v>
      </c>
      <c r="M154" s="2">
        <v>3327.94</v>
      </c>
      <c r="N154" t="s">
        <v>1495</v>
      </c>
      <c r="O154" t="s">
        <v>1499</v>
      </c>
      <c r="P154" t="s">
        <v>1501</v>
      </c>
    </row>
    <row r="155" spans="1:16" x14ac:dyDescent="0.3">
      <c r="A155">
        <v>154</v>
      </c>
      <c r="B155" t="s">
        <v>160</v>
      </c>
      <c r="C155">
        <v>1</v>
      </c>
      <c r="D155" s="1">
        <v>45410</v>
      </c>
      <c r="E155" s="1">
        <v>45412</v>
      </c>
      <c r="F155" t="s">
        <v>965</v>
      </c>
      <c r="G155" t="s">
        <v>1359</v>
      </c>
      <c r="H155" t="s">
        <v>1480</v>
      </c>
      <c r="I155">
        <v>2</v>
      </c>
      <c r="J155" s="2">
        <v>5570.41</v>
      </c>
      <c r="K155" s="3">
        <v>0</v>
      </c>
      <c r="L155" s="2">
        <v>11140.82</v>
      </c>
      <c r="M155" s="2">
        <v>2840.6</v>
      </c>
      <c r="N155" t="s">
        <v>1494</v>
      </c>
      <c r="O155" t="s">
        <v>1498</v>
      </c>
      <c r="P155" t="s">
        <v>1501</v>
      </c>
    </row>
    <row r="156" spans="1:16" x14ac:dyDescent="0.3">
      <c r="A156">
        <v>155</v>
      </c>
      <c r="B156" t="s">
        <v>161</v>
      </c>
      <c r="C156">
        <v>1</v>
      </c>
      <c r="D156" s="1">
        <v>45411</v>
      </c>
      <c r="E156" s="1">
        <v>45413</v>
      </c>
      <c r="F156" t="s">
        <v>1075</v>
      </c>
      <c r="G156" t="s">
        <v>1427</v>
      </c>
      <c r="H156" t="s">
        <v>1480</v>
      </c>
      <c r="I156">
        <v>1</v>
      </c>
      <c r="J156" s="2">
        <v>687.56</v>
      </c>
      <c r="K156" s="3">
        <v>0.2</v>
      </c>
      <c r="L156" s="2">
        <v>550.04999999999995</v>
      </c>
      <c r="M156" s="2">
        <v>97.62</v>
      </c>
      <c r="N156" t="s">
        <v>1496</v>
      </c>
      <c r="O156" t="s">
        <v>1498</v>
      </c>
      <c r="P156" t="s">
        <v>1501</v>
      </c>
    </row>
    <row r="157" spans="1:16" x14ac:dyDescent="0.3">
      <c r="A157">
        <v>156</v>
      </c>
      <c r="B157" t="s">
        <v>162</v>
      </c>
      <c r="C157">
        <v>1</v>
      </c>
      <c r="D157" s="1">
        <v>45412</v>
      </c>
      <c r="E157" s="1">
        <v>45413</v>
      </c>
      <c r="F157" t="s">
        <v>1000</v>
      </c>
      <c r="G157" t="s">
        <v>1329</v>
      </c>
      <c r="H157" t="s">
        <v>1480</v>
      </c>
      <c r="I157">
        <v>1</v>
      </c>
      <c r="J157" s="2">
        <v>1065.95</v>
      </c>
      <c r="K157" s="3">
        <v>0.15</v>
      </c>
      <c r="L157" s="2">
        <v>906.06</v>
      </c>
      <c r="M157" s="2">
        <v>220.88</v>
      </c>
      <c r="N157" t="s">
        <v>1494</v>
      </c>
      <c r="O157" t="s">
        <v>1498</v>
      </c>
      <c r="P157" t="s">
        <v>1501</v>
      </c>
    </row>
    <row r="158" spans="1:16" x14ac:dyDescent="0.3">
      <c r="A158">
        <v>157</v>
      </c>
      <c r="B158" t="s">
        <v>163</v>
      </c>
      <c r="C158">
        <v>1</v>
      </c>
      <c r="D158" s="1">
        <v>45413</v>
      </c>
      <c r="F158" t="s">
        <v>1076</v>
      </c>
      <c r="G158" t="s">
        <v>1401</v>
      </c>
      <c r="H158" t="s">
        <v>1480</v>
      </c>
      <c r="I158">
        <v>1</v>
      </c>
      <c r="J158" s="2">
        <v>50900.49</v>
      </c>
      <c r="K158" s="3">
        <v>0.05</v>
      </c>
      <c r="L158" s="2">
        <v>48355.47</v>
      </c>
      <c r="M158" s="2">
        <v>5385.72</v>
      </c>
      <c r="N158" t="s">
        <v>1497</v>
      </c>
      <c r="O158" t="s">
        <v>1498</v>
      </c>
      <c r="P158" t="s">
        <v>1503</v>
      </c>
    </row>
    <row r="159" spans="1:16" x14ac:dyDescent="0.3">
      <c r="A159">
        <v>158</v>
      </c>
      <c r="B159" t="s">
        <v>164</v>
      </c>
      <c r="C159">
        <v>1</v>
      </c>
      <c r="D159" s="1">
        <v>45413</v>
      </c>
      <c r="E159" s="1">
        <v>45414</v>
      </c>
      <c r="F159" t="s">
        <v>1077</v>
      </c>
      <c r="G159" t="s">
        <v>1424</v>
      </c>
      <c r="H159" t="s">
        <v>1480</v>
      </c>
      <c r="I159">
        <v>1</v>
      </c>
      <c r="J159" s="2">
        <v>31609.79</v>
      </c>
      <c r="K159" s="3">
        <v>0</v>
      </c>
      <c r="L159" s="2">
        <v>31609.79</v>
      </c>
      <c r="M159" s="2">
        <v>3440.18</v>
      </c>
      <c r="N159" t="s">
        <v>1494</v>
      </c>
      <c r="O159" t="s">
        <v>1498</v>
      </c>
      <c r="P159" t="s">
        <v>1501</v>
      </c>
    </row>
    <row r="160" spans="1:16" x14ac:dyDescent="0.3">
      <c r="A160">
        <v>159</v>
      </c>
      <c r="B160" t="s">
        <v>165</v>
      </c>
      <c r="C160">
        <v>1</v>
      </c>
      <c r="D160" s="1">
        <v>45414</v>
      </c>
      <c r="E160" s="1">
        <v>45416</v>
      </c>
      <c r="F160" t="s">
        <v>1026</v>
      </c>
      <c r="G160" t="s">
        <v>1415</v>
      </c>
      <c r="H160" t="s">
        <v>1480</v>
      </c>
      <c r="I160">
        <v>1</v>
      </c>
      <c r="J160" s="2">
        <v>4772.1499999999996</v>
      </c>
      <c r="K160" s="3">
        <v>0</v>
      </c>
      <c r="L160" s="2">
        <v>4772.1499999999996</v>
      </c>
      <c r="M160" s="2">
        <v>1210.06</v>
      </c>
      <c r="N160" t="s">
        <v>1494</v>
      </c>
      <c r="O160" t="s">
        <v>1498</v>
      </c>
      <c r="P160" t="s">
        <v>1501</v>
      </c>
    </row>
    <row r="161" spans="1:16" x14ac:dyDescent="0.3">
      <c r="A161">
        <v>160</v>
      </c>
      <c r="B161" t="s">
        <v>166</v>
      </c>
      <c r="C161">
        <v>2</v>
      </c>
      <c r="D161" s="1">
        <v>45414</v>
      </c>
      <c r="E161" s="1">
        <v>45415</v>
      </c>
      <c r="F161" t="s">
        <v>1078</v>
      </c>
      <c r="G161" t="s">
        <v>1428</v>
      </c>
      <c r="H161" t="s">
        <v>1480</v>
      </c>
      <c r="I161">
        <v>2</v>
      </c>
      <c r="J161" s="2">
        <v>460.36</v>
      </c>
      <c r="K161" s="3">
        <v>0</v>
      </c>
      <c r="L161" s="2">
        <v>920.72</v>
      </c>
      <c r="M161" s="2">
        <v>88.26</v>
      </c>
      <c r="N161" t="s">
        <v>1497</v>
      </c>
      <c r="O161" t="s">
        <v>1500</v>
      </c>
      <c r="P161" t="s">
        <v>1501</v>
      </c>
    </row>
    <row r="162" spans="1:16" x14ac:dyDescent="0.3">
      <c r="A162">
        <v>161</v>
      </c>
      <c r="B162" t="s">
        <v>167</v>
      </c>
      <c r="C162">
        <v>1</v>
      </c>
      <c r="D162" s="1">
        <v>45414</v>
      </c>
      <c r="E162" s="1">
        <v>45416</v>
      </c>
      <c r="F162" t="s">
        <v>1075</v>
      </c>
      <c r="G162" t="s">
        <v>1388</v>
      </c>
      <c r="H162" t="s">
        <v>1480</v>
      </c>
      <c r="I162">
        <v>1</v>
      </c>
      <c r="J162" s="2">
        <v>5746.05</v>
      </c>
      <c r="K162" s="3">
        <v>0</v>
      </c>
      <c r="L162" s="2">
        <v>5746.05</v>
      </c>
      <c r="M162" s="2">
        <v>1765.7</v>
      </c>
      <c r="N162" t="s">
        <v>1496</v>
      </c>
      <c r="O162" t="s">
        <v>1498</v>
      </c>
      <c r="P162" t="s">
        <v>1501</v>
      </c>
    </row>
    <row r="163" spans="1:16" x14ac:dyDescent="0.3">
      <c r="A163">
        <v>162</v>
      </c>
      <c r="B163" t="s">
        <v>168</v>
      </c>
      <c r="C163">
        <v>1</v>
      </c>
      <c r="D163" s="1">
        <v>45414</v>
      </c>
      <c r="E163" s="1">
        <v>45415</v>
      </c>
      <c r="F163" t="s">
        <v>1079</v>
      </c>
      <c r="G163" t="s">
        <v>1429</v>
      </c>
      <c r="H163" t="s">
        <v>1482</v>
      </c>
      <c r="I163">
        <v>1</v>
      </c>
      <c r="J163" s="2">
        <v>63166.03</v>
      </c>
      <c r="K163" s="3">
        <v>0</v>
      </c>
      <c r="L163" s="2">
        <v>63166.03</v>
      </c>
      <c r="M163" s="2">
        <v>9252.8799999999992</v>
      </c>
      <c r="N163" t="s">
        <v>1496</v>
      </c>
      <c r="O163" t="s">
        <v>1499</v>
      </c>
      <c r="P163" t="s">
        <v>1501</v>
      </c>
    </row>
    <row r="164" spans="1:16" x14ac:dyDescent="0.3">
      <c r="A164">
        <v>163</v>
      </c>
      <c r="B164" t="s">
        <v>169</v>
      </c>
      <c r="C164">
        <v>1</v>
      </c>
      <c r="D164" s="1">
        <v>45416</v>
      </c>
      <c r="E164" s="1">
        <v>45418</v>
      </c>
      <c r="F164" t="s">
        <v>1080</v>
      </c>
      <c r="G164" t="s">
        <v>1357</v>
      </c>
      <c r="H164" t="s">
        <v>1480</v>
      </c>
      <c r="I164">
        <v>1</v>
      </c>
      <c r="J164" s="2">
        <v>986.91</v>
      </c>
      <c r="K164" s="3">
        <v>0</v>
      </c>
      <c r="L164" s="2">
        <v>986.91</v>
      </c>
      <c r="M164" s="2">
        <v>128.72999999999999</v>
      </c>
      <c r="N164" t="s">
        <v>1496</v>
      </c>
      <c r="O164" t="s">
        <v>1498</v>
      </c>
      <c r="P164" t="s">
        <v>1501</v>
      </c>
    </row>
    <row r="165" spans="1:16" x14ac:dyDescent="0.3">
      <c r="A165">
        <v>164</v>
      </c>
      <c r="B165" t="s">
        <v>170</v>
      </c>
      <c r="C165">
        <v>1</v>
      </c>
      <c r="D165" s="1">
        <v>45416</v>
      </c>
      <c r="E165" s="1">
        <v>45417</v>
      </c>
      <c r="F165" t="s">
        <v>1081</v>
      </c>
      <c r="G165" t="s">
        <v>1371</v>
      </c>
      <c r="H165" t="s">
        <v>1480</v>
      </c>
      <c r="I165">
        <v>1</v>
      </c>
      <c r="J165" s="2">
        <v>5245.11</v>
      </c>
      <c r="K165" s="3">
        <v>0.1</v>
      </c>
      <c r="L165" s="2">
        <v>4720.6000000000004</v>
      </c>
      <c r="M165" s="2">
        <v>1419.44</v>
      </c>
      <c r="N165" t="s">
        <v>1497</v>
      </c>
      <c r="O165" t="s">
        <v>1499</v>
      </c>
      <c r="P165" t="s">
        <v>1501</v>
      </c>
    </row>
    <row r="166" spans="1:16" x14ac:dyDescent="0.3">
      <c r="A166">
        <v>165</v>
      </c>
      <c r="B166" t="s">
        <v>170</v>
      </c>
      <c r="C166">
        <v>2</v>
      </c>
      <c r="D166" s="1">
        <v>45416</v>
      </c>
      <c r="E166" s="1">
        <v>45417</v>
      </c>
      <c r="F166" t="s">
        <v>1081</v>
      </c>
      <c r="G166" t="s">
        <v>1406</v>
      </c>
      <c r="H166" t="s">
        <v>1480</v>
      </c>
      <c r="I166">
        <v>3</v>
      </c>
      <c r="J166" s="2">
        <v>150.38</v>
      </c>
      <c r="K166" s="3">
        <v>0.1</v>
      </c>
      <c r="L166" s="2">
        <v>406.03</v>
      </c>
      <c r="M166" s="2">
        <v>100.72</v>
      </c>
      <c r="N166" t="s">
        <v>1497</v>
      </c>
      <c r="O166" t="s">
        <v>1499</v>
      </c>
      <c r="P166" t="s">
        <v>1501</v>
      </c>
    </row>
    <row r="167" spans="1:16" x14ac:dyDescent="0.3">
      <c r="A167">
        <v>166</v>
      </c>
      <c r="B167" t="s">
        <v>171</v>
      </c>
      <c r="C167">
        <v>1</v>
      </c>
      <c r="D167" s="1">
        <v>45417</v>
      </c>
      <c r="E167" s="1">
        <v>45418</v>
      </c>
      <c r="F167" t="s">
        <v>998</v>
      </c>
      <c r="G167" t="s">
        <v>1430</v>
      </c>
      <c r="H167" t="s">
        <v>1484</v>
      </c>
      <c r="I167">
        <v>1</v>
      </c>
      <c r="J167" s="2">
        <v>1148.97</v>
      </c>
      <c r="K167" s="3">
        <v>0</v>
      </c>
      <c r="L167" s="2">
        <v>1148.97</v>
      </c>
      <c r="M167" s="2">
        <v>88.53</v>
      </c>
      <c r="N167" t="s">
        <v>1496</v>
      </c>
      <c r="O167" t="s">
        <v>1498</v>
      </c>
      <c r="P167" t="s">
        <v>1501</v>
      </c>
    </row>
    <row r="168" spans="1:16" x14ac:dyDescent="0.3">
      <c r="A168">
        <v>167</v>
      </c>
      <c r="B168" t="s">
        <v>171</v>
      </c>
      <c r="C168">
        <v>2</v>
      </c>
      <c r="D168" s="1">
        <v>45417</v>
      </c>
      <c r="E168" s="1">
        <v>45418</v>
      </c>
      <c r="F168" t="s">
        <v>998</v>
      </c>
      <c r="G168" t="s">
        <v>1427</v>
      </c>
      <c r="H168" t="s">
        <v>1484</v>
      </c>
      <c r="I168">
        <v>2</v>
      </c>
      <c r="J168" s="2">
        <v>687.56</v>
      </c>
      <c r="K168" s="3">
        <v>0</v>
      </c>
      <c r="L168" s="2">
        <v>1375.12</v>
      </c>
      <c r="M168" s="2">
        <v>470.26</v>
      </c>
      <c r="N168" t="s">
        <v>1496</v>
      </c>
      <c r="O168" t="s">
        <v>1498</v>
      </c>
      <c r="P168" t="s">
        <v>1501</v>
      </c>
    </row>
    <row r="169" spans="1:16" x14ac:dyDescent="0.3">
      <c r="A169">
        <v>168</v>
      </c>
      <c r="B169" t="s">
        <v>172</v>
      </c>
      <c r="C169">
        <v>1</v>
      </c>
      <c r="D169" s="1">
        <v>45419</v>
      </c>
      <c r="E169" s="1">
        <v>45420</v>
      </c>
      <c r="F169" t="s">
        <v>1082</v>
      </c>
      <c r="G169" t="s">
        <v>1392</v>
      </c>
      <c r="H169" t="s">
        <v>1480</v>
      </c>
      <c r="I169">
        <v>3</v>
      </c>
      <c r="J169" s="2">
        <v>17688.330000000002</v>
      </c>
      <c r="K169" s="3">
        <v>0</v>
      </c>
      <c r="L169" s="2">
        <v>53064.99</v>
      </c>
      <c r="M169" s="2">
        <v>8711.67</v>
      </c>
      <c r="N169" t="s">
        <v>1493</v>
      </c>
      <c r="O169" t="s">
        <v>1499</v>
      </c>
      <c r="P169" t="s">
        <v>1501</v>
      </c>
    </row>
    <row r="170" spans="1:16" x14ac:dyDescent="0.3">
      <c r="A170">
        <v>169</v>
      </c>
      <c r="B170" t="s">
        <v>173</v>
      </c>
      <c r="C170">
        <v>1</v>
      </c>
      <c r="D170" s="1">
        <v>45419</v>
      </c>
      <c r="E170" s="1">
        <v>45420</v>
      </c>
      <c r="F170" t="s">
        <v>989</v>
      </c>
      <c r="G170" t="s">
        <v>1360</v>
      </c>
      <c r="H170" t="s">
        <v>1480</v>
      </c>
      <c r="I170">
        <v>1</v>
      </c>
      <c r="J170" s="2">
        <v>1166.3499999999999</v>
      </c>
      <c r="K170" s="3">
        <v>0</v>
      </c>
      <c r="L170" s="2">
        <v>1166.3499999999999</v>
      </c>
      <c r="M170" s="2">
        <v>136.61000000000001</v>
      </c>
      <c r="N170" t="s">
        <v>1496</v>
      </c>
      <c r="O170" t="s">
        <v>1499</v>
      </c>
      <c r="P170" t="s">
        <v>1501</v>
      </c>
    </row>
    <row r="171" spans="1:16" x14ac:dyDescent="0.3">
      <c r="A171">
        <v>170</v>
      </c>
      <c r="B171" t="s">
        <v>174</v>
      </c>
      <c r="C171">
        <v>2</v>
      </c>
      <c r="D171" s="1">
        <v>45420</v>
      </c>
      <c r="E171" s="1">
        <v>45421</v>
      </c>
      <c r="F171" t="s">
        <v>1083</v>
      </c>
      <c r="G171" t="s">
        <v>1431</v>
      </c>
      <c r="H171" t="s">
        <v>1479</v>
      </c>
      <c r="I171">
        <v>1</v>
      </c>
      <c r="J171" s="2">
        <v>9677.85</v>
      </c>
      <c r="K171" s="3">
        <v>0</v>
      </c>
      <c r="L171" s="2">
        <v>9677.85</v>
      </c>
      <c r="M171" s="2">
        <v>1902.17</v>
      </c>
      <c r="N171" t="s">
        <v>1496</v>
      </c>
      <c r="O171" t="s">
        <v>1498</v>
      </c>
      <c r="P171" t="s">
        <v>1501</v>
      </c>
    </row>
    <row r="172" spans="1:16" x14ac:dyDescent="0.3">
      <c r="A172">
        <v>171</v>
      </c>
      <c r="B172" t="s">
        <v>175</v>
      </c>
      <c r="C172">
        <v>1</v>
      </c>
      <c r="D172" s="1">
        <v>45422</v>
      </c>
      <c r="E172" s="1">
        <v>45425</v>
      </c>
      <c r="F172" t="s">
        <v>1084</v>
      </c>
      <c r="G172" t="s">
        <v>1381</v>
      </c>
      <c r="H172" t="s">
        <v>1480</v>
      </c>
      <c r="I172">
        <v>1</v>
      </c>
      <c r="J172" s="2">
        <v>4870.55</v>
      </c>
      <c r="K172" s="3">
        <v>0.15</v>
      </c>
      <c r="L172" s="2">
        <v>4139.97</v>
      </c>
      <c r="M172" s="2">
        <v>1246.3499999999999</v>
      </c>
      <c r="N172" t="s">
        <v>1496</v>
      </c>
      <c r="O172" t="s">
        <v>1499</v>
      </c>
      <c r="P172" t="s">
        <v>1501</v>
      </c>
    </row>
    <row r="173" spans="1:16" x14ac:dyDescent="0.3">
      <c r="A173">
        <v>172</v>
      </c>
      <c r="B173" t="s">
        <v>176</v>
      </c>
      <c r="C173">
        <v>2</v>
      </c>
      <c r="D173" s="1">
        <v>45423</v>
      </c>
      <c r="F173" t="s">
        <v>1085</v>
      </c>
      <c r="G173" t="s">
        <v>1398</v>
      </c>
      <c r="H173" t="s">
        <v>1480</v>
      </c>
      <c r="I173">
        <v>1</v>
      </c>
      <c r="J173" s="2">
        <v>21441.39</v>
      </c>
      <c r="K173" s="3">
        <v>0</v>
      </c>
      <c r="L173" s="2">
        <v>21441.39</v>
      </c>
      <c r="M173" s="2">
        <v>4253.84</v>
      </c>
      <c r="N173" t="s">
        <v>1496</v>
      </c>
      <c r="O173" t="s">
        <v>1498</v>
      </c>
      <c r="P173" t="s">
        <v>1503</v>
      </c>
    </row>
    <row r="174" spans="1:16" x14ac:dyDescent="0.3">
      <c r="A174">
        <v>173</v>
      </c>
      <c r="B174" t="s">
        <v>177</v>
      </c>
      <c r="C174">
        <v>3</v>
      </c>
      <c r="D174" s="1">
        <v>45423</v>
      </c>
      <c r="E174" s="1">
        <v>45425</v>
      </c>
      <c r="F174" t="s">
        <v>1086</v>
      </c>
      <c r="G174" t="s">
        <v>1415</v>
      </c>
      <c r="H174" t="s">
        <v>1480</v>
      </c>
      <c r="I174">
        <v>3</v>
      </c>
      <c r="J174" s="2">
        <v>4772.1499999999996</v>
      </c>
      <c r="K174" s="3">
        <v>0</v>
      </c>
      <c r="L174" s="2">
        <v>14316.45</v>
      </c>
      <c r="M174" s="2">
        <v>3630.18</v>
      </c>
      <c r="N174" t="s">
        <v>1494</v>
      </c>
      <c r="O174" t="s">
        <v>1499</v>
      </c>
      <c r="P174" t="s">
        <v>1501</v>
      </c>
    </row>
    <row r="175" spans="1:16" x14ac:dyDescent="0.3">
      <c r="A175">
        <v>174</v>
      </c>
      <c r="B175" t="s">
        <v>178</v>
      </c>
      <c r="C175">
        <v>1</v>
      </c>
      <c r="D175" s="1">
        <v>45424</v>
      </c>
      <c r="F175" t="s">
        <v>975</v>
      </c>
      <c r="G175" t="s">
        <v>1432</v>
      </c>
      <c r="H175" t="s">
        <v>1483</v>
      </c>
      <c r="I175">
        <v>2</v>
      </c>
      <c r="J175" s="2">
        <v>2490.0500000000002</v>
      </c>
      <c r="K175" s="3">
        <v>0.05</v>
      </c>
      <c r="L175" s="2">
        <v>4731.1000000000004</v>
      </c>
      <c r="M175" s="2">
        <v>912.5</v>
      </c>
      <c r="N175" t="s">
        <v>1497</v>
      </c>
      <c r="O175" t="s">
        <v>1499</v>
      </c>
      <c r="P175" t="s">
        <v>1503</v>
      </c>
    </row>
    <row r="176" spans="1:16" x14ac:dyDescent="0.3">
      <c r="A176">
        <v>175</v>
      </c>
      <c r="B176" t="s">
        <v>179</v>
      </c>
      <c r="C176">
        <v>1</v>
      </c>
      <c r="D176" s="1">
        <v>45424</v>
      </c>
      <c r="E176" s="1">
        <v>45426</v>
      </c>
      <c r="F176" t="s">
        <v>1052</v>
      </c>
      <c r="G176" t="s">
        <v>1391</v>
      </c>
      <c r="H176" t="s">
        <v>1480</v>
      </c>
      <c r="I176">
        <v>2</v>
      </c>
      <c r="J176" s="2">
        <v>1624.5</v>
      </c>
      <c r="K176" s="3">
        <v>0.1</v>
      </c>
      <c r="L176" s="2">
        <v>2924.1</v>
      </c>
      <c r="M176" s="2">
        <v>748.86</v>
      </c>
      <c r="N176" t="s">
        <v>1494</v>
      </c>
      <c r="O176" t="s">
        <v>1500</v>
      </c>
      <c r="P176" t="s">
        <v>1501</v>
      </c>
    </row>
    <row r="177" spans="1:16" x14ac:dyDescent="0.3">
      <c r="A177">
        <v>176</v>
      </c>
      <c r="B177" t="s">
        <v>180</v>
      </c>
      <c r="C177">
        <v>1</v>
      </c>
      <c r="D177" s="1">
        <v>45425</v>
      </c>
      <c r="E177" s="1">
        <v>45426</v>
      </c>
      <c r="F177" t="s">
        <v>1087</v>
      </c>
      <c r="G177" t="s">
        <v>1348</v>
      </c>
      <c r="H177" t="s">
        <v>1490</v>
      </c>
      <c r="I177">
        <v>1</v>
      </c>
      <c r="J177" s="2">
        <v>921.12</v>
      </c>
      <c r="K177" s="3">
        <v>0</v>
      </c>
      <c r="L177" s="2">
        <v>921.12</v>
      </c>
      <c r="M177" s="2">
        <v>383.08</v>
      </c>
      <c r="N177" t="s">
        <v>1497</v>
      </c>
      <c r="O177" t="s">
        <v>1499</v>
      </c>
      <c r="P177" t="s">
        <v>1501</v>
      </c>
    </row>
    <row r="178" spans="1:16" x14ac:dyDescent="0.3">
      <c r="A178">
        <v>177</v>
      </c>
      <c r="B178" t="s">
        <v>181</v>
      </c>
      <c r="C178">
        <v>2</v>
      </c>
      <c r="D178" s="1">
        <v>45425</v>
      </c>
      <c r="E178" s="1">
        <v>45427</v>
      </c>
      <c r="F178" t="s">
        <v>1088</v>
      </c>
      <c r="G178" t="s">
        <v>1378</v>
      </c>
      <c r="H178" t="s">
        <v>1480</v>
      </c>
      <c r="I178">
        <v>2</v>
      </c>
      <c r="J178" s="2">
        <v>1378.78</v>
      </c>
      <c r="K178" s="3">
        <v>0</v>
      </c>
      <c r="L178" s="2">
        <v>2757.56</v>
      </c>
      <c r="M178" s="2">
        <v>353.32</v>
      </c>
      <c r="N178" t="s">
        <v>1494</v>
      </c>
      <c r="O178" t="s">
        <v>1499</v>
      </c>
      <c r="P178" t="s">
        <v>1501</v>
      </c>
    </row>
    <row r="179" spans="1:16" x14ac:dyDescent="0.3">
      <c r="A179">
        <v>178</v>
      </c>
      <c r="B179" t="s">
        <v>182</v>
      </c>
      <c r="C179">
        <v>1</v>
      </c>
      <c r="D179" s="1">
        <v>45427</v>
      </c>
      <c r="E179" s="1">
        <v>45427</v>
      </c>
      <c r="F179" t="s">
        <v>1066</v>
      </c>
      <c r="G179" t="s">
        <v>1357</v>
      </c>
      <c r="H179" t="s">
        <v>1485</v>
      </c>
      <c r="I179">
        <v>2</v>
      </c>
      <c r="J179" s="2">
        <v>986.91</v>
      </c>
      <c r="K179" s="3">
        <v>0</v>
      </c>
      <c r="L179" s="2">
        <v>1973.82</v>
      </c>
      <c r="M179" s="2">
        <v>257.45999999999998</v>
      </c>
      <c r="N179" t="s">
        <v>1493</v>
      </c>
      <c r="O179" t="s">
        <v>1498</v>
      </c>
      <c r="P179" t="s">
        <v>1501</v>
      </c>
    </row>
    <row r="180" spans="1:16" x14ac:dyDescent="0.3">
      <c r="A180">
        <v>179</v>
      </c>
      <c r="B180" t="s">
        <v>183</v>
      </c>
      <c r="C180">
        <v>1</v>
      </c>
      <c r="D180" s="1">
        <v>45427</v>
      </c>
      <c r="E180" s="1">
        <v>45428</v>
      </c>
      <c r="F180" t="s">
        <v>970</v>
      </c>
      <c r="G180" t="s">
        <v>1362</v>
      </c>
      <c r="H180" t="s">
        <v>1480</v>
      </c>
      <c r="I180">
        <v>2</v>
      </c>
      <c r="J180" s="2">
        <v>375.5</v>
      </c>
      <c r="K180" s="3">
        <v>0</v>
      </c>
      <c r="L180" s="2">
        <v>751</v>
      </c>
      <c r="M180" s="2">
        <v>292.3</v>
      </c>
      <c r="N180" t="s">
        <v>1497</v>
      </c>
      <c r="O180" t="s">
        <v>1499</v>
      </c>
      <c r="P180" t="s">
        <v>1501</v>
      </c>
    </row>
    <row r="181" spans="1:16" x14ac:dyDescent="0.3">
      <c r="A181">
        <v>180</v>
      </c>
      <c r="B181" t="s">
        <v>184</v>
      </c>
      <c r="C181">
        <v>2</v>
      </c>
      <c r="D181" s="1">
        <v>45428</v>
      </c>
      <c r="E181" s="1">
        <v>45430</v>
      </c>
      <c r="F181" t="s">
        <v>978</v>
      </c>
      <c r="G181" t="s">
        <v>1372</v>
      </c>
      <c r="H181" t="s">
        <v>1480</v>
      </c>
      <c r="I181">
        <v>1</v>
      </c>
      <c r="J181" s="2">
        <v>22695.17</v>
      </c>
      <c r="K181" s="3">
        <v>0</v>
      </c>
      <c r="L181" s="2">
        <v>22695.17</v>
      </c>
      <c r="M181" s="2">
        <v>3536.01</v>
      </c>
      <c r="N181" t="s">
        <v>1495</v>
      </c>
      <c r="O181" t="s">
        <v>1498</v>
      </c>
      <c r="P181" t="s">
        <v>1501</v>
      </c>
    </row>
    <row r="182" spans="1:16" x14ac:dyDescent="0.3">
      <c r="A182">
        <v>181</v>
      </c>
      <c r="B182" t="s">
        <v>185</v>
      </c>
      <c r="C182">
        <v>2</v>
      </c>
      <c r="D182" s="1">
        <v>45429</v>
      </c>
      <c r="E182" s="1">
        <v>45429</v>
      </c>
      <c r="F182" t="s">
        <v>1017</v>
      </c>
      <c r="G182" t="s">
        <v>1433</v>
      </c>
      <c r="H182" t="s">
        <v>1486</v>
      </c>
      <c r="I182">
        <v>2</v>
      </c>
      <c r="J182" s="2">
        <v>2067.91</v>
      </c>
      <c r="K182" s="3">
        <v>0</v>
      </c>
      <c r="L182" s="2">
        <v>4135.82</v>
      </c>
      <c r="M182" s="2">
        <v>1152.96</v>
      </c>
      <c r="N182" t="s">
        <v>1496</v>
      </c>
      <c r="O182" t="s">
        <v>1498</v>
      </c>
      <c r="P182" t="s">
        <v>1501</v>
      </c>
    </row>
    <row r="183" spans="1:16" x14ac:dyDescent="0.3">
      <c r="A183">
        <v>182</v>
      </c>
      <c r="B183" t="s">
        <v>186</v>
      </c>
      <c r="C183">
        <v>1</v>
      </c>
      <c r="D183" s="1">
        <v>45429</v>
      </c>
      <c r="E183" s="1">
        <v>45429</v>
      </c>
      <c r="F183" t="s">
        <v>997</v>
      </c>
      <c r="G183" t="s">
        <v>1391</v>
      </c>
      <c r="H183" t="s">
        <v>1485</v>
      </c>
      <c r="I183">
        <v>2</v>
      </c>
      <c r="J183" s="2">
        <v>1624.5</v>
      </c>
      <c r="K183" s="3">
        <v>0</v>
      </c>
      <c r="L183" s="2">
        <v>3249</v>
      </c>
      <c r="M183" s="2">
        <v>1073.76</v>
      </c>
      <c r="N183" t="s">
        <v>1496</v>
      </c>
      <c r="O183" t="s">
        <v>1499</v>
      </c>
      <c r="P183" t="s">
        <v>1501</v>
      </c>
    </row>
    <row r="184" spans="1:16" x14ac:dyDescent="0.3">
      <c r="A184">
        <v>183</v>
      </c>
      <c r="B184" t="s">
        <v>187</v>
      </c>
      <c r="C184">
        <v>1</v>
      </c>
      <c r="D184" s="1">
        <v>45430</v>
      </c>
      <c r="E184" s="1">
        <v>45432</v>
      </c>
      <c r="F184" t="s">
        <v>1089</v>
      </c>
      <c r="G184" t="s">
        <v>1341</v>
      </c>
      <c r="H184" t="s">
        <v>1480</v>
      </c>
      <c r="I184">
        <v>2</v>
      </c>
      <c r="J184" s="2">
        <v>1648.45</v>
      </c>
      <c r="K184" s="3">
        <v>0</v>
      </c>
      <c r="L184" s="2">
        <v>3296.9</v>
      </c>
      <c r="M184" s="2">
        <v>988.66</v>
      </c>
      <c r="N184" t="s">
        <v>1497</v>
      </c>
      <c r="O184" t="s">
        <v>1499</v>
      </c>
      <c r="P184" t="s">
        <v>1501</v>
      </c>
    </row>
    <row r="185" spans="1:16" x14ac:dyDescent="0.3">
      <c r="A185">
        <v>184</v>
      </c>
      <c r="B185" t="s">
        <v>188</v>
      </c>
      <c r="C185">
        <v>1</v>
      </c>
      <c r="D185" s="1">
        <v>45430</v>
      </c>
      <c r="E185" s="1">
        <v>45432</v>
      </c>
      <c r="F185" t="s">
        <v>1090</v>
      </c>
      <c r="G185" t="s">
        <v>1391</v>
      </c>
      <c r="H185" t="s">
        <v>1480</v>
      </c>
      <c r="I185">
        <v>1</v>
      </c>
      <c r="J185" s="2">
        <v>1624.5</v>
      </c>
      <c r="K185" s="3">
        <v>0.1</v>
      </c>
      <c r="L185" s="2">
        <v>1462.05</v>
      </c>
      <c r="M185" s="2">
        <v>374.43</v>
      </c>
      <c r="N185" t="s">
        <v>1496</v>
      </c>
      <c r="O185" t="s">
        <v>1498</v>
      </c>
      <c r="P185" t="s">
        <v>1501</v>
      </c>
    </row>
    <row r="186" spans="1:16" x14ac:dyDescent="0.3">
      <c r="A186">
        <v>185</v>
      </c>
      <c r="B186" t="s">
        <v>189</v>
      </c>
      <c r="C186">
        <v>2</v>
      </c>
      <c r="D186" s="1">
        <v>45430</v>
      </c>
      <c r="E186" s="1">
        <v>45430</v>
      </c>
      <c r="F186" t="s">
        <v>1091</v>
      </c>
      <c r="G186" t="s">
        <v>1341</v>
      </c>
      <c r="H186" t="s">
        <v>1485</v>
      </c>
      <c r="I186">
        <v>1</v>
      </c>
      <c r="J186" s="2">
        <v>1648.45</v>
      </c>
      <c r="K186" s="3">
        <v>0</v>
      </c>
      <c r="L186" s="2">
        <v>1648.45</v>
      </c>
      <c r="M186" s="2">
        <v>494.33</v>
      </c>
      <c r="N186" t="s">
        <v>1497</v>
      </c>
      <c r="O186" t="s">
        <v>1498</v>
      </c>
      <c r="P186" t="s">
        <v>1501</v>
      </c>
    </row>
    <row r="187" spans="1:16" x14ac:dyDescent="0.3">
      <c r="A187">
        <v>186</v>
      </c>
      <c r="B187" t="s">
        <v>190</v>
      </c>
      <c r="C187">
        <v>1</v>
      </c>
      <c r="D187" s="1">
        <v>45430</v>
      </c>
      <c r="E187" s="1">
        <v>45432</v>
      </c>
      <c r="F187" t="s">
        <v>1067</v>
      </c>
      <c r="G187" t="s">
        <v>1356</v>
      </c>
      <c r="H187" t="s">
        <v>1480</v>
      </c>
      <c r="I187">
        <v>2</v>
      </c>
      <c r="J187" s="2">
        <v>68671.53</v>
      </c>
      <c r="K187" s="3">
        <v>0.1</v>
      </c>
      <c r="L187" s="2">
        <v>123608.75</v>
      </c>
      <c r="M187" s="2">
        <v>7670.87</v>
      </c>
      <c r="N187" t="s">
        <v>1495</v>
      </c>
      <c r="O187" t="s">
        <v>1499</v>
      </c>
      <c r="P187" t="s">
        <v>1501</v>
      </c>
    </row>
    <row r="188" spans="1:16" x14ac:dyDescent="0.3">
      <c r="A188">
        <v>187</v>
      </c>
      <c r="B188" t="s">
        <v>191</v>
      </c>
      <c r="C188">
        <v>1</v>
      </c>
      <c r="D188" s="1">
        <v>45431</v>
      </c>
      <c r="E188" s="1">
        <v>45432</v>
      </c>
      <c r="F188" t="s">
        <v>1092</v>
      </c>
      <c r="G188" t="s">
        <v>1398</v>
      </c>
      <c r="H188" t="s">
        <v>1490</v>
      </c>
      <c r="I188">
        <v>2</v>
      </c>
      <c r="J188" s="2">
        <v>21441.39</v>
      </c>
      <c r="K188" s="3">
        <v>0</v>
      </c>
      <c r="L188" s="2">
        <v>42882.78</v>
      </c>
      <c r="M188" s="2">
        <v>8507.68</v>
      </c>
      <c r="N188" t="s">
        <v>1493</v>
      </c>
      <c r="O188" t="s">
        <v>1498</v>
      </c>
      <c r="P188" t="s">
        <v>1501</v>
      </c>
    </row>
    <row r="189" spans="1:16" x14ac:dyDescent="0.3">
      <c r="A189">
        <v>188</v>
      </c>
      <c r="B189" t="s">
        <v>192</v>
      </c>
      <c r="C189">
        <v>1</v>
      </c>
      <c r="D189" s="1">
        <v>45431</v>
      </c>
      <c r="E189" s="1">
        <v>45432</v>
      </c>
      <c r="F189" t="s">
        <v>1093</v>
      </c>
      <c r="G189" t="s">
        <v>1353</v>
      </c>
      <c r="H189" t="s">
        <v>1480</v>
      </c>
      <c r="I189">
        <v>1</v>
      </c>
      <c r="J189" s="2">
        <v>370.27</v>
      </c>
      <c r="K189" s="3">
        <v>0.1</v>
      </c>
      <c r="L189" s="2">
        <v>333.24</v>
      </c>
      <c r="M189" s="2">
        <v>94.55</v>
      </c>
      <c r="N189" t="s">
        <v>1495</v>
      </c>
      <c r="O189" t="s">
        <v>1499</v>
      </c>
      <c r="P189" t="s">
        <v>1501</v>
      </c>
    </row>
    <row r="190" spans="1:16" x14ac:dyDescent="0.3">
      <c r="A190">
        <v>189</v>
      </c>
      <c r="B190" t="s">
        <v>192</v>
      </c>
      <c r="C190">
        <v>2</v>
      </c>
      <c r="D190" s="1">
        <v>45431</v>
      </c>
      <c r="E190" s="1">
        <v>45432</v>
      </c>
      <c r="F190" t="s">
        <v>1093</v>
      </c>
      <c r="G190" t="s">
        <v>1405</v>
      </c>
      <c r="H190" t="s">
        <v>1480</v>
      </c>
      <c r="I190">
        <v>1</v>
      </c>
      <c r="J190" s="2">
        <v>57633.32</v>
      </c>
      <c r="K190" s="3">
        <v>0.1</v>
      </c>
      <c r="L190" s="2">
        <v>51869.99</v>
      </c>
      <c r="M190" s="2">
        <v>1437.16</v>
      </c>
      <c r="N190" t="s">
        <v>1495</v>
      </c>
      <c r="O190" t="s">
        <v>1499</v>
      </c>
      <c r="P190" t="s">
        <v>1501</v>
      </c>
    </row>
    <row r="191" spans="1:16" x14ac:dyDescent="0.3">
      <c r="A191">
        <v>190</v>
      </c>
      <c r="B191" t="s">
        <v>193</v>
      </c>
      <c r="C191">
        <v>1</v>
      </c>
      <c r="D191" s="1">
        <v>45432</v>
      </c>
      <c r="E191" s="1">
        <v>45435</v>
      </c>
      <c r="F191" t="s">
        <v>1094</v>
      </c>
      <c r="G191" t="s">
        <v>1331</v>
      </c>
      <c r="H191" t="s">
        <v>1480</v>
      </c>
      <c r="I191">
        <v>1</v>
      </c>
      <c r="J191" s="2">
        <v>1520.12</v>
      </c>
      <c r="K191" s="3">
        <v>0.1</v>
      </c>
      <c r="L191" s="2">
        <v>1368.11</v>
      </c>
      <c r="M191" s="2">
        <v>395.68</v>
      </c>
      <c r="N191" t="s">
        <v>1496</v>
      </c>
      <c r="O191" t="s">
        <v>1498</v>
      </c>
      <c r="P191" t="s">
        <v>1501</v>
      </c>
    </row>
    <row r="192" spans="1:16" x14ac:dyDescent="0.3">
      <c r="A192">
        <v>191</v>
      </c>
      <c r="B192" t="s">
        <v>194</v>
      </c>
      <c r="C192">
        <v>2</v>
      </c>
      <c r="D192" s="1">
        <v>45432</v>
      </c>
      <c r="E192" s="1">
        <v>45435</v>
      </c>
      <c r="F192" t="s">
        <v>1082</v>
      </c>
      <c r="G192" t="s">
        <v>1369</v>
      </c>
      <c r="H192" t="s">
        <v>1480</v>
      </c>
      <c r="I192">
        <v>2</v>
      </c>
      <c r="J192" s="2">
        <v>23968.04</v>
      </c>
      <c r="K192" s="3">
        <v>0</v>
      </c>
      <c r="L192" s="2">
        <v>47936.08</v>
      </c>
      <c r="M192" s="2">
        <v>13393.84</v>
      </c>
      <c r="N192" t="s">
        <v>1496</v>
      </c>
      <c r="O192" t="s">
        <v>1498</v>
      </c>
      <c r="P192" t="s">
        <v>1501</v>
      </c>
    </row>
    <row r="193" spans="1:16" x14ac:dyDescent="0.3">
      <c r="A193">
        <v>192</v>
      </c>
      <c r="B193" t="s">
        <v>195</v>
      </c>
      <c r="C193">
        <v>1</v>
      </c>
      <c r="D193" s="1">
        <v>45433</v>
      </c>
      <c r="E193" s="1">
        <v>45434</v>
      </c>
      <c r="F193" t="s">
        <v>1040</v>
      </c>
      <c r="G193" t="s">
        <v>1356</v>
      </c>
      <c r="H193" t="s">
        <v>1491</v>
      </c>
      <c r="I193">
        <v>1</v>
      </c>
      <c r="J193" s="2">
        <v>68671.53</v>
      </c>
      <c r="K193" s="3">
        <v>0</v>
      </c>
      <c r="L193" s="2">
        <v>68671.53</v>
      </c>
      <c r="M193" s="2">
        <v>10702.59</v>
      </c>
      <c r="N193" t="s">
        <v>1496</v>
      </c>
      <c r="O193" t="s">
        <v>1498</v>
      </c>
      <c r="P193" t="s">
        <v>1501</v>
      </c>
    </row>
    <row r="194" spans="1:16" x14ac:dyDescent="0.3">
      <c r="A194">
        <v>193</v>
      </c>
      <c r="B194" t="s">
        <v>196</v>
      </c>
      <c r="C194">
        <v>2</v>
      </c>
      <c r="D194" s="1">
        <v>45434</v>
      </c>
      <c r="E194" s="1">
        <v>45435</v>
      </c>
      <c r="F194" t="s">
        <v>1095</v>
      </c>
      <c r="G194" t="s">
        <v>1401</v>
      </c>
      <c r="H194" t="s">
        <v>1478</v>
      </c>
      <c r="I194">
        <v>1</v>
      </c>
      <c r="J194" s="2">
        <v>50900.49</v>
      </c>
      <c r="K194" s="3">
        <v>0</v>
      </c>
      <c r="L194" s="2">
        <v>50900.49</v>
      </c>
      <c r="M194" s="2">
        <v>7930.74</v>
      </c>
      <c r="N194" t="s">
        <v>1494</v>
      </c>
      <c r="O194" t="s">
        <v>1499</v>
      </c>
      <c r="P194" t="s">
        <v>1501</v>
      </c>
    </row>
    <row r="195" spans="1:16" x14ac:dyDescent="0.3">
      <c r="A195">
        <v>194</v>
      </c>
      <c r="B195" t="s">
        <v>197</v>
      </c>
      <c r="C195">
        <v>1</v>
      </c>
      <c r="D195" s="1">
        <v>45434</v>
      </c>
      <c r="E195" s="1">
        <v>45434</v>
      </c>
      <c r="F195" t="s">
        <v>1017</v>
      </c>
      <c r="G195" t="s">
        <v>1434</v>
      </c>
      <c r="H195" t="s">
        <v>1485</v>
      </c>
      <c r="I195">
        <v>1</v>
      </c>
      <c r="J195" s="2">
        <v>994.69</v>
      </c>
      <c r="K195" s="3">
        <v>0.15</v>
      </c>
      <c r="L195" s="2">
        <v>845.49</v>
      </c>
      <c r="M195" s="2">
        <v>-57.83</v>
      </c>
      <c r="N195" t="s">
        <v>1494</v>
      </c>
      <c r="O195" t="s">
        <v>1498</v>
      </c>
      <c r="P195" t="s">
        <v>1501</v>
      </c>
    </row>
    <row r="196" spans="1:16" x14ac:dyDescent="0.3">
      <c r="A196">
        <v>195</v>
      </c>
      <c r="B196" t="s">
        <v>198</v>
      </c>
      <c r="C196">
        <v>1</v>
      </c>
      <c r="D196" s="1">
        <v>45434</v>
      </c>
      <c r="E196" s="1">
        <v>45435</v>
      </c>
      <c r="F196" t="s">
        <v>1096</v>
      </c>
      <c r="G196" t="s">
        <v>1348</v>
      </c>
      <c r="H196" t="s">
        <v>1480</v>
      </c>
      <c r="I196">
        <v>1</v>
      </c>
      <c r="J196" s="2">
        <v>921.12</v>
      </c>
      <c r="K196" s="3">
        <v>0</v>
      </c>
      <c r="L196" s="2">
        <v>921.12</v>
      </c>
      <c r="M196" s="2">
        <v>383.08</v>
      </c>
      <c r="N196" t="s">
        <v>1496</v>
      </c>
      <c r="O196" t="s">
        <v>1498</v>
      </c>
      <c r="P196" t="s">
        <v>1501</v>
      </c>
    </row>
    <row r="197" spans="1:16" x14ac:dyDescent="0.3">
      <c r="A197">
        <v>196</v>
      </c>
      <c r="B197" t="s">
        <v>199</v>
      </c>
      <c r="C197">
        <v>1</v>
      </c>
      <c r="D197" s="1">
        <v>45436</v>
      </c>
      <c r="E197" s="1">
        <v>45437</v>
      </c>
      <c r="F197" t="s">
        <v>1097</v>
      </c>
      <c r="G197" t="s">
        <v>1435</v>
      </c>
      <c r="H197" t="s">
        <v>1480</v>
      </c>
      <c r="I197">
        <v>1</v>
      </c>
      <c r="J197" s="2">
        <v>62926.96</v>
      </c>
      <c r="K197" s="3">
        <v>0</v>
      </c>
      <c r="L197" s="2">
        <v>62926.96</v>
      </c>
      <c r="M197" s="2">
        <v>9214.48</v>
      </c>
      <c r="N197" t="s">
        <v>1494</v>
      </c>
      <c r="O197" t="s">
        <v>1499</v>
      </c>
      <c r="P197" t="s">
        <v>1501</v>
      </c>
    </row>
    <row r="198" spans="1:16" x14ac:dyDescent="0.3">
      <c r="A198">
        <v>197</v>
      </c>
      <c r="B198" t="s">
        <v>200</v>
      </c>
      <c r="C198">
        <v>1</v>
      </c>
      <c r="D198" s="1">
        <v>45436</v>
      </c>
      <c r="E198" s="1">
        <v>45439</v>
      </c>
      <c r="F198" t="s">
        <v>1067</v>
      </c>
      <c r="G198" t="s">
        <v>1348</v>
      </c>
      <c r="H198" t="s">
        <v>1480</v>
      </c>
      <c r="I198">
        <v>1</v>
      </c>
      <c r="J198" s="2">
        <v>921.12</v>
      </c>
      <c r="K198" s="3">
        <v>0</v>
      </c>
      <c r="L198" s="2">
        <v>921.12</v>
      </c>
      <c r="M198" s="2">
        <v>383.08</v>
      </c>
      <c r="N198" t="s">
        <v>1497</v>
      </c>
      <c r="O198" t="s">
        <v>1498</v>
      </c>
      <c r="P198" t="s">
        <v>1501</v>
      </c>
    </row>
    <row r="199" spans="1:16" x14ac:dyDescent="0.3">
      <c r="A199">
        <v>198</v>
      </c>
      <c r="B199" t="s">
        <v>200</v>
      </c>
      <c r="C199">
        <v>2</v>
      </c>
      <c r="D199" s="1">
        <v>45436</v>
      </c>
      <c r="E199" s="1">
        <v>45439</v>
      </c>
      <c r="F199" t="s">
        <v>1067</v>
      </c>
      <c r="G199" t="s">
        <v>1383</v>
      </c>
      <c r="H199" t="s">
        <v>1480</v>
      </c>
      <c r="I199">
        <v>1</v>
      </c>
      <c r="J199" s="2">
        <v>17693.080000000002</v>
      </c>
      <c r="K199" s="3">
        <v>0</v>
      </c>
      <c r="L199" s="2">
        <v>17693.080000000002</v>
      </c>
      <c r="M199" s="2">
        <v>3546.04</v>
      </c>
      <c r="N199" t="s">
        <v>1497</v>
      </c>
      <c r="O199" t="s">
        <v>1498</v>
      </c>
      <c r="P199" t="s">
        <v>1501</v>
      </c>
    </row>
    <row r="200" spans="1:16" x14ac:dyDescent="0.3">
      <c r="A200">
        <v>199</v>
      </c>
      <c r="B200" t="s">
        <v>201</v>
      </c>
      <c r="C200">
        <v>1</v>
      </c>
      <c r="D200" s="1">
        <v>45437</v>
      </c>
      <c r="E200" s="1">
        <v>45439</v>
      </c>
      <c r="F200" t="s">
        <v>1098</v>
      </c>
      <c r="G200" t="s">
        <v>1436</v>
      </c>
      <c r="H200" t="s">
        <v>1480</v>
      </c>
      <c r="I200">
        <v>1</v>
      </c>
      <c r="J200" s="2">
        <v>546.80999999999995</v>
      </c>
      <c r="K200" s="3">
        <v>0</v>
      </c>
      <c r="L200" s="2">
        <v>546.80999999999995</v>
      </c>
      <c r="M200" s="2">
        <v>156.55000000000001</v>
      </c>
      <c r="N200" t="s">
        <v>1494</v>
      </c>
      <c r="O200" t="s">
        <v>1498</v>
      </c>
      <c r="P200" t="s">
        <v>1501</v>
      </c>
    </row>
    <row r="201" spans="1:16" x14ac:dyDescent="0.3">
      <c r="A201">
        <v>200</v>
      </c>
      <c r="B201" t="s">
        <v>201</v>
      </c>
      <c r="C201">
        <v>2</v>
      </c>
      <c r="D201" s="1">
        <v>45437</v>
      </c>
      <c r="E201" s="1">
        <v>45439</v>
      </c>
      <c r="F201" t="s">
        <v>1098</v>
      </c>
      <c r="G201" t="s">
        <v>1437</v>
      </c>
      <c r="H201" t="s">
        <v>1480</v>
      </c>
      <c r="I201">
        <v>3</v>
      </c>
      <c r="J201" s="2">
        <v>53802.83</v>
      </c>
      <c r="K201" s="3">
        <v>0</v>
      </c>
      <c r="L201" s="2">
        <v>161408.49</v>
      </c>
      <c r="M201" s="2">
        <v>20516.580000000002</v>
      </c>
      <c r="N201" t="s">
        <v>1494</v>
      </c>
      <c r="O201" t="s">
        <v>1498</v>
      </c>
      <c r="P201" t="s">
        <v>1501</v>
      </c>
    </row>
    <row r="202" spans="1:16" x14ac:dyDescent="0.3">
      <c r="A202">
        <v>201</v>
      </c>
      <c r="B202" t="s">
        <v>202</v>
      </c>
      <c r="C202">
        <v>1</v>
      </c>
      <c r="D202" s="1">
        <v>45437</v>
      </c>
      <c r="E202" s="1">
        <v>45437</v>
      </c>
      <c r="F202" t="s">
        <v>984</v>
      </c>
      <c r="G202" t="s">
        <v>1438</v>
      </c>
      <c r="H202" t="s">
        <v>1492</v>
      </c>
      <c r="I202">
        <v>1</v>
      </c>
      <c r="J202" s="2">
        <v>77432.27</v>
      </c>
      <c r="K202" s="3">
        <v>0</v>
      </c>
      <c r="L202" s="2">
        <v>77432.27</v>
      </c>
      <c r="M202" s="2">
        <v>8717.52</v>
      </c>
      <c r="N202" t="s">
        <v>1493</v>
      </c>
      <c r="O202" t="s">
        <v>1499</v>
      </c>
      <c r="P202" t="s">
        <v>1501</v>
      </c>
    </row>
    <row r="203" spans="1:16" x14ac:dyDescent="0.3">
      <c r="A203">
        <v>202</v>
      </c>
      <c r="B203" t="s">
        <v>202</v>
      </c>
      <c r="C203">
        <v>2</v>
      </c>
      <c r="D203" s="1">
        <v>45437</v>
      </c>
      <c r="E203" s="1">
        <v>45437</v>
      </c>
      <c r="F203" t="s">
        <v>984</v>
      </c>
      <c r="G203" t="s">
        <v>1439</v>
      </c>
      <c r="H203" t="s">
        <v>1492</v>
      </c>
      <c r="I203">
        <v>1</v>
      </c>
      <c r="J203" s="2">
        <v>2679.96</v>
      </c>
      <c r="K203" s="3">
        <v>0</v>
      </c>
      <c r="L203" s="2">
        <v>2679.96</v>
      </c>
      <c r="M203" s="2">
        <v>600.58000000000004</v>
      </c>
      <c r="N203" t="s">
        <v>1493</v>
      </c>
      <c r="O203" t="s">
        <v>1499</v>
      </c>
      <c r="P203" t="s">
        <v>1501</v>
      </c>
    </row>
    <row r="204" spans="1:16" x14ac:dyDescent="0.3">
      <c r="A204">
        <v>203</v>
      </c>
      <c r="B204" t="s">
        <v>203</v>
      </c>
      <c r="C204">
        <v>2</v>
      </c>
      <c r="D204" s="1">
        <v>45438</v>
      </c>
      <c r="E204" s="1">
        <v>45440</v>
      </c>
      <c r="F204" t="s">
        <v>1099</v>
      </c>
      <c r="G204" t="s">
        <v>1404</v>
      </c>
      <c r="H204" t="s">
        <v>1480</v>
      </c>
      <c r="I204">
        <v>1</v>
      </c>
      <c r="J204" s="2">
        <v>44125.88</v>
      </c>
      <c r="K204" s="3">
        <v>0.1</v>
      </c>
      <c r="L204" s="2">
        <v>39713.29</v>
      </c>
      <c r="M204" s="2">
        <v>5398.6</v>
      </c>
      <c r="N204" t="s">
        <v>1495</v>
      </c>
      <c r="O204" t="s">
        <v>1498</v>
      </c>
      <c r="P204" t="s">
        <v>1501</v>
      </c>
    </row>
    <row r="205" spans="1:16" x14ac:dyDescent="0.3">
      <c r="A205">
        <v>204</v>
      </c>
      <c r="B205" t="s">
        <v>204</v>
      </c>
      <c r="C205">
        <v>1</v>
      </c>
      <c r="D205" s="1">
        <v>45439</v>
      </c>
      <c r="E205" s="1">
        <v>45440</v>
      </c>
      <c r="F205" t="s">
        <v>1100</v>
      </c>
      <c r="G205" t="s">
        <v>1345</v>
      </c>
      <c r="H205" t="s">
        <v>1480</v>
      </c>
      <c r="I205">
        <v>2</v>
      </c>
      <c r="J205" s="2">
        <v>8112.78</v>
      </c>
      <c r="K205" s="3">
        <v>0</v>
      </c>
      <c r="L205" s="2">
        <v>16225.56</v>
      </c>
      <c r="M205" s="2">
        <v>2470.12</v>
      </c>
      <c r="N205" t="s">
        <v>1495</v>
      </c>
      <c r="O205" t="s">
        <v>1499</v>
      </c>
      <c r="P205" t="s">
        <v>1501</v>
      </c>
    </row>
    <row r="206" spans="1:16" x14ac:dyDescent="0.3">
      <c r="A206">
        <v>205</v>
      </c>
      <c r="B206" t="s">
        <v>205</v>
      </c>
      <c r="C206">
        <v>1</v>
      </c>
      <c r="D206" s="1">
        <v>45440</v>
      </c>
      <c r="E206" s="1">
        <v>45441</v>
      </c>
      <c r="F206" t="s">
        <v>1101</v>
      </c>
      <c r="G206" t="s">
        <v>1440</v>
      </c>
      <c r="H206" t="s">
        <v>1483</v>
      </c>
      <c r="I206">
        <v>1</v>
      </c>
      <c r="J206" s="2">
        <v>35541.870000000003</v>
      </c>
      <c r="K206" s="3">
        <v>0</v>
      </c>
      <c r="L206" s="2">
        <v>35541.870000000003</v>
      </c>
      <c r="M206" s="2">
        <v>5905.68</v>
      </c>
      <c r="N206" t="s">
        <v>1496</v>
      </c>
      <c r="O206" t="s">
        <v>1498</v>
      </c>
      <c r="P206" t="s">
        <v>1501</v>
      </c>
    </row>
    <row r="207" spans="1:16" x14ac:dyDescent="0.3">
      <c r="A207">
        <v>206</v>
      </c>
      <c r="B207" t="s">
        <v>206</v>
      </c>
      <c r="C207">
        <v>1</v>
      </c>
      <c r="D207" s="1">
        <v>45442</v>
      </c>
      <c r="F207" t="s">
        <v>980</v>
      </c>
      <c r="G207" t="s">
        <v>1431</v>
      </c>
      <c r="H207" t="s">
        <v>1480</v>
      </c>
      <c r="I207">
        <v>1</v>
      </c>
      <c r="J207" s="2">
        <v>9677.85</v>
      </c>
      <c r="K207" s="3">
        <v>0</v>
      </c>
      <c r="L207" s="2">
        <v>9677.85</v>
      </c>
      <c r="M207" s="2">
        <v>1902.17</v>
      </c>
      <c r="N207" t="s">
        <v>1496</v>
      </c>
      <c r="O207" t="s">
        <v>1498</v>
      </c>
      <c r="P207" t="s">
        <v>1503</v>
      </c>
    </row>
    <row r="208" spans="1:16" x14ac:dyDescent="0.3">
      <c r="A208">
        <v>207</v>
      </c>
      <c r="B208" t="s">
        <v>207</v>
      </c>
      <c r="C208">
        <v>1</v>
      </c>
      <c r="D208" s="1">
        <v>45442</v>
      </c>
      <c r="E208" s="1">
        <v>45442</v>
      </c>
      <c r="F208" t="s">
        <v>1102</v>
      </c>
      <c r="G208" t="s">
        <v>1441</v>
      </c>
      <c r="H208" t="s">
        <v>1488</v>
      </c>
      <c r="I208">
        <v>2</v>
      </c>
      <c r="J208" s="2">
        <v>6305.83</v>
      </c>
      <c r="K208" s="3">
        <v>0</v>
      </c>
      <c r="L208" s="2">
        <v>12611.66</v>
      </c>
      <c r="M208" s="2">
        <v>2849.6</v>
      </c>
      <c r="N208" t="s">
        <v>1493</v>
      </c>
      <c r="O208" t="s">
        <v>1499</v>
      </c>
      <c r="P208" t="s">
        <v>1501</v>
      </c>
    </row>
    <row r="209" spans="1:16" x14ac:dyDescent="0.3">
      <c r="A209">
        <v>208</v>
      </c>
      <c r="B209" t="s">
        <v>208</v>
      </c>
      <c r="C209">
        <v>1</v>
      </c>
      <c r="D209" s="1">
        <v>45443</v>
      </c>
      <c r="E209" s="1">
        <v>45443</v>
      </c>
      <c r="F209" t="s">
        <v>1009</v>
      </c>
      <c r="G209" t="s">
        <v>1366</v>
      </c>
      <c r="H209" t="s">
        <v>1486</v>
      </c>
      <c r="I209">
        <v>1</v>
      </c>
      <c r="J209" s="2">
        <v>1397.64</v>
      </c>
      <c r="K209" s="3">
        <v>0.2</v>
      </c>
      <c r="L209" s="2">
        <v>1118.1099999999999</v>
      </c>
      <c r="M209" s="2">
        <v>-192.91</v>
      </c>
      <c r="N209" t="s">
        <v>1493</v>
      </c>
      <c r="O209" t="s">
        <v>1499</v>
      </c>
      <c r="P209" t="s">
        <v>1501</v>
      </c>
    </row>
    <row r="210" spans="1:16" x14ac:dyDescent="0.3">
      <c r="A210">
        <v>209</v>
      </c>
      <c r="B210" t="s">
        <v>209</v>
      </c>
      <c r="C210">
        <v>1</v>
      </c>
      <c r="D210" s="1">
        <v>45443</v>
      </c>
      <c r="E210" s="1">
        <v>45445</v>
      </c>
      <c r="F210" t="s">
        <v>1063</v>
      </c>
      <c r="G210" t="s">
        <v>1389</v>
      </c>
      <c r="H210" t="s">
        <v>1480</v>
      </c>
      <c r="I210">
        <v>1</v>
      </c>
      <c r="J210" s="2">
        <v>676.97</v>
      </c>
      <c r="K210" s="3">
        <v>0</v>
      </c>
      <c r="L210" s="2">
        <v>676.97</v>
      </c>
      <c r="M210" s="2">
        <v>54.29</v>
      </c>
      <c r="N210" t="s">
        <v>1493</v>
      </c>
      <c r="O210" t="s">
        <v>1499</v>
      </c>
      <c r="P210" t="s">
        <v>1501</v>
      </c>
    </row>
    <row r="211" spans="1:16" x14ac:dyDescent="0.3">
      <c r="A211">
        <v>210</v>
      </c>
      <c r="B211" t="s">
        <v>210</v>
      </c>
      <c r="C211">
        <v>1</v>
      </c>
      <c r="D211" s="1">
        <v>45443</v>
      </c>
      <c r="E211" s="1">
        <v>45444</v>
      </c>
      <c r="F211" t="s">
        <v>1005</v>
      </c>
      <c r="G211" t="s">
        <v>1442</v>
      </c>
      <c r="H211" t="s">
        <v>1478</v>
      </c>
      <c r="I211">
        <v>2</v>
      </c>
      <c r="J211" s="2">
        <v>603.28</v>
      </c>
      <c r="K211" s="3">
        <v>0</v>
      </c>
      <c r="L211" s="2">
        <v>1206.56</v>
      </c>
      <c r="M211" s="2">
        <v>444.3</v>
      </c>
      <c r="N211" t="s">
        <v>1497</v>
      </c>
      <c r="O211" t="s">
        <v>1499</v>
      </c>
      <c r="P211" t="s">
        <v>1501</v>
      </c>
    </row>
    <row r="212" spans="1:16" x14ac:dyDescent="0.3">
      <c r="A212">
        <v>211</v>
      </c>
      <c r="B212" t="s">
        <v>210</v>
      </c>
      <c r="C212">
        <v>3</v>
      </c>
      <c r="D212" s="1">
        <v>45443</v>
      </c>
      <c r="E212" s="1">
        <v>45444</v>
      </c>
      <c r="F212" t="s">
        <v>1005</v>
      </c>
      <c r="G212" t="s">
        <v>1339</v>
      </c>
      <c r="H212" t="s">
        <v>1478</v>
      </c>
      <c r="I212">
        <v>1</v>
      </c>
      <c r="J212" s="2">
        <v>763.54</v>
      </c>
      <c r="K212" s="3">
        <v>0</v>
      </c>
      <c r="L212" s="2">
        <v>763.54</v>
      </c>
      <c r="M212" s="2">
        <v>240.98</v>
      </c>
      <c r="N212" t="s">
        <v>1497</v>
      </c>
      <c r="O212" t="s">
        <v>1499</v>
      </c>
      <c r="P212" t="s">
        <v>1501</v>
      </c>
    </row>
    <row r="213" spans="1:16" x14ac:dyDescent="0.3">
      <c r="A213">
        <v>212</v>
      </c>
      <c r="B213" t="s">
        <v>211</v>
      </c>
      <c r="C213">
        <v>1</v>
      </c>
      <c r="D213" s="1">
        <v>45444</v>
      </c>
      <c r="E213" s="1">
        <v>45447</v>
      </c>
      <c r="F213" t="s">
        <v>1103</v>
      </c>
      <c r="G213" t="s">
        <v>1386</v>
      </c>
      <c r="H213" t="s">
        <v>1480</v>
      </c>
      <c r="I213">
        <v>2</v>
      </c>
      <c r="J213" s="2">
        <v>1094.7</v>
      </c>
      <c r="K213" s="3">
        <v>0.05</v>
      </c>
      <c r="L213" s="2">
        <v>2079.9299999999998</v>
      </c>
      <c r="M213" s="2">
        <v>18.489999999999998</v>
      </c>
      <c r="N213" t="s">
        <v>1495</v>
      </c>
      <c r="O213" t="s">
        <v>1499</v>
      </c>
      <c r="P213" t="s">
        <v>1501</v>
      </c>
    </row>
    <row r="214" spans="1:16" x14ac:dyDescent="0.3">
      <c r="A214">
        <v>213</v>
      </c>
      <c r="B214" t="s">
        <v>212</v>
      </c>
      <c r="C214">
        <v>1</v>
      </c>
      <c r="D214" s="1">
        <v>45444</v>
      </c>
      <c r="E214" s="1">
        <v>45445</v>
      </c>
      <c r="F214" t="s">
        <v>1104</v>
      </c>
      <c r="G214" t="s">
        <v>1375</v>
      </c>
      <c r="H214" t="s">
        <v>1483</v>
      </c>
      <c r="I214">
        <v>1</v>
      </c>
      <c r="J214" s="2">
        <v>35534</v>
      </c>
      <c r="K214" s="3">
        <v>0.15</v>
      </c>
      <c r="L214" s="2">
        <v>30203.9</v>
      </c>
      <c r="M214" s="2">
        <v>471.46</v>
      </c>
      <c r="N214" t="s">
        <v>1497</v>
      </c>
      <c r="O214" t="s">
        <v>1498</v>
      </c>
      <c r="P214" t="s">
        <v>1501</v>
      </c>
    </row>
    <row r="215" spans="1:16" x14ac:dyDescent="0.3">
      <c r="A215">
        <v>214</v>
      </c>
      <c r="B215" t="s">
        <v>213</v>
      </c>
      <c r="C215">
        <v>1</v>
      </c>
      <c r="D215" s="1">
        <v>45445</v>
      </c>
      <c r="E215" s="1">
        <v>45446</v>
      </c>
      <c r="F215" t="s">
        <v>1105</v>
      </c>
      <c r="G215" t="s">
        <v>1433</v>
      </c>
      <c r="H215" t="s">
        <v>1480</v>
      </c>
      <c r="I215">
        <v>2</v>
      </c>
      <c r="J215" s="2">
        <v>2067.91</v>
      </c>
      <c r="K215" s="3">
        <v>0.05</v>
      </c>
      <c r="L215" s="2">
        <v>3929.03</v>
      </c>
      <c r="M215" s="2">
        <v>946.17</v>
      </c>
      <c r="N215" t="s">
        <v>1496</v>
      </c>
      <c r="O215" t="s">
        <v>1500</v>
      </c>
      <c r="P215" t="s">
        <v>1501</v>
      </c>
    </row>
    <row r="216" spans="1:16" x14ac:dyDescent="0.3">
      <c r="A216">
        <v>215</v>
      </c>
      <c r="B216" t="s">
        <v>214</v>
      </c>
      <c r="C216">
        <v>1</v>
      </c>
      <c r="D216" s="1">
        <v>45445</v>
      </c>
      <c r="E216" s="1">
        <v>45446</v>
      </c>
      <c r="F216" t="s">
        <v>1106</v>
      </c>
      <c r="G216" t="s">
        <v>1407</v>
      </c>
      <c r="H216" t="s">
        <v>1492</v>
      </c>
      <c r="I216">
        <v>1</v>
      </c>
      <c r="J216" s="2">
        <v>810.23</v>
      </c>
      <c r="K216" s="3">
        <v>0</v>
      </c>
      <c r="L216" s="2">
        <v>810.23</v>
      </c>
      <c r="M216" s="2">
        <v>91.79</v>
      </c>
      <c r="N216" t="s">
        <v>1493</v>
      </c>
      <c r="O216" t="s">
        <v>1498</v>
      </c>
      <c r="P216" t="s">
        <v>1501</v>
      </c>
    </row>
    <row r="217" spans="1:16" x14ac:dyDescent="0.3">
      <c r="A217">
        <v>216</v>
      </c>
      <c r="B217" t="s">
        <v>215</v>
      </c>
      <c r="C217">
        <v>1</v>
      </c>
      <c r="D217" s="1">
        <v>45445</v>
      </c>
      <c r="E217" s="1">
        <v>45447</v>
      </c>
      <c r="F217" t="s">
        <v>1107</v>
      </c>
      <c r="G217" t="s">
        <v>1363</v>
      </c>
      <c r="H217" t="s">
        <v>1480</v>
      </c>
      <c r="I217">
        <v>4</v>
      </c>
      <c r="J217" s="2">
        <v>23041.22</v>
      </c>
      <c r="K217" s="3">
        <v>0.15</v>
      </c>
      <c r="L217" s="2">
        <v>78340.149999999994</v>
      </c>
      <c r="M217" s="2">
        <v>6034.23</v>
      </c>
      <c r="N217" t="s">
        <v>1496</v>
      </c>
      <c r="O217" t="s">
        <v>1498</v>
      </c>
      <c r="P217" t="s">
        <v>1501</v>
      </c>
    </row>
    <row r="218" spans="1:16" x14ac:dyDescent="0.3">
      <c r="A218">
        <v>217</v>
      </c>
      <c r="B218" t="s">
        <v>216</v>
      </c>
      <c r="C218">
        <v>1</v>
      </c>
      <c r="D218" s="1">
        <v>45447</v>
      </c>
      <c r="E218" s="1">
        <v>45447</v>
      </c>
      <c r="F218" t="s">
        <v>1108</v>
      </c>
      <c r="G218" t="s">
        <v>1443</v>
      </c>
      <c r="H218" t="s">
        <v>1482</v>
      </c>
      <c r="I218">
        <v>1</v>
      </c>
      <c r="J218" s="2">
        <v>1035.79</v>
      </c>
      <c r="K218" s="3">
        <v>0</v>
      </c>
      <c r="L218" s="2">
        <v>1035.79</v>
      </c>
      <c r="M218" s="2">
        <v>82.54</v>
      </c>
      <c r="N218" t="s">
        <v>1497</v>
      </c>
      <c r="O218" t="s">
        <v>1499</v>
      </c>
      <c r="P218" t="s">
        <v>1501</v>
      </c>
    </row>
    <row r="219" spans="1:16" x14ac:dyDescent="0.3">
      <c r="A219">
        <v>218</v>
      </c>
      <c r="B219" t="s">
        <v>217</v>
      </c>
      <c r="C219">
        <v>1</v>
      </c>
      <c r="D219" s="1">
        <v>45449</v>
      </c>
      <c r="F219" t="s">
        <v>1109</v>
      </c>
      <c r="G219" t="s">
        <v>1364</v>
      </c>
      <c r="H219" t="s">
        <v>1479</v>
      </c>
      <c r="I219">
        <v>1</v>
      </c>
      <c r="J219" s="2">
        <v>590.01</v>
      </c>
      <c r="K219" s="3">
        <v>0.05</v>
      </c>
      <c r="L219" s="2">
        <v>560.51</v>
      </c>
      <c r="M219" s="2">
        <v>43.05</v>
      </c>
      <c r="N219" t="s">
        <v>1495</v>
      </c>
      <c r="O219" t="s">
        <v>1499</v>
      </c>
      <c r="P219" t="s">
        <v>1503</v>
      </c>
    </row>
    <row r="220" spans="1:16" x14ac:dyDescent="0.3">
      <c r="A220">
        <v>219</v>
      </c>
      <c r="B220" t="s">
        <v>218</v>
      </c>
      <c r="C220">
        <v>1</v>
      </c>
      <c r="D220" s="1">
        <v>45449</v>
      </c>
      <c r="E220" s="1">
        <v>45449</v>
      </c>
      <c r="F220" t="s">
        <v>1083</v>
      </c>
      <c r="G220" t="s">
        <v>1442</v>
      </c>
      <c r="H220" t="s">
        <v>1479</v>
      </c>
      <c r="I220">
        <v>1</v>
      </c>
      <c r="J220" s="2">
        <v>603.28</v>
      </c>
      <c r="K220" s="3">
        <v>0</v>
      </c>
      <c r="L220" s="2">
        <v>603.28</v>
      </c>
      <c r="M220" s="2">
        <v>222.15</v>
      </c>
      <c r="N220" t="s">
        <v>1493</v>
      </c>
      <c r="O220" t="s">
        <v>1498</v>
      </c>
      <c r="P220" t="s">
        <v>1501</v>
      </c>
    </row>
    <row r="221" spans="1:16" x14ac:dyDescent="0.3">
      <c r="A221">
        <v>220</v>
      </c>
      <c r="B221" t="s">
        <v>219</v>
      </c>
      <c r="C221">
        <v>1</v>
      </c>
      <c r="D221" s="1">
        <v>45450</v>
      </c>
      <c r="F221" t="s">
        <v>1103</v>
      </c>
      <c r="G221" t="s">
        <v>1444</v>
      </c>
      <c r="H221" t="s">
        <v>1480</v>
      </c>
      <c r="I221">
        <v>1</v>
      </c>
      <c r="J221" s="2">
        <v>1054.31</v>
      </c>
      <c r="K221" s="3">
        <v>0</v>
      </c>
      <c r="L221" s="2">
        <v>1054.31</v>
      </c>
      <c r="M221" s="2">
        <v>310.83999999999997</v>
      </c>
      <c r="N221" t="s">
        <v>1497</v>
      </c>
      <c r="O221" t="s">
        <v>1499</v>
      </c>
      <c r="P221" t="s">
        <v>1503</v>
      </c>
    </row>
    <row r="222" spans="1:16" x14ac:dyDescent="0.3">
      <c r="A222">
        <v>221</v>
      </c>
      <c r="B222" t="s">
        <v>220</v>
      </c>
      <c r="C222">
        <v>1</v>
      </c>
      <c r="D222" s="1">
        <v>45450</v>
      </c>
      <c r="E222" s="1">
        <v>45451</v>
      </c>
      <c r="F222" t="s">
        <v>1110</v>
      </c>
      <c r="G222" t="s">
        <v>1445</v>
      </c>
      <c r="H222" t="s">
        <v>1483</v>
      </c>
      <c r="I222">
        <v>1</v>
      </c>
      <c r="J222" s="2">
        <v>516.78</v>
      </c>
      <c r="K222" s="3">
        <v>0</v>
      </c>
      <c r="L222" s="2">
        <v>516.78</v>
      </c>
      <c r="M222" s="2">
        <v>72.260000000000005</v>
      </c>
      <c r="N222" t="s">
        <v>1495</v>
      </c>
      <c r="O222" t="s">
        <v>1498</v>
      </c>
      <c r="P222" t="s">
        <v>1501</v>
      </c>
    </row>
    <row r="223" spans="1:16" x14ac:dyDescent="0.3">
      <c r="A223">
        <v>222</v>
      </c>
      <c r="B223" t="s">
        <v>221</v>
      </c>
      <c r="C223">
        <v>1</v>
      </c>
      <c r="D223" s="1">
        <v>45451</v>
      </c>
      <c r="E223" s="1">
        <v>45451</v>
      </c>
      <c r="F223" t="s">
        <v>1111</v>
      </c>
      <c r="G223" t="s">
        <v>1392</v>
      </c>
      <c r="H223" t="s">
        <v>1479</v>
      </c>
      <c r="I223">
        <v>1</v>
      </c>
      <c r="J223" s="2">
        <v>17688.330000000002</v>
      </c>
      <c r="K223" s="3">
        <v>0</v>
      </c>
      <c r="L223" s="2">
        <v>17688.330000000002</v>
      </c>
      <c r="M223" s="2">
        <v>2903.89</v>
      </c>
      <c r="N223" t="s">
        <v>1497</v>
      </c>
      <c r="O223" t="s">
        <v>1498</v>
      </c>
      <c r="P223" t="s">
        <v>1501</v>
      </c>
    </row>
    <row r="224" spans="1:16" x14ac:dyDescent="0.3">
      <c r="A224">
        <v>223</v>
      </c>
      <c r="B224" t="s">
        <v>222</v>
      </c>
      <c r="C224">
        <v>1</v>
      </c>
      <c r="D224" s="1">
        <v>45451</v>
      </c>
      <c r="E224" s="1">
        <v>45451</v>
      </c>
      <c r="F224" t="s">
        <v>1112</v>
      </c>
      <c r="G224" t="s">
        <v>1383</v>
      </c>
      <c r="H224" t="s">
        <v>1486</v>
      </c>
      <c r="I224">
        <v>1</v>
      </c>
      <c r="J224" s="2">
        <v>17693.080000000002</v>
      </c>
      <c r="K224" s="3">
        <v>0.05</v>
      </c>
      <c r="L224" s="2">
        <v>16808.43</v>
      </c>
      <c r="M224" s="2">
        <v>2661.39</v>
      </c>
      <c r="N224" t="s">
        <v>1494</v>
      </c>
      <c r="O224" t="s">
        <v>1499</v>
      </c>
      <c r="P224" t="s">
        <v>1501</v>
      </c>
    </row>
    <row r="225" spans="1:16" x14ac:dyDescent="0.3">
      <c r="A225">
        <v>224</v>
      </c>
      <c r="B225" t="s">
        <v>223</v>
      </c>
      <c r="C225">
        <v>1</v>
      </c>
      <c r="D225" s="1">
        <v>45452</v>
      </c>
      <c r="E225" s="1">
        <v>45455</v>
      </c>
      <c r="F225" t="s">
        <v>1067</v>
      </c>
      <c r="G225" t="s">
        <v>1446</v>
      </c>
      <c r="H225" t="s">
        <v>1480</v>
      </c>
      <c r="I225">
        <v>3</v>
      </c>
      <c r="J225" s="2">
        <v>242.83</v>
      </c>
      <c r="K225" s="3">
        <v>0</v>
      </c>
      <c r="L225" s="2">
        <v>728.49</v>
      </c>
      <c r="M225" s="2">
        <v>172.44</v>
      </c>
      <c r="N225" t="s">
        <v>1496</v>
      </c>
      <c r="O225" t="s">
        <v>1498</v>
      </c>
      <c r="P225" t="s">
        <v>1501</v>
      </c>
    </row>
    <row r="226" spans="1:16" x14ac:dyDescent="0.3">
      <c r="A226">
        <v>225</v>
      </c>
      <c r="B226" t="s">
        <v>224</v>
      </c>
      <c r="C226">
        <v>1</v>
      </c>
      <c r="D226" s="1">
        <v>45452</v>
      </c>
      <c r="F226" t="s">
        <v>994</v>
      </c>
      <c r="G226" t="s">
        <v>1369</v>
      </c>
      <c r="H226" t="s">
        <v>1480</v>
      </c>
      <c r="I226">
        <v>1</v>
      </c>
      <c r="J226" s="2">
        <v>23968.04</v>
      </c>
      <c r="K226" s="3">
        <v>0</v>
      </c>
      <c r="L226" s="2">
        <v>23968.04</v>
      </c>
      <c r="M226" s="2">
        <v>6696.92</v>
      </c>
      <c r="N226" t="s">
        <v>1495</v>
      </c>
      <c r="O226" t="s">
        <v>1498</v>
      </c>
      <c r="P226" t="s">
        <v>1503</v>
      </c>
    </row>
    <row r="227" spans="1:16" x14ac:dyDescent="0.3">
      <c r="A227">
        <v>226</v>
      </c>
      <c r="B227" t="s">
        <v>225</v>
      </c>
      <c r="C227">
        <v>1</v>
      </c>
      <c r="D227" s="1">
        <v>45453</v>
      </c>
      <c r="E227" s="1">
        <v>45453</v>
      </c>
      <c r="F227" t="s">
        <v>1045</v>
      </c>
      <c r="G227" t="s">
        <v>1386</v>
      </c>
      <c r="H227" t="s">
        <v>1487</v>
      </c>
      <c r="I227">
        <v>1</v>
      </c>
      <c r="J227" s="2">
        <v>1094.7</v>
      </c>
      <c r="K227" s="3">
        <v>0.15</v>
      </c>
      <c r="L227" s="2">
        <v>930.5</v>
      </c>
      <c r="M227" s="2">
        <v>-100.22</v>
      </c>
      <c r="N227" t="s">
        <v>1493</v>
      </c>
      <c r="O227" t="s">
        <v>1499</v>
      </c>
      <c r="P227" t="s">
        <v>1501</v>
      </c>
    </row>
    <row r="228" spans="1:16" x14ac:dyDescent="0.3">
      <c r="A228">
        <v>227</v>
      </c>
      <c r="B228" t="s">
        <v>226</v>
      </c>
      <c r="C228">
        <v>1</v>
      </c>
      <c r="D228" s="1">
        <v>45454</v>
      </c>
      <c r="E228" s="1">
        <v>45455</v>
      </c>
      <c r="F228" t="s">
        <v>1113</v>
      </c>
      <c r="G228" t="s">
        <v>1338</v>
      </c>
      <c r="H228" t="s">
        <v>1480</v>
      </c>
      <c r="I228">
        <v>2</v>
      </c>
      <c r="J228" s="2">
        <v>1151.02</v>
      </c>
      <c r="K228" s="3">
        <v>0</v>
      </c>
      <c r="L228" s="2">
        <v>2302.04</v>
      </c>
      <c r="M228" s="2">
        <v>299.10000000000002</v>
      </c>
      <c r="N228" t="s">
        <v>1495</v>
      </c>
      <c r="O228" t="s">
        <v>1498</v>
      </c>
      <c r="P228" t="s">
        <v>1501</v>
      </c>
    </row>
    <row r="229" spans="1:16" x14ac:dyDescent="0.3">
      <c r="A229">
        <v>228</v>
      </c>
      <c r="B229" t="s">
        <v>227</v>
      </c>
      <c r="C229">
        <v>2</v>
      </c>
      <c r="D229" s="1">
        <v>45454</v>
      </c>
      <c r="E229" s="1">
        <v>45455</v>
      </c>
      <c r="F229" t="s">
        <v>1114</v>
      </c>
      <c r="G229" t="s">
        <v>1350</v>
      </c>
      <c r="H229" t="s">
        <v>1480</v>
      </c>
      <c r="I229">
        <v>2</v>
      </c>
      <c r="J229" s="2">
        <v>53290.400000000001</v>
      </c>
      <c r="K229" s="3">
        <v>0</v>
      </c>
      <c r="L229" s="2">
        <v>106580.8</v>
      </c>
      <c r="M229" s="2">
        <v>14463.36</v>
      </c>
      <c r="N229" t="s">
        <v>1496</v>
      </c>
      <c r="O229" t="s">
        <v>1498</v>
      </c>
      <c r="P229" t="s">
        <v>1501</v>
      </c>
    </row>
    <row r="230" spans="1:16" x14ac:dyDescent="0.3">
      <c r="A230">
        <v>229</v>
      </c>
      <c r="B230" t="s">
        <v>228</v>
      </c>
      <c r="C230">
        <v>3</v>
      </c>
      <c r="D230" s="1">
        <v>45455</v>
      </c>
      <c r="E230" s="1">
        <v>45456</v>
      </c>
      <c r="F230" t="s">
        <v>1115</v>
      </c>
      <c r="G230" t="s">
        <v>1434</v>
      </c>
      <c r="H230" t="s">
        <v>1484</v>
      </c>
      <c r="I230">
        <v>1</v>
      </c>
      <c r="J230" s="2">
        <v>994.69</v>
      </c>
      <c r="K230" s="3">
        <v>0</v>
      </c>
      <c r="L230" s="2">
        <v>994.69</v>
      </c>
      <c r="M230" s="2">
        <v>91.37</v>
      </c>
      <c r="N230" t="s">
        <v>1493</v>
      </c>
      <c r="O230" t="s">
        <v>1499</v>
      </c>
      <c r="P230" t="s">
        <v>1501</v>
      </c>
    </row>
    <row r="231" spans="1:16" x14ac:dyDescent="0.3">
      <c r="A231">
        <v>230</v>
      </c>
      <c r="B231" t="s">
        <v>229</v>
      </c>
      <c r="C231">
        <v>1</v>
      </c>
      <c r="D231" s="1">
        <v>45457</v>
      </c>
      <c r="E231" s="1">
        <v>45458</v>
      </c>
      <c r="F231" t="s">
        <v>1116</v>
      </c>
      <c r="G231" t="s">
        <v>1447</v>
      </c>
      <c r="H231" t="s">
        <v>1480</v>
      </c>
      <c r="I231">
        <v>2</v>
      </c>
      <c r="J231" s="2">
        <v>4260.03</v>
      </c>
      <c r="K231" s="3">
        <v>0.1</v>
      </c>
      <c r="L231" s="2">
        <v>7668.05</v>
      </c>
      <c r="M231" s="2">
        <v>609.75</v>
      </c>
      <c r="N231" t="s">
        <v>1495</v>
      </c>
      <c r="O231" t="s">
        <v>1498</v>
      </c>
      <c r="P231" t="s">
        <v>1501</v>
      </c>
    </row>
    <row r="232" spans="1:16" x14ac:dyDescent="0.3">
      <c r="A232">
        <v>231</v>
      </c>
      <c r="B232" t="s">
        <v>230</v>
      </c>
      <c r="C232">
        <v>1</v>
      </c>
      <c r="D232" s="1">
        <v>45458</v>
      </c>
      <c r="F232" t="s">
        <v>1117</v>
      </c>
      <c r="G232" t="s">
        <v>1357</v>
      </c>
      <c r="H232" t="s">
        <v>1480</v>
      </c>
      <c r="I232">
        <v>3</v>
      </c>
      <c r="J232" s="2">
        <v>986.91</v>
      </c>
      <c r="K232" s="3">
        <v>0</v>
      </c>
      <c r="L232" s="2">
        <v>2960.73</v>
      </c>
      <c r="M232" s="2">
        <v>386.19</v>
      </c>
      <c r="N232" t="s">
        <v>1496</v>
      </c>
      <c r="O232" t="s">
        <v>1498</v>
      </c>
      <c r="P232" t="s">
        <v>1503</v>
      </c>
    </row>
    <row r="233" spans="1:16" x14ac:dyDescent="0.3">
      <c r="A233">
        <v>232</v>
      </c>
      <c r="B233" t="s">
        <v>231</v>
      </c>
      <c r="C233">
        <v>1</v>
      </c>
      <c r="D233" s="1">
        <v>45458</v>
      </c>
      <c r="E233" s="1">
        <v>45459</v>
      </c>
      <c r="F233" t="s">
        <v>1044</v>
      </c>
      <c r="G233" t="s">
        <v>1362</v>
      </c>
      <c r="H233" t="s">
        <v>1492</v>
      </c>
      <c r="I233">
        <v>1</v>
      </c>
      <c r="J233" s="2">
        <v>375.5</v>
      </c>
      <c r="K233" s="3">
        <v>0</v>
      </c>
      <c r="L233" s="2">
        <v>375.5</v>
      </c>
      <c r="M233" s="2">
        <v>146.15</v>
      </c>
      <c r="N233" t="s">
        <v>1496</v>
      </c>
      <c r="O233" t="s">
        <v>1498</v>
      </c>
      <c r="P233" t="s">
        <v>1501</v>
      </c>
    </row>
    <row r="234" spans="1:16" x14ac:dyDescent="0.3">
      <c r="A234">
        <v>233</v>
      </c>
      <c r="B234" t="s">
        <v>232</v>
      </c>
      <c r="C234">
        <v>2</v>
      </c>
      <c r="D234" s="1">
        <v>45458</v>
      </c>
      <c r="E234" s="1">
        <v>45460</v>
      </c>
      <c r="F234" t="s">
        <v>1038</v>
      </c>
      <c r="G234" t="s">
        <v>1412</v>
      </c>
      <c r="H234" t="s">
        <v>1480</v>
      </c>
      <c r="I234">
        <v>2</v>
      </c>
      <c r="J234" s="2">
        <v>78073.17</v>
      </c>
      <c r="K234" s="3">
        <v>0</v>
      </c>
      <c r="L234" s="2">
        <v>156146.34</v>
      </c>
      <c r="M234" s="2">
        <v>24376.62</v>
      </c>
      <c r="N234" t="s">
        <v>1495</v>
      </c>
      <c r="O234" t="s">
        <v>1498</v>
      </c>
      <c r="P234" t="s">
        <v>1501</v>
      </c>
    </row>
    <row r="235" spans="1:16" x14ac:dyDescent="0.3">
      <c r="A235">
        <v>234</v>
      </c>
      <c r="B235" t="s">
        <v>233</v>
      </c>
      <c r="C235">
        <v>1</v>
      </c>
      <c r="D235" s="1">
        <v>45459</v>
      </c>
      <c r="E235" s="1">
        <v>45461</v>
      </c>
      <c r="F235" t="s">
        <v>987</v>
      </c>
      <c r="G235" t="s">
        <v>1383</v>
      </c>
      <c r="H235" t="s">
        <v>1480</v>
      </c>
      <c r="I235">
        <v>2</v>
      </c>
      <c r="J235" s="2">
        <v>17693.080000000002</v>
      </c>
      <c r="K235" s="3">
        <v>0.15</v>
      </c>
      <c r="L235" s="2">
        <v>30078.240000000002</v>
      </c>
      <c r="M235" s="2">
        <v>1784.16</v>
      </c>
      <c r="N235" t="s">
        <v>1496</v>
      </c>
      <c r="O235" t="s">
        <v>1499</v>
      </c>
      <c r="P235" t="s">
        <v>1501</v>
      </c>
    </row>
    <row r="236" spans="1:16" x14ac:dyDescent="0.3">
      <c r="A236">
        <v>235</v>
      </c>
      <c r="B236" t="s">
        <v>234</v>
      </c>
      <c r="C236">
        <v>1</v>
      </c>
      <c r="D236" s="1">
        <v>45460</v>
      </c>
      <c r="E236" s="1">
        <v>45460</v>
      </c>
      <c r="F236" t="s">
        <v>1118</v>
      </c>
      <c r="G236" t="s">
        <v>1405</v>
      </c>
      <c r="H236" t="s">
        <v>1492</v>
      </c>
      <c r="I236">
        <v>2</v>
      </c>
      <c r="J236" s="2">
        <v>57633.32</v>
      </c>
      <c r="K236" s="3">
        <v>0</v>
      </c>
      <c r="L236" s="2">
        <v>115266.64</v>
      </c>
      <c r="M236" s="2">
        <v>14400.98</v>
      </c>
      <c r="N236" t="s">
        <v>1497</v>
      </c>
      <c r="O236" t="s">
        <v>1498</v>
      </c>
      <c r="P236" t="s">
        <v>1501</v>
      </c>
    </row>
    <row r="237" spans="1:16" x14ac:dyDescent="0.3">
      <c r="A237">
        <v>236</v>
      </c>
      <c r="B237" t="s">
        <v>235</v>
      </c>
      <c r="C237">
        <v>1</v>
      </c>
      <c r="D237" s="1">
        <v>45462</v>
      </c>
      <c r="E237" s="1">
        <v>45463</v>
      </c>
      <c r="F237" t="s">
        <v>1119</v>
      </c>
      <c r="G237" t="s">
        <v>1369</v>
      </c>
      <c r="H237" t="s">
        <v>1485</v>
      </c>
      <c r="I237">
        <v>1</v>
      </c>
      <c r="J237" s="2">
        <v>23968.04</v>
      </c>
      <c r="K237" s="3">
        <v>0</v>
      </c>
      <c r="L237" s="2">
        <v>23968.04</v>
      </c>
      <c r="M237" s="2">
        <v>6696.92</v>
      </c>
      <c r="N237" t="s">
        <v>1497</v>
      </c>
      <c r="O237" t="s">
        <v>1498</v>
      </c>
      <c r="P237" t="s">
        <v>1501</v>
      </c>
    </row>
    <row r="238" spans="1:16" x14ac:dyDescent="0.3">
      <c r="A238">
        <v>237</v>
      </c>
      <c r="B238" t="s">
        <v>236</v>
      </c>
      <c r="C238">
        <v>1</v>
      </c>
      <c r="D238" s="1">
        <v>45462</v>
      </c>
      <c r="E238" s="1">
        <v>45462</v>
      </c>
      <c r="F238" t="s">
        <v>997</v>
      </c>
      <c r="G238" t="s">
        <v>1389</v>
      </c>
      <c r="H238" t="s">
        <v>1486</v>
      </c>
      <c r="I238">
        <v>1</v>
      </c>
      <c r="J238" s="2">
        <v>676.97</v>
      </c>
      <c r="K238" s="3">
        <v>0</v>
      </c>
      <c r="L238" s="2">
        <v>676.97</v>
      </c>
      <c r="M238" s="2">
        <v>54.29</v>
      </c>
      <c r="N238" t="s">
        <v>1495</v>
      </c>
      <c r="O238" t="s">
        <v>1499</v>
      </c>
      <c r="P238" t="s">
        <v>1501</v>
      </c>
    </row>
    <row r="239" spans="1:16" x14ac:dyDescent="0.3">
      <c r="A239">
        <v>238</v>
      </c>
      <c r="B239" t="s">
        <v>237</v>
      </c>
      <c r="C239">
        <v>1</v>
      </c>
      <c r="D239" s="1">
        <v>45463</v>
      </c>
      <c r="E239" s="1">
        <v>45464</v>
      </c>
      <c r="F239" t="s">
        <v>1075</v>
      </c>
      <c r="G239" t="s">
        <v>1364</v>
      </c>
      <c r="H239" t="s">
        <v>1480</v>
      </c>
      <c r="I239">
        <v>1</v>
      </c>
      <c r="J239" s="2">
        <v>590.01</v>
      </c>
      <c r="K239" s="3">
        <v>0.1</v>
      </c>
      <c r="L239" s="2">
        <v>531.01</v>
      </c>
      <c r="M239" s="2">
        <v>13.55</v>
      </c>
      <c r="N239" t="s">
        <v>1497</v>
      </c>
      <c r="O239" t="s">
        <v>1498</v>
      </c>
      <c r="P239" t="s">
        <v>1501</v>
      </c>
    </row>
    <row r="240" spans="1:16" x14ac:dyDescent="0.3">
      <c r="A240">
        <v>239</v>
      </c>
      <c r="B240" t="s">
        <v>238</v>
      </c>
      <c r="C240">
        <v>3</v>
      </c>
      <c r="D240" s="1">
        <v>45464</v>
      </c>
      <c r="E240" s="1">
        <v>45464</v>
      </c>
      <c r="F240" t="s">
        <v>1047</v>
      </c>
      <c r="G240" t="s">
        <v>1332</v>
      </c>
      <c r="H240" t="s">
        <v>1479</v>
      </c>
      <c r="I240">
        <v>1</v>
      </c>
      <c r="J240" s="2">
        <v>45652.65</v>
      </c>
      <c r="K240" s="3">
        <v>0.1</v>
      </c>
      <c r="L240" s="2">
        <v>41087.39</v>
      </c>
      <c r="M240" s="2">
        <v>2579.37</v>
      </c>
      <c r="N240" t="s">
        <v>1495</v>
      </c>
      <c r="O240" t="s">
        <v>1498</v>
      </c>
      <c r="P240" t="s">
        <v>1501</v>
      </c>
    </row>
    <row r="241" spans="1:16" x14ac:dyDescent="0.3">
      <c r="A241">
        <v>240</v>
      </c>
      <c r="B241" t="s">
        <v>239</v>
      </c>
      <c r="C241">
        <v>1</v>
      </c>
      <c r="D241" s="1">
        <v>45465</v>
      </c>
      <c r="E241" s="1">
        <v>45466</v>
      </c>
      <c r="F241" t="s">
        <v>1017</v>
      </c>
      <c r="G241" t="s">
        <v>1448</v>
      </c>
      <c r="H241" t="s">
        <v>1485</v>
      </c>
      <c r="I241">
        <v>2</v>
      </c>
      <c r="J241" s="2">
        <v>579.75</v>
      </c>
      <c r="K241" s="3">
        <v>0</v>
      </c>
      <c r="L241" s="2">
        <v>1159.5</v>
      </c>
      <c r="M241" s="2">
        <v>376.52</v>
      </c>
      <c r="N241" t="s">
        <v>1494</v>
      </c>
      <c r="O241" t="s">
        <v>1498</v>
      </c>
      <c r="P241" t="s">
        <v>1501</v>
      </c>
    </row>
    <row r="242" spans="1:16" x14ac:dyDescent="0.3">
      <c r="A242">
        <v>241</v>
      </c>
      <c r="B242" t="s">
        <v>240</v>
      </c>
      <c r="C242">
        <v>1</v>
      </c>
      <c r="D242" s="1">
        <v>45469</v>
      </c>
      <c r="E242" s="1">
        <v>45469</v>
      </c>
      <c r="F242" t="s">
        <v>1120</v>
      </c>
      <c r="G242" t="s">
        <v>1371</v>
      </c>
      <c r="H242" t="s">
        <v>1491</v>
      </c>
      <c r="I242">
        <v>1</v>
      </c>
      <c r="J242" s="2">
        <v>5245.11</v>
      </c>
      <c r="K242" s="3">
        <v>0.05</v>
      </c>
      <c r="L242" s="2">
        <v>4982.8500000000004</v>
      </c>
      <c r="M242" s="2">
        <v>1681.69</v>
      </c>
      <c r="N242" t="s">
        <v>1495</v>
      </c>
      <c r="O242" t="s">
        <v>1499</v>
      </c>
      <c r="P242" t="s">
        <v>1501</v>
      </c>
    </row>
    <row r="243" spans="1:16" x14ac:dyDescent="0.3">
      <c r="A243">
        <v>242</v>
      </c>
      <c r="B243" t="s">
        <v>241</v>
      </c>
      <c r="C243">
        <v>2</v>
      </c>
      <c r="D243" s="1">
        <v>45471</v>
      </c>
      <c r="E243" s="1">
        <v>45472</v>
      </c>
      <c r="F243" t="s">
        <v>1121</v>
      </c>
      <c r="G243" t="s">
        <v>1430</v>
      </c>
      <c r="H243" t="s">
        <v>1480</v>
      </c>
      <c r="I243">
        <v>1</v>
      </c>
      <c r="J243" s="2">
        <v>1148.97</v>
      </c>
      <c r="K243" s="3">
        <v>0.15</v>
      </c>
      <c r="L243" s="2">
        <v>976.62</v>
      </c>
      <c r="M243" s="2">
        <v>-83.82</v>
      </c>
      <c r="N243" t="s">
        <v>1495</v>
      </c>
      <c r="O243" t="s">
        <v>1498</v>
      </c>
      <c r="P243" t="s">
        <v>1501</v>
      </c>
    </row>
    <row r="244" spans="1:16" x14ac:dyDescent="0.3">
      <c r="A244">
        <v>243</v>
      </c>
      <c r="B244" t="s">
        <v>242</v>
      </c>
      <c r="C244">
        <v>1</v>
      </c>
      <c r="D244" s="1">
        <v>45472</v>
      </c>
      <c r="F244" t="s">
        <v>1032</v>
      </c>
      <c r="G244" t="s">
        <v>1413</v>
      </c>
      <c r="H244" t="s">
        <v>1480</v>
      </c>
      <c r="I244">
        <v>1</v>
      </c>
      <c r="J244" s="2">
        <v>771.89</v>
      </c>
      <c r="K244" s="3">
        <v>0</v>
      </c>
      <c r="L244" s="2">
        <v>771.89</v>
      </c>
      <c r="M244" s="2">
        <v>220.44</v>
      </c>
      <c r="N244" t="s">
        <v>1494</v>
      </c>
      <c r="O244" t="s">
        <v>1498</v>
      </c>
      <c r="P244" t="s">
        <v>1503</v>
      </c>
    </row>
    <row r="245" spans="1:16" x14ac:dyDescent="0.3">
      <c r="A245">
        <v>244</v>
      </c>
      <c r="B245" t="s">
        <v>243</v>
      </c>
      <c r="C245">
        <v>2</v>
      </c>
      <c r="D245" s="1">
        <v>45473</v>
      </c>
      <c r="E245" s="1">
        <v>45473</v>
      </c>
      <c r="F245" t="s">
        <v>1122</v>
      </c>
      <c r="G245" t="s">
        <v>1424</v>
      </c>
      <c r="H245" t="s">
        <v>1482</v>
      </c>
      <c r="I245">
        <v>3</v>
      </c>
      <c r="J245" s="2">
        <v>31609.79</v>
      </c>
      <c r="K245" s="3">
        <v>0</v>
      </c>
      <c r="L245" s="2">
        <v>94829.37</v>
      </c>
      <c r="M245" s="2">
        <v>10320.540000000001</v>
      </c>
      <c r="N245" t="s">
        <v>1497</v>
      </c>
      <c r="O245" t="s">
        <v>1498</v>
      </c>
      <c r="P245" t="s">
        <v>1501</v>
      </c>
    </row>
    <row r="246" spans="1:16" x14ac:dyDescent="0.3">
      <c r="A246">
        <v>245</v>
      </c>
      <c r="B246" t="s">
        <v>244</v>
      </c>
      <c r="C246">
        <v>1</v>
      </c>
      <c r="D246" s="1">
        <v>45474</v>
      </c>
      <c r="E246" s="1">
        <v>45475</v>
      </c>
      <c r="F246" t="s">
        <v>998</v>
      </c>
      <c r="G246" t="s">
        <v>1409</v>
      </c>
      <c r="H246" t="s">
        <v>1480</v>
      </c>
      <c r="I246">
        <v>1</v>
      </c>
      <c r="J246" s="2">
        <v>10956.72</v>
      </c>
      <c r="K246" s="3">
        <v>0.1</v>
      </c>
      <c r="L246" s="2">
        <v>9861.0499999999993</v>
      </c>
      <c r="M246" s="2">
        <v>1216.33</v>
      </c>
      <c r="N246" t="s">
        <v>1496</v>
      </c>
      <c r="O246" t="s">
        <v>1498</v>
      </c>
      <c r="P246" t="s">
        <v>1501</v>
      </c>
    </row>
    <row r="247" spans="1:16" x14ac:dyDescent="0.3">
      <c r="A247">
        <v>246</v>
      </c>
      <c r="B247" t="s">
        <v>245</v>
      </c>
      <c r="C247">
        <v>1</v>
      </c>
      <c r="D247" s="1">
        <v>45475</v>
      </c>
      <c r="E247" s="1">
        <v>45476</v>
      </c>
      <c r="F247" t="s">
        <v>1123</v>
      </c>
      <c r="G247" t="s">
        <v>1404</v>
      </c>
      <c r="H247" t="s">
        <v>1492</v>
      </c>
      <c r="I247">
        <v>1</v>
      </c>
      <c r="J247" s="2">
        <v>44125.88</v>
      </c>
      <c r="K247" s="3">
        <v>0.2</v>
      </c>
      <c r="L247" s="2">
        <v>35300.699999999997</v>
      </c>
      <c r="M247" s="2">
        <v>986.01</v>
      </c>
      <c r="N247" t="s">
        <v>1497</v>
      </c>
      <c r="O247" t="s">
        <v>1499</v>
      </c>
      <c r="P247" t="s">
        <v>1501</v>
      </c>
    </row>
    <row r="248" spans="1:16" x14ac:dyDescent="0.3">
      <c r="A248">
        <v>247</v>
      </c>
      <c r="B248" t="s">
        <v>246</v>
      </c>
      <c r="C248">
        <v>2</v>
      </c>
      <c r="D248" s="1">
        <v>45476</v>
      </c>
      <c r="E248" s="1">
        <v>45477</v>
      </c>
      <c r="F248" t="s">
        <v>1124</v>
      </c>
      <c r="G248" t="s">
        <v>1437</v>
      </c>
      <c r="H248" t="s">
        <v>1480</v>
      </c>
      <c r="I248">
        <v>1</v>
      </c>
      <c r="J248" s="2">
        <v>53802.83</v>
      </c>
      <c r="K248" s="3">
        <v>0</v>
      </c>
      <c r="L248" s="2">
        <v>53802.83</v>
      </c>
      <c r="M248" s="2">
        <v>6838.86</v>
      </c>
      <c r="N248" t="s">
        <v>1496</v>
      </c>
      <c r="O248" t="s">
        <v>1499</v>
      </c>
      <c r="P248" t="s">
        <v>1501</v>
      </c>
    </row>
    <row r="249" spans="1:16" x14ac:dyDescent="0.3">
      <c r="A249">
        <v>248</v>
      </c>
      <c r="B249" t="s">
        <v>247</v>
      </c>
      <c r="C249">
        <v>1</v>
      </c>
      <c r="D249" s="1">
        <v>45477</v>
      </c>
      <c r="E249" s="1">
        <v>45477</v>
      </c>
      <c r="F249" t="s">
        <v>1125</v>
      </c>
      <c r="G249" t="s">
        <v>1418</v>
      </c>
      <c r="H249" t="s">
        <v>1490</v>
      </c>
      <c r="I249">
        <v>1</v>
      </c>
      <c r="J249" s="2">
        <v>30604.9</v>
      </c>
      <c r="K249" s="3">
        <v>0</v>
      </c>
      <c r="L249" s="2">
        <v>30604.9</v>
      </c>
      <c r="M249" s="2">
        <v>7928.17</v>
      </c>
      <c r="N249" t="s">
        <v>1497</v>
      </c>
      <c r="O249" t="s">
        <v>1498</v>
      </c>
      <c r="P249" t="s">
        <v>1501</v>
      </c>
    </row>
    <row r="250" spans="1:16" x14ac:dyDescent="0.3">
      <c r="A250">
        <v>249</v>
      </c>
      <c r="B250" t="s">
        <v>248</v>
      </c>
      <c r="C250">
        <v>1</v>
      </c>
      <c r="D250" s="1">
        <v>45477</v>
      </c>
      <c r="E250" s="1">
        <v>45477</v>
      </c>
      <c r="F250" t="s">
        <v>1125</v>
      </c>
      <c r="G250" t="s">
        <v>1378</v>
      </c>
      <c r="H250" t="s">
        <v>1478</v>
      </c>
      <c r="I250">
        <v>2</v>
      </c>
      <c r="J250" s="2">
        <v>1378.78</v>
      </c>
      <c r="K250" s="3">
        <v>0.15</v>
      </c>
      <c r="L250" s="2">
        <v>2343.9299999999998</v>
      </c>
      <c r="M250" s="2">
        <v>-60.31</v>
      </c>
      <c r="N250" t="s">
        <v>1495</v>
      </c>
      <c r="O250" t="s">
        <v>1498</v>
      </c>
      <c r="P250" t="s">
        <v>1501</v>
      </c>
    </row>
    <row r="251" spans="1:16" x14ac:dyDescent="0.3">
      <c r="A251">
        <v>250</v>
      </c>
      <c r="B251" t="s">
        <v>249</v>
      </c>
      <c r="C251">
        <v>1</v>
      </c>
      <c r="D251" s="1">
        <v>45480</v>
      </c>
      <c r="E251" s="1">
        <v>45481</v>
      </c>
      <c r="F251" t="s">
        <v>1126</v>
      </c>
      <c r="G251" t="s">
        <v>1362</v>
      </c>
      <c r="H251" t="s">
        <v>1491</v>
      </c>
      <c r="I251">
        <v>1</v>
      </c>
      <c r="J251" s="2">
        <v>375.5</v>
      </c>
      <c r="K251" s="3">
        <v>0</v>
      </c>
      <c r="L251" s="2">
        <v>375.5</v>
      </c>
      <c r="M251" s="2">
        <v>146.15</v>
      </c>
      <c r="N251" t="s">
        <v>1495</v>
      </c>
      <c r="O251" t="s">
        <v>1498</v>
      </c>
      <c r="P251" t="s">
        <v>1501</v>
      </c>
    </row>
    <row r="252" spans="1:16" x14ac:dyDescent="0.3">
      <c r="A252">
        <v>251</v>
      </c>
      <c r="B252" t="s">
        <v>250</v>
      </c>
      <c r="C252">
        <v>1</v>
      </c>
      <c r="D252" s="1">
        <v>45480</v>
      </c>
      <c r="E252" s="1">
        <v>45481</v>
      </c>
      <c r="F252" t="s">
        <v>992</v>
      </c>
      <c r="G252" t="s">
        <v>1449</v>
      </c>
      <c r="H252" t="s">
        <v>1480</v>
      </c>
      <c r="I252">
        <v>2</v>
      </c>
      <c r="J252" s="2">
        <v>22795.96</v>
      </c>
      <c r="K252" s="3">
        <v>0</v>
      </c>
      <c r="L252" s="2">
        <v>45591.92</v>
      </c>
      <c r="M252" s="2">
        <v>10194.620000000001</v>
      </c>
      <c r="N252" t="s">
        <v>1496</v>
      </c>
      <c r="O252" t="s">
        <v>1498</v>
      </c>
      <c r="P252" t="s">
        <v>1501</v>
      </c>
    </row>
    <row r="253" spans="1:16" x14ac:dyDescent="0.3">
      <c r="A253">
        <v>252</v>
      </c>
      <c r="B253" t="s">
        <v>251</v>
      </c>
      <c r="C253">
        <v>1</v>
      </c>
      <c r="D253" s="1">
        <v>45480</v>
      </c>
      <c r="E253" s="1">
        <v>45480</v>
      </c>
      <c r="F253" t="s">
        <v>1127</v>
      </c>
      <c r="G253" t="s">
        <v>1331</v>
      </c>
      <c r="H253" t="s">
        <v>1478</v>
      </c>
      <c r="I253">
        <v>1</v>
      </c>
      <c r="J253" s="2">
        <v>1520.12</v>
      </c>
      <c r="K253" s="3">
        <v>0.15</v>
      </c>
      <c r="L253" s="2">
        <v>1292.0999999999999</v>
      </c>
      <c r="M253" s="2">
        <v>319.67</v>
      </c>
      <c r="N253" t="s">
        <v>1496</v>
      </c>
      <c r="O253" t="s">
        <v>1498</v>
      </c>
      <c r="P253" t="s">
        <v>1501</v>
      </c>
    </row>
    <row r="254" spans="1:16" x14ac:dyDescent="0.3">
      <c r="A254">
        <v>253</v>
      </c>
      <c r="B254" t="s">
        <v>252</v>
      </c>
      <c r="C254">
        <v>2</v>
      </c>
      <c r="D254" s="1">
        <v>45480</v>
      </c>
      <c r="E254" s="1">
        <v>45483</v>
      </c>
      <c r="F254" t="s">
        <v>986</v>
      </c>
      <c r="G254" t="s">
        <v>1391</v>
      </c>
      <c r="H254" t="s">
        <v>1480</v>
      </c>
      <c r="I254">
        <v>1</v>
      </c>
      <c r="J254" s="2">
        <v>1624.5</v>
      </c>
      <c r="K254" s="3">
        <v>0</v>
      </c>
      <c r="L254" s="2">
        <v>1624.5</v>
      </c>
      <c r="M254" s="2">
        <v>536.88</v>
      </c>
      <c r="N254" t="s">
        <v>1496</v>
      </c>
      <c r="O254" t="s">
        <v>1498</v>
      </c>
      <c r="P254" t="s">
        <v>1501</v>
      </c>
    </row>
    <row r="255" spans="1:16" x14ac:dyDescent="0.3">
      <c r="A255">
        <v>254</v>
      </c>
      <c r="B255" t="s">
        <v>253</v>
      </c>
      <c r="C255">
        <v>1</v>
      </c>
      <c r="D255" s="1">
        <v>45482</v>
      </c>
      <c r="E255" s="1">
        <v>45482</v>
      </c>
      <c r="F255" t="s">
        <v>989</v>
      </c>
      <c r="G255" t="s">
        <v>1448</v>
      </c>
      <c r="H255" t="s">
        <v>1478</v>
      </c>
      <c r="I255">
        <v>1</v>
      </c>
      <c r="J255" s="2">
        <v>579.75</v>
      </c>
      <c r="K255" s="3">
        <v>0</v>
      </c>
      <c r="L255" s="2">
        <v>579.75</v>
      </c>
      <c r="M255" s="2">
        <v>188.26</v>
      </c>
      <c r="N255" t="s">
        <v>1494</v>
      </c>
      <c r="O255" t="s">
        <v>1498</v>
      </c>
      <c r="P255" t="s">
        <v>1501</v>
      </c>
    </row>
    <row r="256" spans="1:16" x14ac:dyDescent="0.3">
      <c r="A256">
        <v>255</v>
      </c>
      <c r="B256" t="s">
        <v>253</v>
      </c>
      <c r="C256">
        <v>2</v>
      </c>
      <c r="D256" s="1">
        <v>45482</v>
      </c>
      <c r="E256" s="1">
        <v>45482</v>
      </c>
      <c r="F256" t="s">
        <v>989</v>
      </c>
      <c r="G256" t="s">
        <v>1387</v>
      </c>
      <c r="H256" t="s">
        <v>1478</v>
      </c>
      <c r="I256">
        <v>1</v>
      </c>
      <c r="J256" s="2">
        <v>2184.2199999999998</v>
      </c>
      <c r="K256" s="3">
        <v>0</v>
      </c>
      <c r="L256" s="2">
        <v>2184.2199999999998</v>
      </c>
      <c r="M256" s="2">
        <v>542.11</v>
      </c>
      <c r="N256" t="s">
        <v>1494</v>
      </c>
      <c r="O256" t="s">
        <v>1498</v>
      </c>
      <c r="P256" t="s">
        <v>1501</v>
      </c>
    </row>
    <row r="257" spans="1:16" x14ac:dyDescent="0.3">
      <c r="A257">
        <v>256</v>
      </c>
      <c r="B257" t="s">
        <v>254</v>
      </c>
      <c r="C257">
        <v>1</v>
      </c>
      <c r="D257" s="1">
        <v>45482</v>
      </c>
      <c r="E257" s="1">
        <v>45484</v>
      </c>
      <c r="F257" t="s">
        <v>965</v>
      </c>
      <c r="G257" t="s">
        <v>1406</v>
      </c>
      <c r="H257" t="s">
        <v>1480</v>
      </c>
      <c r="I257">
        <v>3</v>
      </c>
      <c r="J257" s="2">
        <v>150.38</v>
      </c>
      <c r="K257" s="3">
        <v>0</v>
      </c>
      <c r="L257" s="2">
        <v>451.14</v>
      </c>
      <c r="M257" s="2">
        <v>145.83000000000001</v>
      </c>
      <c r="N257" t="s">
        <v>1495</v>
      </c>
      <c r="O257" t="s">
        <v>1498</v>
      </c>
      <c r="P257" t="s">
        <v>1501</v>
      </c>
    </row>
    <row r="258" spans="1:16" x14ac:dyDescent="0.3">
      <c r="A258">
        <v>257</v>
      </c>
      <c r="B258" t="s">
        <v>255</v>
      </c>
      <c r="C258">
        <v>1</v>
      </c>
      <c r="D258" s="1">
        <v>45483</v>
      </c>
      <c r="E258" s="1">
        <v>45484</v>
      </c>
      <c r="F258" t="s">
        <v>1052</v>
      </c>
      <c r="G258" t="s">
        <v>1450</v>
      </c>
      <c r="H258" t="s">
        <v>1480</v>
      </c>
      <c r="I258">
        <v>1</v>
      </c>
      <c r="J258" s="2">
        <v>7983.56</v>
      </c>
      <c r="K258" s="3">
        <v>0.15</v>
      </c>
      <c r="L258" s="2">
        <v>6786.03</v>
      </c>
      <c r="M258" s="2">
        <v>770.82</v>
      </c>
      <c r="N258" t="s">
        <v>1496</v>
      </c>
      <c r="O258" t="s">
        <v>1499</v>
      </c>
      <c r="P258" t="s">
        <v>1501</v>
      </c>
    </row>
    <row r="259" spans="1:16" x14ac:dyDescent="0.3">
      <c r="A259">
        <v>258</v>
      </c>
      <c r="B259" t="s">
        <v>256</v>
      </c>
      <c r="C259">
        <v>1</v>
      </c>
      <c r="D259" s="1">
        <v>45484</v>
      </c>
      <c r="E259" s="1">
        <v>45487</v>
      </c>
      <c r="F259" t="s">
        <v>1128</v>
      </c>
      <c r="G259" t="s">
        <v>1393</v>
      </c>
      <c r="H259" t="s">
        <v>1480</v>
      </c>
      <c r="I259">
        <v>2</v>
      </c>
      <c r="J259" s="2">
        <v>3230.07</v>
      </c>
      <c r="K259" s="3">
        <v>0</v>
      </c>
      <c r="L259" s="2">
        <v>6460.14</v>
      </c>
      <c r="M259" s="2">
        <v>2723.04</v>
      </c>
      <c r="N259" t="s">
        <v>1496</v>
      </c>
      <c r="O259" t="s">
        <v>1498</v>
      </c>
      <c r="P259" t="s">
        <v>1501</v>
      </c>
    </row>
    <row r="260" spans="1:16" x14ac:dyDescent="0.3">
      <c r="A260">
        <v>259</v>
      </c>
      <c r="B260" t="s">
        <v>257</v>
      </c>
      <c r="C260">
        <v>1</v>
      </c>
      <c r="D260" s="1">
        <v>45484</v>
      </c>
      <c r="E260" s="1">
        <v>45484</v>
      </c>
      <c r="F260" t="s">
        <v>1129</v>
      </c>
      <c r="G260" t="s">
        <v>1340</v>
      </c>
      <c r="H260" t="s">
        <v>1481</v>
      </c>
      <c r="I260">
        <v>1</v>
      </c>
      <c r="J260" s="2">
        <v>5570.6</v>
      </c>
      <c r="K260" s="3">
        <v>0.1</v>
      </c>
      <c r="L260" s="2">
        <v>5013.54</v>
      </c>
      <c r="M260" s="2">
        <v>946.01</v>
      </c>
      <c r="N260" t="s">
        <v>1496</v>
      </c>
      <c r="O260" t="s">
        <v>1499</v>
      </c>
      <c r="P260" t="s">
        <v>1502</v>
      </c>
    </row>
    <row r="261" spans="1:16" x14ac:dyDescent="0.3">
      <c r="A261">
        <v>260</v>
      </c>
      <c r="B261" t="s">
        <v>258</v>
      </c>
      <c r="C261">
        <v>1</v>
      </c>
      <c r="D261" s="1">
        <v>45485</v>
      </c>
      <c r="E261" s="1">
        <v>45486</v>
      </c>
      <c r="F261" t="s">
        <v>1130</v>
      </c>
      <c r="G261" t="s">
        <v>1392</v>
      </c>
      <c r="H261" t="s">
        <v>1481</v>
      </c>
      <c r="I261">
        <v>2</v>
      </c>
      <c r="J261" s="2">
        <v>17688.330000000002</v>
      </c>
      <c r="K261" s="3">
        <v>0</v>
      </c>
      <c r="L261" s="2">
        <v>35376.660000000003</v>
      </c>
      <c r="M261" s="2">
        <v>5807.78</v>
      </c>
      <c r="N261" t="s">
        <v>1495</v>
      </c>
      <c r="O261" t="s">
        <v>1498</v>
      </c>
      <c r="P261" t="s">
        <v>1501</v>
      </c>
    </row>
    <row r="262" spans="1:16" x14ac:dyDescent="0.3">
      <c r="A262">
        <v>261</v>
      </c>
      <c r="B262" t="s">
        <v>259</v>
      </c>
      <c r="C262">
        <v>1</v>
      </c>
      <c r="D262" s="1">
        <v>45486</v>
      </c>
      <c r="E262" s="1">
        <v>45487</v>
      </c>
      <c r="F262" t="s">
        <v>1131</v>
      </c>
      <c r="G262" t="s">
        <v>1402</v>
      </c>
      <c r="H262" t="s">
        <v>1485</v>
      </c>
      <c r="I262">
        <v>1</v>
      </c>
      <c r="J262" s="2">
        <v>1419.44</v>
      </c>
      <c r="K262" s="3">
        <v>0</v>
      </c>
      <c r="L262" s="2">
        <v>1419.44</v>
      </c>
      <c r="M262" s="2">
        <v>106.94</v>
      </c>
      <c r="N262" t="s">
        <v>1496</v>
      </c>
      <c r="O262" t="s">
        <v>1498</v>
      </c>
      <c r="P262" t="s">
        <v>1501</v>
      </c>
    </row>
    <row r="263" spans="1:16" x14ac:dyDescent="0.3">
      <c r="A263">
        <v>262</v>
      </c>
      <c r="B263" t="s">
        <v>260</v>
      </c>
      <c r="C263">
        <v>1</v>
      </c>
      <c r="D263" s="1">
        <v>45487</v>
      </c>
      <c r="E263" s="1">
        <v>45488</v>
      </c>
      <c r="F263" t="s">
        <v>1132</v>
      </c>
      <c r="G263" t="s">
        <v>1380</v>
      </c>
      <c r="H263" t="s">
        <v>1492</v>
      </c>
      <c r="I263">
        <v>2</v>
      </c>
      <c r="J263" s="2">
        <v>694.66</v>
      </c>
      <c r="K263" s="3">
        <v>0.1</v>
      </c>
      <c r="L263" s="2">
        <v>1250.3900000000001</v>
      </c>
      <c r="M263" s="2">
        <v>45.21</v>
      </c>
      <c r="N263" t="s">
        <v>1496</v>
      </c>
      <c r="O263" t="s">
        <v>1498</v>
      </c>
      <c r="P263" t="s">
        <v>1501</v>
      </c>
    </row>
    <row r="264" spans="1:16" x14ac:dyDescent="0.3">
      <c r="A264">
        <v>263</v>
      </c>
      <c r="B264" t="s">
        <v>261</v>
      </c>
      <c r="C264">
        <v>1</v>
      </c>
      <c r="D264" s="1">
        <v>45488</v>
      </c>
      <c r="E264" s="1">
        <v>45489</v>
      </c>
      <c r="F264" t="s">
        <v>998</v>
      </c>
      <c r="G264" t="s">
        <v>1416</v>
      </c>
      <c r="H264" t="s">
        <v>1480</v>
      </c>
      <c r="I264">
        <v>1</v>
      </c>
      <c r="J264" s="2">
        <v>1404.87</v>
      </c>
      <c r="K264" s="3">
        <v>0.05</v>
      </c>
      <c r="L264" s="2">
        <v>1334.63</v>
      </c>
      <c r="M264" s="2">
        <v>109.63</v>
      </c>
      <c r="N264" t="s">
        <v>1495</v>
      </c>
      <c r="O264" t="s">
        <v>1498</v>
      </c>
      <c r="P264" t="s">
        <v>1501</v>
      </c>
    </row>
    <row r="265" spans="1:16" x14ac:dyDescent="0.3">
      <c r="A265">
        <v>264</v>
      </c>
      <c r="B265" t="s">
        <v>262</v>
      </c>
      <c r="C265">
        <v>1</v>
      </c>
      <c r="D265" s="1">
        <v>45488</v>
      </c>
      <c r="E265" s="1">
        <v>45488</v>
      </c>
      <c r="F265" t="s">
        <v>1133</v>
      </c>
      <c r="G265" t="s">
        <v>1408</v>
      </c>
      <c r="H265" t="s">
        <v>1481</v>
      </c>
      <c r="I265">
        <v>1</v>
      </c>
      <c r="J265" s="2">
        <v>3284.39</v>
      </c>
      <c r="K265" s="3">
        <v>0.15</v>
      </c>
      <c r="L265" s="2">
        <v>2791.73</v>
      </c>
      <c r="M265" s="2">
        <v>395.22</v>
      </c>
      <c r="N265" t="s">
        <v>1495</v>
      </c>
      <c r="O265" t="s">
        <v>1498</v>
      </c>
      <c r="P265" t="s">
        <v>1501</v>
      </c>
    </row>
    <row r="266" spans="1:16" x14ac:dyDescent="0.3">
      <c r="A266">
        <v>265</v>
      </c>
      <c r="B266" t="s">
        <v>263</v>
      </c>
      <c r="C266">
        <v>1</v>
      </c>
      <c r="D266" s="1">
        <v>45489</v>
      </c>
      <c r="F266" t="s">
        <v>1134</v>
      </c>
      <c r="G266" t="s">
        <v>1360</v>
      </c>
      <c r="H266" t="s">
        <v>1480</v>
      </c>
      <c r="I266">
        <v>2</v>
      </c>
      <c r="J266" s="2">
        <v>1166.3499999999999</v>
      </c>
      <c r="K266" s="3">
        <v>0</v>
      </c>
      <c r="L266" s="2">
        <v>2332.6999999999998</v>
      </c>
      <c r="M266" s="2">
        <v>273.22000000000003</v>
      </c>
      <c r="N266" t="s">
        <v>1494</v>
      </c>
      <c r="O266" t="s">
        <v>1498</v>
      </c>
      <c r="P266" t="s">
        <v>1503</v>
      </c>
    </row>
    <row r="267" spans="1:16" x14ac:dyDescent="0.3">
      <c r="A267">
        <v>266</v>
      </c>
      <c r="B267" t="s">
        <v>264</v>
      </c>
      <c r="C267">
        <v>1</v>
      </c>
      <c r="D267" s="1">
        <v>45491</v>
      </c>
      <c r="E267" s="1">
        <v>45491</v>
      </c>
      <c r="F267" t="s">
        <v>1100</v>
      </c>
      <c r="G267" t="s">
        <v>1431</v>
      </c>
      <c r="H267" t="s">
        <v>1481</v>
      </c>
      <c r="I267">
        <v>2</v>
      </c>
      <c r="J267" s="2">
        <v>9677.85</v>
      </c>
      <c r="K267" s="3">
        <v>0</v>
      </c>
      <c r="L267" s="2">
        <v>19355.7</v>
      </c>
      <c r="M267" s="2">
        <v>3804.34</v>
      </c>
      <c r="N267" t="s">
        <v>1494</v>
      </c>
      <c r="O267" t="s">
        <v>1499</v>
      </c>
      <c r="P267" t="s">
        <v>1501</v>
      </c>
    </row>
    <row r="268" spans="1:16" x14ac:dyDescent="0.3">
      <c r="A268">
        <v>267</v>
      </c>
      <c r="B268" t="s">
        <v>265</v>
      </c>
      <c r="C268">
        <v>1</v>
      </c>
      <c r="D268" s="1">
        <v>45491</v>
      </c>
      <c r="E268" s="1">
        <v>45494</v>
      </c>
      <c r="F268" t="s">
        <v>969</v>
      </c>
      <c r="G268" t="s">
        <v>1433</v>
      </c>
      <c r="H268" t="s">
        <v>1480</v>
      </c>
      <c r="I268">
        <v>2</v>
      </c>
      <c r="J268" s="2">
        <v>2067.91</v>
      </c>
      <c r="K268" s="3">
        <v>0</v>
      </c>
      <c r="L268" s="2">
        <v>4135.82</v>
      </c>
      <c r="M268" s="2">
        <v>1152.96</v>
      </c>
      <c r="N268" t="s">
        <v>1496</v>
      </c>
      <c r="O268" t="s">
        <v>1500</v>
      </c>
      <c r="P268" t="s">
        <v>1501</v>
      </c>
    </row>
    <row r="269" spans="1:16" x14ac:dyDescent="0.3">
      <c r="A269">
        <v>268</v>
      </c>
      <c r="B269" t="s">
        <v>266</v>
      </c>
      <c r="C269">
        <v>2</v>
      </c>
      <c r="D269" s="1">
        <v>45491</v>
      </c>
      <c r="E269" s="1">
        <v>45492</v>
      </c>
      <c r="F269" t="s">
        <v>1135</v>
      </c>
      <c r="G269" t="s">
        <v>1348</v>
      </c>
      <c r="H269" t="s">
        <v>1484</v>
      </c>
      <c r="I269">
        <v>1</v>
      </c>
      <c r="J269" s="2">
        <v>921.12</v>
      </c>
      <c r="K269" s="3">
        <v>0</v>
      </c>
      <c r="L269" s="2">
        <v>921.12</v>
      </c>
      <c r="M269" s="2">
        <v>383.08</v>
      </c>
      <c r="N269" t="s">
        <v>1496</v>
      </c>
      <c r="O269" t="s">
        <v>1498</v>
      </c>
      <c r="P269" t="s">
        <v>1501</v>
      </c>
    </row>
    <row r="270" spans="1:16" x14ac:dyDescent="0.3">
      <c r="A270">
        <v>269</v>
      </c>
      <c r="B270" t="s">
        <v>267</v>
      </c>
      <c r="C270">
        <v>1</v>
      </c>
      <c r="D270" s="1">
        <v>45492</v>
      </c>
      <c r="E270" s="1">
        <v>45495</v>
      </c>
      <c r="F270" t="s">
        <v>1136</v>
      </c>
      <c r="G270" t="s">
        <v>1382</v>
      </c>
      <c r="H270" t="s">
        <v>1480</v>
      </c>
      <c r="I270">
        <v>3</v>
      </c>
      <c r="J270" s="2">
        <v>561.82000000000005</v>
      </c>
      <c r="K270" s="3">
        <v>0</v>
      </c>
      <c r="L270" s="2">
        <v>1685.46</v>
      </c>
      <c r="M270" s="2">
        <v>137.28</v>
      </c>
      <c r="N270" t="s">
        <v>1494</v>
      </c>
      <c r="O270" t="s">
        <v>1498</v>
      </c>
      <c r="P270" t="s">
        <v>1501</v>
      </c>
    </row>
    <row r="271" spans="1:16" x14ac:dyDescent="0.3">
      <c r="A271">
        <v>270</v>
      </c>
      <c r="B271" t="s">
        <v>268</v>
      </c>
      <c r="C271">
        <v>1</v>
      </c>
      <c r="D271" s="1">
        <v>45492</v>
      </c>
      <c r="E271" s="1">
        <v>45493</v>
      </c>
      <c r="F271" t="s">
        <v>1137</v>
      </c>
      <c r="G271" t="s">
        <v>1451</v>
      </c>
      <c r="H271" t="s">
        <v>1489</v>
      </c>
      <c r="I271">
        <v>1</v>
      </c>
      <c r="J271" s="2">
        <v>43188.76</v>
      </c>
      <c r="K271" s="3">
        <v>0.15</v>
      </c>
      <c r="L271" s="2">
        <v>36710.449999999997</v>
      </c>
      <c r="M271" s="2">
        <v>3703.84</v>
      </c>
      <c r="N271" t="s">
        <v>1497</v>
      </c>
      <c r="O271" t="s">
        <v>1498</v>
      </c>
      <c r="P271" t="s">
        <v>1501</v>
      </c>
    </row>
    <row r="272" spans="1:16" x14ac:dyDescent="0.3">
      <c r="A272">
        <v>271</v>
      </c>
      <c r="B272" t="s">
        <v>268</v>
      </c>
      <c r="C272">
        <v>2</v>
      </c>
      <c r="D272" s="1">
        <v>45492</v>
      </c>
      <c r="E272" s="1">
        <v>45493</v>
      </c>
      <c r="F272" t="s">
        <v>1137</v>
      </c>
      <c r="G272" t="s">
        <v>1425</v>
      </c>
      <c r="H272" t="s">
        <v>1489</v>
      </c>
      <c r="I272">
        <v>2</v>
      </c>
      <c r="J272" s="2">
        <v>6347.66</v>
      </c>
      <c r="K272" s="3">
        <v>0</v>
      </c>
      <c r="L272" s="2">
        <v>12695.32</v>
      </c>
      <c r="M272" s="2">
        <v>3486.98</v>
      </c>
      <c r="N272" t="s">
        <v>1497</v>
      </c>
      <c r="O272" t="s">
        <v>1498</v>
      </c>
      <c r="P272" t="s">
        <v>1501</v>
      </c>
    </row>
    <row r="273" spans="1:16" x14ac:dyDescent="0.3">
      <c r="A273">
        <v>272</v>
      </c>
      <c r="B273" t="s">
        <v>268</v>
      </c>
      <c r="C273">
        <v>3</v>
      </c>
      <c r="D273" s="1">
        <v>45492</v>
      </c>
      <c r="E273" s="1">
        <v>45493</v>
      </c>
      <c r="F273" t="s">
        <v>1137</v>
      </c>
      <c r="G273" t="s">
        <v>1332</v>
      </c>
      <c r="H273" t="s">
        <v>1489</v>
      </c>
      <c r="I273">
        <v>1</v>
      </c>
      <c r="J273" s="2">
        <v>45652.65</v>
      </c>
      <c r="K273" s="3">
        <v>0</v>
      </c>
      <c r="L273" s="2">
        <v>45652.65</v>
      </c>
      <c r="M273" s="2">
        <v>7144.63</v>
      </c>
      <c r="N273" t="s">
        <v>1497</v>
      </c>
      <c r="O273" t="s">
        <v>1498</v>
      </c>
      <c r="P273" t="s">
        <v>1501</v>
      </c>
    </row>
    <row r="274" spans="1:16" x14ac:dyDescent="0.3">
      <c r="A274">
        <v>273</v>
      </c>
      <c r="B274" t="s">
        <v>269</v>
      </c>
      <c r="C274">
        <v>1</v>
      </c>
      <c r="D274" s="1">
        <v>45492</v>
      </c>
      <c r="E274" s="1">
        <v>45493</v>
      </c>
      <c r="F274" t="s">
        <v>1138</v>
      </c>
      <c r="G274" t="s">
        <v>1400</v>
      </c>
      <c r="H274" t="s">
        <v>1488</v>
      </c>
      <c r="I274">
        <v>4</v>
      </c>
      <c r="J274" s="2">
        <v>36178.629999999997</v>
      </c>
      <c r="K274" s="3">
        <v>0.1</v>
      </c>
      <c r="L274" s="2">
        <v>130243.07</v>
      </c>
      <c r="M274" s="2">
        <v>9031.5499999999993</v>
      </c>
      <c r="N274" t="s">
        <v>1494</v>
      </c>
      <c r="O274" t="s">
        <v>1498</v>
      </c>
      <c r="P274" t="s">
        <v>1501</v>
      </c>
    </row>
    <row r="275" spans="1:16" x14ac:dyDescent="0.3">
      <c r="A275">
        <v>274</v>
      </c>
      <c r="B275" t="s">
        <v>270</v>
      </c>
      <c r="C275">
        <v>3</v>
      </c>
      <c r="D275" s="1">
        <v>45493</v>
      </c>
      <c r="E275" s="1">
        <v>45496</v>
      </c>
      <c r="F275" t="s">
        <v>1094</v>
      </c>
      <c r="G275" t="s">
        <v>1452</v>
      </c>
      <c r="H275" t="s">
        <v>1480</v>
      </c>
      <c r="I275">
        <v>2</v>
      </c>
      <c r="J275" s="2">
        <v>74213.429999999993</v>
      </c>
      <c r="K275" s="3">
        <v>0</v>
      </c>
      <c r="L275" s="2">
        <v>148426.85999999999</v>
      </c>
      <c r="M275" s="2">
        <v>21430.84</v>
      </c>
      <c r="N275" t="s">
        <v>1496</v>
      </c>
      <c r="O275" t="s">
        <v>1498</v>
      </c>
      <c r="P275" t="s">
        <v>1502</v>
      </c>
    </row>
    <row r="276" spans="1:16" x14ac:dyDescent="0.3">
      <c r="A276">
        <v>275</v>
      </c>
      <c r="B276" t="s">
        <v>271</v>
      </c>
      <c r="C276">
        <v>1</v>
      </c>
      <c r="D276" s="1">
        <v>45494</v>
      </c>
      <c r="E276" s="1">
        <v>45496</v>
      </c>
      <c r="F276" t="s">
        <v>1017</v>
      </c>
      <c r="G276" t="s">
        <v>1335</v>
      </c>
      <c r="H276" t="s">
        <v>1480</v>
      </c>
      <c r="I276">
        <v>1</v>
      </c>
      <c r="J276" s="2">
        <v>2828.96</v>
      </c>
      <c r="K276" s="3">
        <v>0</v>
      </c>
      <c r="L276" s="2">
        <v>2828.96</v>
      </c>
      <c r="M276" s="2">
        <v>608.97</v>
      </c>
      <c r="N276" t="s">
        <v>1497</v>
      </c>
      <c r="O276" t="s">
        <v>1499</v>
      </c>
      <c r="P276" t="s">
        <v>1501</v>
      </c>
    </row>
    <row r="277" spans="1:16" x14ac:dyDescent="0.3">
      <c r="A277">
        <v>276</v>
      </c>
      <c r="B277" t="s">
        <v>272</v>
      </c>
      <c r="C277">
        <v>2</v>
      </c>
      <c r="D277" s="1">
        <v>45495</v>
      </c>
      <c r="E277" s="1">
        <v>45496</v>
      </c>
      <c r="F277" t="s">
        <v>1139</v>
      </c>
      <c r="G277" t="s">
        <v>1439</v>
      </c>
      <c r="H277" t="s">
        <v>1487</v>
      </c>
      <c r="I277">
        <v>1</v>
      </c>
      <c r="J277" s="2">
        <v>2679.96</v>
      </c>
      <c r="K277" s="3">
        <v>0</v>
      </c>
      <c r="L277" s="2">
        <v>2679.96</v>
      </c>
      <c r="M277" s="2">
        <v>600.58000000000004</v>
      </c>
      <c r="N277" t="s">
        <v>1496</v>
      </c>
      <c r="O277" t="s">
        <v>1499</v>
      </c>
      <c r="P277" t="s">
        <v>1501</v>
      </c>
    </row>
    <row r="278" spans="1:16" x14ac:dyDescent="0.3">
      <c r="A278">
        <v>277</v>
      </c>
      <c r="B278" t="s">
        <v>273</v>
      </c>
      <c r="C278">
        <v>1</v>
      </c>
      <c r="D278" s="1">
        <v>45500</v>
      </c>
      <c r="E278" s="1">
        <v>45501</v>
      </c>
      <c r="F278" t="s">
        <v>1090</v>
      </c>
      <c r="G278" t="s">
        <v>1430</v>
      </c>
      <c r="H278" t="s">
        <v>1483</v>
      </c>
      <c r="I278">
        <v>1</v>
      </c>
      <c r="J278" s="2">
        <v>1148.97</v>
      </c>
      <c r="K278" s="3">
        <v>0</v>
      </c>
      <c r="L278" s="2">
        <v>1148.97</v>
      </c>
      <c r="M278" s="2">
        <v>88.53</v>
      </c>
      <c r="N278" t="s">
        <v>1496</v>
      </c>
      <c r="O278" t="s">
        <v>1499</v>
      </c>
      <c r="P278" t="s">
        <v>1501</v>
      </c>
    </row>
    <row r="279" spans="1:16" x14ac:dyDescent="0.3">
      <c r="A279">
        <v>278</v>
      </c>
      <c r="B279" t="s">
        <v>274</v>
      </c>
      <c r="C279">
        <v>1</v>
      </c>
      <c r="D279" s="1">
        <v>45501</v>
      </c>
      <c r="E279" s="1">
        <v>45502</v>
      </c>
      <c r="F279" t="s">
        <v>1094</v>
      </c>
      <c r="G279" t="s">
        <v>1453</v>
      </c>
      <c r="H279" t="s">
        <v>1489</v>
      </c>
      <c r="I279">
        <v>1</v>
      </c>
      <c r="J279" s="2">
        <v>507.34</v>
      </c>
      <c r="K279" s="3">
        <v>0</v>
      </c>
      <c r="L279" s="2">
        <v>507.34</v>
      </c>
      <c r="M279" s="2">
        <v>193.87</v>
      </c>
      <c r="N279" t="s">
        <v>1494</v>
      </c>
      <c r="O279" t="s">
        <v>1499</v>
      </c>
      <c r="P279" t="s">
        <v>1501</v>
      </c>
    </row>
    <row r="280" spans="1:16" x14ac:dyDescent="0.3">
      <c r="A280">
        <v>279</v>
      </c>
      <c r="B280" t="s">
        <v>275</v>
      </c>
      <c r="C280">
        <v>1</v>
      </c>
      <c r="D280" s="1">
        <v>45504</v>
      </c>
      <c r="E280" s="1">
        <v>45505</v>
      </c>
      <c r="F280" t="s">
        <v>1140</v>
      </c>
      <c r="G280" t="s">
        <v>1365</v>
      </c>
      <c r="H280" t="s">
        <v>1479</v>
      </c>
      <c r="I280">
        <v>1</v>
      </c>
      <c r="J280" s="2">
        <v>1749.13</v>
      </c>
      <c r="K280" s="3">
        <v>0</v>
      </c>
      <c r="L280" s="2">
        <v>1749.13</v>
      </c>
      <c r="M280" s="2">
        <v>642.97</v>
      </c>
      <c r="N280" t="s">
        <v>1495</v>
      </c>
      <c r="O280" t="s">
        <v>1498</v>
      </c>
      <c r="P280" t="s">
        <v>1501</v>
      </c>
    </row>
    <row r="281" spans="1:16" x14ac:dyDescent="0.3">
      <c r="A281">
        <v>280</v>
      </c>
      <c r="B281" t="s">
        <v>276</v>
      </c>
      <c r="C281">
        <v>1</v>
      </c>
      <c r="D281" s="1">
        <v>45504</v>
      </c>
      <c r="E281" s="1">
        <v>45505</v>
      </c>
      <c r="F281" t="s">
        <v>1141</v>
      </c>
      <c r="G281" t="s">
        <v>1438</v>
      </c>
      <c r="H281" t="s">
        <v>1480</v>
      </c>
      <c r="I281">
        <v>1</v>
      </c>
      <c r="J281" s="2">
        <v>77432.27</v>
      </c>
      <c r="K281" s="3">
        <v>0.05</v>
      </c>
      <c r="L281" s="2">
        <v>73560.66</v>
      </c>
      <c r="M281" s="2">
        <v>4845.91</v>
      </c>
      <c r="N281" t="s">
        <v>1494</v>
      </c>
      <c r="O281" t="s">
        <v>1500</v>
      </c>
      <c r="P281" t="s">
        <v>1501</v>
      </c>
    </row>
    <row r="282" spans="1:16" x14ac:dyDescent="0.3">
      <c r="A282">
        <v>281</v>
      </c>
      <c r="B282" t="s">
        <v>277</v>
      </c>
      <c r="C282">
        <v>1</v>
      </c>
      <c r="D282" s="1">
        <v>45505</v>
      </c>
      <c r="E282" s="1">
        <v>45505</v>
      </c>
      <c r="F282" t="s">
        <v>1142</v>
      </c>
      <c r="G282" t="s">
        <v>1406</v>
      </c>
      <c r="H282" t="s">
        <v>1490</v>
      </c>
      <c r="I282">
        <v>1</v>
      </c>
      <c r="J282" s="2">
        <v>150.38</v>
      </c>
      <c r="K282" s="3">
        <v>0.1</v>
      </c>
      <c r="L282" s="2">
        <v>135.34</v>
      </c>
      <c r="M282" s="2">
        <v>33.57</v>
      </c>
      <c r="N282" t="s">
        <v>1496</v>
      </c>
      <c r="O282" t="s">
        <v>1498</v>
      </c>
      <c r="P282" t="s">
        <v>1501</v>
      </c>
    </row>
    <row r="283" spans="1:16" x14ac:dyDescent="0.3">
      <c r="A283">
        <v>282</v>
      </c>
      <c r="B283" t="s">
        <v>278</v>
      </c>
      <c r="C283">
        <v>1</v>
      </c>
      <c r="D283" s="1">
        <v>45506</v>
      </c>
      <c r="E283" s="1">
        <v>45507</v>
      </c>
      <c r="F283" t="s">
        <v>1143</v>
      </c>
      <c r="G283" t="s">
        <v>1426</v>
      </c>
      <c r="H283" t="s">
        <v>1481</v>
      </c>
      <c r="I283">
        <v>1</v>
      </c>
      <c r="J283" s="2">
        <v>33135.4</v>
      </c>
      <c r="K283" s="3">
        <v>0</v>
      </c>
      <c r="L283" s="2">
        <v>33135.4</v>
      </c>
      <c r="M283" s="2">
        <v>8643.2900000000009</v>
      </c>
      <c r="N283" t="s">
        <v>1494</v>
      </c>
      <c r="O283" t="s">
        <v>1498</v>
      </c>
      <c r="P283" t="s">
        <v>1501</v>
      </c>
    </row>
    <row r="284" spans="1:16" x14ac:dyDescent="0.3">
      <c r="A284">
        <v>283</v>
      </c>
      <c r="B284" t="s">
        <v>279</v>
      </c>
      <c r="C284">
        <v>1</v>
      </c>
      <c r="D284" s="1">
        <v>45506</v>
      </c>
      <c r="E284" s="1">
        <v>45507</v>
      </c>
      <c r="F284" t="s">
        <v>968</v>
      </c>
      <c r="G284" t="s">
        <v>1427</v>
      </c>
      <c r="H284" t="s">
        <v>1480</v>
      </c>
      <c r="I284">
        <v>2</v>
      </c>
      <c r="J284" s="2">
        <v>687.56</v>
      </c>
      <c r="K284" s="3">
        <v>0</v>
      </c>
      <c r="L284" s="2">
        <v>1375.12</v>
      </c>
      <c r="M284" s="2">
        <v>470.26</v>
      </c>
      <c r="N284" t="s">
        <v>1496</v>
      </c>
      <c r="O284" t="s">
        <v>1498</v>
      </c>
      <c r="P284" t="s">
        <v>1501</v>
      </c>
    </row>
    <row r="285" spans="1:16" x14ac:dyDescent="0.3">
      <c r="A285">
        <v>284</v>
      </c>
      <c r="B285" t="s">
        <v>280</v>
      </c>
      <c r="C285">
        <v>1</v>
      </c>
      <c r="D285" s="1">
        <v>45506</v>
      </c>
      <c r="E285" s="1">
        <v>45509</v>
      </c>
      <c r="F285" t="s">
        <v>1130</v>
      </c>
      <c r="G285" t="s">
        <v>1331</v>
      </c>
      <c r="H285" t="s">
        <v>1480</v>
      </c>
      <c r="I285">
        <v>3</v>
      </c>
      <c r="J285" s="2">
        <v>1520.12</v>
      </c>
      <c r="K285" s="3">
        <v>0</v>
      </c>
      <c r="L285" s="2">
        <v>4560.3599999999997</v>
      </c>
      <c r="M285" s="2">
        <v>1643.07</v>
      </c>
      <c r="N285" t="s">
        <v>1497</v>
      </c>
      <c r="O285" t="s">
        <v>1498</v>
      </c>
      <c r="P285" t="s">
        <v>1501</v>
      </c>
    </row>
    <row r="286" spans="1:16" x14ac:dyDescent="0.3">
      <c r="A286">
        <v>285</v>
      </c>
      <c r="B286" t="s">
        <v>281</v>
      </c>
      <c r="C286">
        <v>1</v>
      </c>
      <c r="D286" s="1">
        <v>45511</v>
      </c>
      <c r="E286" s="1">
        <v>45511</v>
      </c>
      <c r="F286" t="s">
        <v>1144</v>
      </c>
      <c r="G286" t="s">
        <v>1412</v>
      </c>
      <c r="H286" t="s">
        <v>1486</v>
      </c>
      <c r="I286">
        <v>1</v>
      </c>
      <c r="J286" s="2">
        <v>78073.17</v>
      </c>
      <c r="K286" s="3">
        <v>0</v>
      </c>
      <c r="L286" s="2">
        <v>78073.17</v>
      </c>
      <c r="M286" s="2">
        <v>12188.31</v>
      </c>
      <c r="N286" t="s">
        <v>1497</v>
      </c>
      <c r="O286" t="s">
        <v>1498</v>
      </c>
      <c r="P286" t="s">
        <v>1501</v>
      </c>
    </row>
    <row r="287" spans="1:16" x14ac:dyDescent="0.3">
      <c r="A287">
        <v>286</v>
      </c>
      <c r="B287" t="s">
        <v>282</v>
      </c>
      <c r="C287">
        <v>1</v>
      </c>
      <c r="D287" s="1">
        <v>45511</v>
      </c>
      <c r="E287" s="1">
        <v>45511</v>
      </c>
      <c r="F287" t="s">
        <v>978</v>
      </c>
      <c r="G287" t="s">
        <v>1393</v>
      </c>
      <c r="H287" t="s">
        <v>1484</v>
      </c>
      <c r="I287">
        <v>2</v>
      </c>
      <c r="J287" s="2">
        <v>3230.07</v>
      </c>
      <c r="K287" s="3">
        <v>0</v>
      </c>
      <c r="L287" s="2">
        <v>6460.14</v>
      </c>
      <c r="M287" s="2">
        <v>2723.04</v>
      </c>
      <c r="N287" t="s">
        <v>1494</v>
      </c>
      <c r="O287" t="s">
        <v>1498</v>
      </c>
      <c r="P287" t="s">
        <v>1501</v>
      </c>
    </row>
    <row r="288" spans="1:16" x14ac:dyDescent="0.3">
      <c r="A288">
        <v>287</v>
      </c>
      <c r="B288" t="s">
        <v>283</v>
      </c>
      <c r="C288">
        <v>3</v>
      </c>
      <c r="D288" s="1">
        <v>45511</v>
      </c>
      <c r="E288" s="1">
        <v>45511</v>
      </c>
      <c r="F288" t="s">
        <v>1118</v>
      </c>
      <c r="G288" t="s">
        <v>1373</v>
      </c>
      <c r="H288" t="s">
        <v>1487</v>
      </c>
      <c r="I288">
        <v>1</v>
      </c>
      <c r="J288" s="2">
        <v>1404.85</v>
      </c>
      <c r="K288" s="3">
        <v>0.05</v>
      </c>
      <c r="L288" s="2">
        <v>1334.61</v>
      </c>
      <c r="M288" s="2">
        <v>61.52</v>
      </c>
      <c r="N288" t="s">
        <v>1496</v>
      </c>
      <c r="O288" t="s">
        <v>1498</v>
      </c>
      <c r="P288" t="s">
        <v>1501</v>
      </c>
    </row>
    <row r="289" spans="1:16" x14ac:dyDescent="0.3">
      <c r="A289">
        <v>288</v>
      </c>
      <c r="B289" t="s">
        <v>284</v>
      </c>
      <c r="C289">
        <v>1</v>
      </c>
      <c r="D289" s="1">
        <v>45513</v>
      </c>
      <c r="E289" s="1">
        <v>45514</v>
      </c>
      <c r="F289" t="s">
        <v>1145</v>
      </c>
      <c r="G289" t="s">
        <v>1373</v>
      </c>
      <c r="H289" t="s">
        <v>1487</v>
      </c>
      <c r="I289">
        <v>1</v>
      </c>
      <c r="J289" s="2">
        <v>1404.85</v>
      </c>
      <c r="K289" s="3">
        <v>0</v>
      </c>
      <c r="L289" s="2">
        <v>1404.85</v>
      </c>
      <c r="M289" s="2">
        <v>131.76</v>
      </c>
      <c r="N289" t="s">
        <v>1495</v>
      </c>
      <c r="O289" t="s">
        <v>1498</v>
      </c>
      <c r="P289" t="s">
        <v>1501</v>
      </c>
    </row>
    <row r="290" spans="1:16" x14ac:dyDescent="0.3">
      <c r="A290">
        <v>289</v>
      </c>
      <c r="B290" t="s">
        <v>285</v>
      </c>
      <c r="C290">
        <v>2</v>
      </c>
      <c r="D290" s="1">
        <v>45513</v>
      </c>
      <c r="E290" s="1">
        <v>45513</v>
      </c>
      <c r="F290" t="s">
        <v>1008</v>
      </c>
      <c r="G290" t="s">
        <v>1426</v>
      </c>
      <c r="H290" t="s">
        <v>1489</v>
      </c>
      <c r="I290">
        <v>3</v>
      </c>
      <c r="J290" s="2">
        <v>33135.4</v>
      </c>
      <c r="K290" s="3">
        <v>0</v>
      </c>
      <c r="L290" s="2">
        <v>99406.2</v>
      </c>
      <c r="M290" s="2">
        <v>25929.87</v>
      </c>
      <c r="N290" t="s">
        <v>1496</v>
      </c>
      <c r="O290" t="s">
        <v>1498</v>
      </c>
      <c r="P290" t="s">
        <v>1501</v>
      </c>
    </row>
    <row r="291" spans="1:16" x14ac:dyDescent="0.3">
      <c r="A291">
        <v>290</v>
      </c>
      <c r="B291" t="s">
        <v>286</v>
      </c>
      <c r="C291">
        <v>1</v>
      </c>
      <c r="D291" s="1">
        <v>45514</v>
      </c>
      <c r="E291" s="1">
        <v>45515</v>
      </c>
      <c r="F291" t="s">
        <v>1123</v>
      </c>
      <c r="G291" t="s">
        <v>1449</v>
      </c>
      <c r="H291" t="s">
        <v>1487</v>
      </c>
      <c r="I291">
        <v>2</v>
      </c>
      <c r="J291" s="2">
        <v>22795.96</v>
      </c>
      <c r="K291" s="3">
        <v>0</v>
      </c>
      <c r="L291" s="2">
        <v>45591.92</v>
      </c>
      <c r="M291" s="2">
        <v>10194.620000000001</v>
      </c>
      <c r="N291" t="s">
        <v>1496</v>
      </c>
      <c r="O291" t="s">
        <v>1499</v>
      </c>
      <c r="P291" t="s">
        <v>1501</v>
      </c>
    </row>
    <row r="292" spans="1:16" x14ac:dyDescent="0.3">
      <c r="A292">
        <v>291</v>
      </c>
      <c r="B292" t="s">
        <v>287</v>
      </c>
      <c r="C292">
        <v>1</v>
      </c>
      <c r="D292" s="1">
        <v>45514</v>
      </c>
      <c r="F292" t="s">
        <v>1003</v>
      </c>
      <c r="G292" t="s">
        <v>1358</v>
      </c>
      <c r="H292" t="s">
        <v>1486</v>
      </c>
      <c r="I292">
        <v>1</v>
      </c>
      <c r="J292" s="2">
        <v>37487.300000000003</v>
      </c>
      <c r="K292" s="3">
        <v>0.05</v>
      </c>
      <c r="L292" s="2">
        <v>35612.93</v>
      </c>
      <c r="M292" s="2">
        <v>1729.18</v>
      </c>
      <c r="N292" t="s">
        <v>1494</v>
      </c>
      <c r="O292" t="s">
        <v>1499</v>
      </c>
      <c r="P292" t="s">
        <v>1503</v>
      </c>
    </row>
    <row r="293" spans="1:16" x14ac:dyDescent="0.3">
      <c r="A293">
        <v>292</v>
      </c>
      <c r="B293" t="s">
        <v>288</v>
      </c>
      <c r="C293">
        <v>1</v>
      </c>
      <c r="D293" s="1">
        <v>45515</v>
      </c>
      <c r="E293" s="1">
        <v>45517</v>
      </c>
      <c r="F293" t="s">
        <v>1146</v>
      </c>
      <c r="G293" t="s">
        <v>1378</v>
      </c>
      <c r="H293" t="s">
        <v>1480</v>
      </c>
      <c r="I293">
        <v>1</v>
      </c>
      <c r="J293" s="2">
        <v>1378.78</v>
      </c>
      <c r="K293" s="3">
        <v>0</v>
      </c>
      <c r="L293" s="2">
        <v>1378.78</v>
      </c>
      <c r="M293" s="2">
        <v>176.66</v>
      </c>
      <c r="N293" t="s">
        <v>1495</v>
      </c>
      <c r="O293" t="s">
        <v>1499</v>
      </c>
      <c r="P293" t="s">
        <v>1502</v>
      </c>
    </row>
    <row r="294" spans="1:16" x14ac:dyDescent="0.3">
      <c r="A294">
        <v>293</v>
      </c>
      <c r="B294" t="s">
        <v>289</v>
      </c>
      <c r="C294">
        <v>2</v>
      </c>
      <c r="D294" s="1">
        <v>45515</v>
      </c>
      <c r="E294" s="1">
        <v>45515</v>
      </c>
      <c r="F294" t="s">
        <v>986</v>
      </c>
      <c r="G294" t="s">
        <v>1454</v>
      </c>
      <c r="H294" t="s">
        <v>1483</v>
      </c>
      <c r="I294">
        <v>1</v>
      </c>
      <c r="J294" s="2">
        <v>51141.75</v>
      </c>
      <c r="K294" s="3">
        <v>0</v>
      </c>
      <c r="L294" s="2">
        <v>51141.75</v>
      </c>
      <c r="M294" s="2">
        <v>6922.44</v>
      </c>
      <c r="N294" t="s">
        <v>1496</v>
      </c>
      <c r="O294" t="s">
        <v>1498</v>
      </c>
      <c r="P294" t="s">
        <v>1501</v>
      </c>
    </row>
    <row r="295" spans="1:16" x14ac:dyDescent="0.3">
      <c r="A295">
        <v>294</v>
      </c>
      <c r="B295" t="s">
        <v>290</v>
      </c>
      <c r="C295">
        <v>1</v>
      </c>
      <c r="D295" s="1">
        <v>45515</v>
      </c>
      <c r="E295" s="1">
        <v>45516</v>
      </c>
      <c r="F295" t="s">
        <v>1147</v>
      </c>
      <c r="G295" t="s">
        <v>1344</v>
      </c>
      <c r="H295" t="s">
        <v>1491</v>
      </c>
      <c r="I295">
        <v>1</v>
      </c>
      <c r="J295" s="2">
        <v>555.59</v>
      </c>
      <c r="K295" s="3">
        <v>0</v>
      </c>
      <c r="L295" s="2">
        <v>555.59</v>
      </c>
      <c r="M295" s="2">
        <v>176.49</v>
      </c>
      <c r="N295" t="s">
        <v>1493</v>
      </c>
      <c r="O295" t="s">
        <v>1499</v>
      </c>
      <c r="P295" t="s">
        <v>1502</v>
      </c>
    </row>
    <row r="296" spans="1:16" x14ac:dyDescent="0.3">
      <c r="A296">
        <v>295</v>
      </c>
      <c r="B296" t="s">
        <v>291</v>
      </c>
      <c r="C296">
        <v>2</v>
      </c>
      <c r="D296" s="1">
        <v>45516</v>
      </c>
      <c r="E296" s="1">
        <v>45517</v>
      </c>
      <c r="F296" t="s">
        <v>1148</v>
      </c>
      <c r="G296" t="s">
        <v>1416</v>
      </c>
      <c r="H296" t="s">
        <v>1481</v>
      </c>
      <c r="I296">
        <v>2</v>
      </c>
      <c r="J296" s="2">
        <v>1404.87</v>
      </c>
      <c r="K296" s="3">
        <v>0</v>
      </c>
      <c r="L296" s="2">
        <v>2809.74</v>
      </c>
      <c r="M296" s="2">
        <v>359.74</v>
      </c>
      <c r="N296" t="s">
        <v>1496</v>
      </c>
      <c r="O296" t="s">
        <v>1498</v>
      </c>
      <c r="P296" t="s">
        <v>1501</v>
      </c>
    </row>
    <row r="297" spans="1:16" x14ac:dyDescent="0.3">
      <c r="A297">
        <v>296</v>
      </c>
      <c r="B297" t="s">
        <v>292</v>
      </c>
      <c r="C297">
        <v>1</v>
      </c>
      <c r="D297" s="1">
        <v>45517</v>
      </c>
      <c r="E297" s="1">
        <v>45519</v>
      </c>
      <c r="F297" t="s">
        <v>1149</v>
      </c>
      <c r="G297" t="s">
        <v>1394</v>
      </c>
      <c r="H297" t="s">
        <v>1480</v>
      </c>
      <c r="I297">
        <v>1</v>
      </c>
      <c r="J297" s="2">
        <v>902.62</v>
      </c>
      <c r="K297" s="3">
        <v>0</v>
      </c>
      <c r="L297" s="2">
        <v>902.62</v>
      </c>
      <c r="M297" s="2">
        <v>250.99</v>
      </c>
      <c r="N297" t="s">
        <v>1494</v>
      </c>
      <c r="O297" t="s">
        <v>1499</v>
      </c>
      <c r="P297" t="s">
        <v>1501</v>
      </c>
    </row>
    <row r="298" spans="1:16" x14ac:dyDescent="0.3">
      <c r="A298">
        <v>297</v>
      </c>
      <c r="B298" t="s">
        <v>293</v>
      </c>
      <c r="C298">
        <v>2</v>
      </c>
      <c r="D298" s="1">
        <v>45519</v>
      </c>
      <c r="E298" s="1">
        <v>45520</v>
      </c>
      <c r="F298" t="s">
        <v>1092</v>
      </c>
      <c r="G298" t="s">
        <v>1392</v>
      </c>
      <c r="H298" t="s">
        <v>1478</v>
      </c>
      <c r="I298">
        <v>2</v>
      </c>
      <c r="J298" s="2">
        <v>17688.330000000002</v>
      </c>
      <c r="K298" s="3">
        <v>0</v>
      </c>
      <c r="L298" s="2">
        <v>35376.660000000003</v>
      </c>
      <c r="M298" s="2">
        <v>5807.78</v>
      </c>
      <c r="N298" t="s">
        <v>1494</v>
      </c>
      <c r="O298" t="s">
        <v>1500</v>
      </c>
      <c r="P298" t="s">
        <v>1501</v>
      </c>
    </row>
    <row r="299" spans="1:16" x14ac:dyDescent="0.3">
      <c r="A299">
        <v>298</v>
      </c>
      <c r="B299" t="s">
        <v>294</v>
      </c>
      <c r="C299">
        <v>1</v>
      </c>
      <c r="D299" s="1">
        <v>45520</v>
      </c>
      <c r="E299" s="1">
        <v>45521</v>
      </c>
      <c r="F299" t="s">
        <v>975</v>
      </c>
      <c r="G299" t="s">
        <v>1387</v>
      </c>
      <c r="H299" t="s">
        <v>1480</v>
      </c>
      <c r="I299">
        <v>2</v>
      </c>
      <c r="J299" s="2">
        <v>2184.2199999999998</v>
      </c>
      <c r="K299" s="3">
        <v>0</v>
      </c>
      <c r="L299" s="2">
        <v>4368.4399999999996</v>
      </c>
      <c r="M299" s="2">
        <v>1084.22</v>
      </c>
      <c r="N299" t="s">
        <v>1497</v>
      </c>
      <c r="O299" t="s">
        <v>1498</v>
      </c>
      <c r="P299" t="s">
        <v>1501</v>
      </c>
    </row>
    <row r="300" spans="1:16" x14ac:dyDescent="0.3">
      <c r="A300">
        <v>299</v>
      </c>
      <c r="B300" t="s">
        <v>295</v>
      </c>
      <c r="C300">
        <v>2</v>
      </c>
      <c r="D300" s="1">
        <v>45520</v>
      </c>
      <c r="E300" s="1">
        <v>45520</v>
      </c>
      <c r="F300" t="s">
        <v>1080</v>
      </c>
      <c r="G300" t="s">
        <v>1377</v>
      </c>
      <c r="H300" t="s">
        <v>1481</v>
      </c>
      <c r="I300">
        <v>1</v>
      </c>
      <c r="J300" s="2">
        <v>43870.05</v>
      </c>
      <c r="K300" s="3">
        <v>0</v>
      </c>
      <c r="L300" s="2">
        <v>43870.05</v>
      </c>
      <c r="M300" s="2">
        <v>8494.89</v>
      </c>
      <c r="N300" t="s">
        <v>1494</v>
      </c>
      <c r="O300" t="s">
        <v>1498</v>
      </c>
      <c r="P300" t="s">
        <v>1501</v>
      </c>
    </row>
    <row r="301" spans="1:16" x14ac:dyDescent="0.3">
      <c r="A301">
        <v>300</v>
      </c>
      <c r="B301" t="s">
        <v>296</v>
      </c>
      <c r="C301">
        <v>2</v>
      </c>
      <c r="D301" s="1">
        <v>45520</v>
      </c>
      <c r="E301" s="1">
        <v>45521</v>
      </c>
      <c r="F301" t="s">
        <v>1146</v>
      </c>
      <c r="G301" t="s">
        <v>1332</v>
      </c>
      <c r="H301" t="s">
        <v>1480</v>
      </c>
      <c r="I301">
        <v>1</v>
      </c>
      <c r="J301" s="2">
        <v>45652.65</v>
      </c>
      <c r="K301" s="3">
        <v>0</v>
      </c>
      <c r="L301" s="2">
        <v>45652.65</v>
      </c>
      <c r="M301" s="2">
        <v>7144.63</v>
      </c>
      <c r="N301" t="s">
        <v>1497</v>
      </c>
      <c r="O301" t="s">
        <v>1499</v>
      </c>
      <c r="P301" t="s">
        <v>1501</v>
      </c>
    </row>
    <row r="302" spans="1:16" x14ac:dyDescent="0.3">
      <c r="A302">
        <v>301</v>
      </c>
      <c r="B302" t="s">
        <v>297</v>
      </c>
      <c r="C302">
        <v>2</v>
      </c>
      <c r="D302" s="1">
        <v>45521</v>
      </c>
      <c r="E302" s="1">
        <v>45522</v>
      </c>
      <c r="F302" t="s">
        <v>1150</v>
      </c>
      <c r="G302" t="s">
        <v>1455</v>
      </c>
      <c r="H302" t="s">
        <v>1492</v>
      </c>
      <c r="I302">
        <v>1</v>
      </c>
      <c r="J302" s="2">
        <v>50791.32</v>
      </c>
      <c r="K302" s="3">
        <v>0</v>
      </c>
      <c r="L302" s="2">
        <v>50791.32</v>
      </c>
      <c r="M302" s="2">
        <v>5901</v>
      </c>
      <c r="N302" t="s">
        <v>1496</v>
      </c>
      <c r="O302" t="s">
        <v>1500</v>
      </c>
      <c r="P302" t="s">
        <v>1501</v>
      </c>
    </row>
    <row r="303" spans="1:16" x14ac:dyDescent="0.3">
      <c r="A303">
        <v>302</v>
      </c>
      <c r="B303" t="s">
        <v>298</v>
      </c>
      <c r="C303">
        <v>1</v>
      </c>
      <c r="D303" s="1">
        <v>45524</v>
      </c>
      <c r="E303" s="1">
        <v>45527</v>
      </c>
      <c r="F303" t="s">
        <v>1151</v>
      </c>
      <c r="G303" t="s">
        <v>1411</v>
      </c>
      <c r="H303" t="s">
        <v>1480</v>
      </c>
      <c r="I303">
        <v>1</v>
      </c>
      <c r="J303" s="2">
        <v>65997.17</v>
      </c>
      <c r="K303" s="3">
        <v>0</v>
      </c>
      <c r="L303" s="2">
        <v>65997.17</v>
      </c>
      <c r="M303" s="2">
        <v>8206.18</v>
      </c>
      <c r="N303" t="s">
        <v>1495</v>
      </c>
      <c r="O303" t="s">
        <v>1499</v>
      </c>
      <c r="P303" t="s">
        <v>1501</v>
      </c>
    </row>
    <row r="304" spans="1:16" x14ac:dyDescent="0.3">
      <c r="A304">
        <v>303</v>
      </c>
      <c r="B304" t="s">
        <v>299</v>
      </c>
      <c r="C304">
        <v>1</v>
      </c>
      <c r="D304" s="1">
        <v>45526</v>
      </c>
      <c r="E304" s="1">
        <v>45526</v>
      </c>
      <c r="F304" t="s">
        <v>1066</v>
      </c>
      <c r="G304" t="s">
        <v>1357</v>
      </c>
      <c r="H304" t="s">
        <v>1481</v>
      </c>
      <c r="I304">
        <v>1</v>
      </c>
      <c r="J304" s="2">
        <v>986.91</v>
      </c>
      <c r="K304" s="3">
        <v>0</v>
      </c>
      <c r="L304" s="2">
        <v>986.91</v>
      </c>
      <c r="M304" s="2">
        <v>128.72999999999999</v>
      </c>
      <c r="N304" t="s">
        <v>1494</v>
      </c>
      <c r="O304" t="s">
        <v>1498</v>
      </c>
      <c r="P304" t="s">
        <v>1501</v>
      </c>
    </row>
    <row r="305" spans="1:16" x14ac:dyDescent="0.3">
      <c r="A305">
        <v>304</v>
      </c>
      <c r="B305" t="s">
        <v>300</v>
      </c>
      <c r="C305">
        <v>2</v>
      </c>
      <c r="D305" s="1">
        <v>45528</v>
      </c>
      <c r="E305" s="1">
        <v>45530</v>
      </c>
      <c r="F305" t="s">
        <v>996</v>
      </c>
      <c r="G305" t="s">
        <v>1456</v>
      </c>
      <c r="H305" t="s">
        <v>1480</v>
      </c>
      <c r="I305">
        <v>1</v>
      </c>
      <c r="J305" s="2">
        <v>43108.17</v>
      </c>
      <c r="K305" s="3">
        <v>0</v>
      </c>
      <c r="L305" s="2">
        <v>43108.17</v>
      </c>
      <c r="M305" s="2">
        <v>7530.62</v>
      </c>
      <c r="N305" t="s">
        <v>1493</v>
      </c>
      <c r="O305" t="s">
        <v>1498</v>
      </c>
      <c r="P305" t="s">
        <v>1501</v>
      </c>
    </row>
    <row r="306" spans="1:16" x14ac:dyDescent="0.3">
      <c r="A306">
        <v>305</v>
      </c>
      <c r="B306" t="s">
        <v>301</v>
      </c>
      <c r="C306">
        <v>1</v>
      </c>
      <c r="D306" s="1">
        <v>45528</v>
      </c>
      <c r="E306" s="1">
        <v>45529</v>
      </c>
      <c r="F306" t="s">
        <v>970</v>
      </c>
      <c r="G306" t="s">
        <v>1450</v>
      </c>
      <c r="H306" t="s">
        <v>1481</v>
      </c>
      <c r="I306">
        <v>1</v>
      </c>
      <c r="J306" s="2">
        <v>7983.56</v>
      </c>
      <c r="K306" s="3">
        <v>0</v>
      </c>
      <c r="L306" s="2">
        <v>7983.56</v>
      </c>
      <c r="M306" s="2">
        <v>1968.35</v>
      </c>
      <c r="N306" t="s">
        <v>1496</v>
      </c>
      <c r="O306" t="s">
        <v>1498</v>
      </c>
      <c r="P306" t="s">
        <v>1501</v>
      </c>
    </row>
    <row r="307" spans="1:16" x14ac:dyDescent="0.3">
      <c r="A307">
        <v>306</v>
      </c>
      <c r="B307" t="s">
        <v>302</v>
      </c>
      <c r="C307">
        <v>1</v>
      </c>
      <c r="D307" s="1">
        <v>45529</v>
      </c>
      <c r="E307" s="1">
        <v>45529</v>
      </c>
      <c r="F307" t="s">
        <v>1152</v>
      </c>
      <c r="G307" t="s">
        <v>1384</v>
      </c>
      <c r="H307" t="s">
        <v>1482</v>
      </c>
      <c r="I307">
        <v>1</v>
      </c>
      <c r="J307" s="2">
        <v>35937.699999999997</v>
      </c>
      <c r="K307" s="3">
        <v>0</v>
      </c>
      <c r="L307" s="2">
        <v>35937.699999999997</v>
      </c>
      <c r="M307" s="2">
        <v>10629.44</v>
      </c>
      <c r="N307" t="s">
        <v>1494</v>
      </c>
      <c r="O307" t="s">
        <v>1498</v>
      </c>
      <c r="P307" t="s">
        <v>1501</v>
      </c>
    </row>
    <row r="308" spans="1:16" x14ac:dyDescent="0.3">
      <c r="A308">
        <v>307</v>
      </c>
      <c r="B308" t="s">
        <v>303</v>
      </c>
      <c r="C308">
        <v>2</v>
      </c>
      <c r="D308" s="1">
        <v>45530</v>
      </c>
      <c r="E308" s="1">
        <v>45533</v>
      </c>
      <c r="F308" t="s">
        <v>1153</v>
      </c>
      <c r="G308" t="s">
        <v>1433</v>
      </c>
      <c r="H308" t="s">
        <v>1480</v>
      </c>
      <c r="I308">
        <v>1</v>
      </c>
      <c r="J308" s="2">
        <v>2067.91</v>
      </c>
      <c r="K308" s="3">
        <v>0</v>
      </c>
      <c r="L308" s="2">
        <v>2067.91</v>
      </c>
      <c r="M308" s="2">
        <v>576.48</v>
      </c>
      <c r="N308" t="s">
        <v>1494</v>
      </c>
      <c r="O308" t="s">
        <v>1498</v>
      </c>
      <c r="P308" t="s">
        <v>1501</v>
      </c>
    </row>
    <row r="309" spans="1:16" x14ac:dyDescent="0.3">
      <c r="A309">
        <v>308</v>
      </c>
      <c r="B309" t="s">
        <v>304</v>
      </c>
      <c r="C309">
        <v>1</v>
      </c>
      <c r="D309" s="1">
        <v>45530</v>
      </c>
      <c r="E309" s="1">
        <v>45532</v>
      </c>
      <c r="F309" t="s">
        <v>968</v>
      </c>
      <c r="G309" t="s">
        <v>1426</v>
      </c>
      <c r="H309" t="s">
        <v>1480</v>
      </c>
      <c r="I309">
        <v>1</v>
      </c>
      <c r="J309" s="2">
        <v>33135.4</v>
      </c>
      <c r="K309" s="3">
        <v>0.15</v>
      </c>
      <c r="L309" s="2">
        <v>28165.09</v>
      </c>
      <c r="M309" s="2">
        <v>3672.98</v>
      </c>
      <c r="N309" t="s">
        <v>1494</v>
      </c>
      <c r="O309" t="s">
        <v>1498</v>
      </c>
      <c r="P309" t="s">
        <v>1501</v>
      </c>
    </row>
    <row r="310" spans="1:16" x14ac:dyDescent="0.3">
      <c r="A310">
        <v>309</v>
      </c>
      <c r="B310" t="s">
        <v>305</v>
      </c>
      <c r="C310">
        <v>1</v>
      </c>
      <c r="D310" s="1">
        <v>45531</v>
      </c>
      <c r="E310" s="1">
        <v>45532</v>
      </c>
      <c r="F310" t="s">
        <v>1138</v>
      </c>
      <c r="G310" t="s">
        <v>1333</v>
      </c>
      <c r="H310" t="s">
        <v>1480</v>
      </c>
      <c r="I310">
        <v>1</v>
      </c>
      <c r="J310" s="2">
        <v>16375.46</v>
      </c>
      <c r="K310" s="3">
        <v>0</v>
      </c>
      <c r="L310" s="2">
        <v>16375.46</v>
      </c>
      <c r="M310" s="2">
        <v>2074.31</v>
      </c>
      <c r="N310" t="s">
        <v>1497</v>
      </c>
      <c r="O310" t="s">
        <v>1498</v>
      </c>
      <c r="P310" t="s">
        <v>1501</v>
      </c>
    </row>
    <row r="311" spans="1:16" x14ac:dyDescent="0.3">
      <c r="A311">
        <v>310</v>
      </c>
      <c r="B311" t="s">
        <v>306</v>
      </c>
      <c r="C311">
        <v>1</v>
      </c>
      <c r="D311" s="1">
        <v>45531</v>
      </c>
      <c r="E311" s="1">
        <v>45534</v>
      </c>
      <c r="F311" t="s">
        <v>1154</v>
      </c>
      <c r="G311" t="s">
        <v>1414</v>
      </c>
      <c r="H311" t="s">
        <v>1480</v>
      </c>
      <c r="I311">
        <v>1</v>
      </c>
      <c r="J311" s="2">
        <v>20329.61</v>
      </c>
      <c r="K311" s="3">
        <v>0</v>
      </c>
      <c r="L311" s="2">
        <v>20329.61</v>
      </c>
      <c r="M311" s="2">
        <v>4962.38</v>
      </c>
      <c r="N311" t="s">
        <v>1494</v>
      </c>
      <c r="O311" t="s">
        <v>1499</v>
      </c>
      <c r="P311" t="s">
        <v>1502</v>
      </c>
    </row>
    <row r="312" spans="1:16" x14ac:dyDescent="0.3">
      <c r="A312">
        <v>311</v>
      </c>
      <c r="B312" t="s">
        <v>307</v>
      </c>
      <c r="C312">
        <v>1</v>
      </c>
      <c r="D312" s="1">
        <v>45531</v>
      </c>
      <c r="E312" s="1">
        <v>45532</v>
      </c>
      <c r="F312" t="s">
        <v>1155</v>
      </c>
      <c r="G312" t="s">
        <v>1342</v>
      </c>
      <c r="H312" t="s">
        <v>1492</v>
      </c>
      <c r="I312">
        <v>4</v>
      </c>
      <c r="J312" s="2">
        <v>18924.84</v>
      </c>
      <c r="K312" s="3">
        <v>0</v>
      </c>
      <c r="L312" s="2">
        <v>75699.360000000001</v>
      </c>
      <c r="M312" s="2">
        <v>11126.4</v>
      </c>
      <c r="N312" t="s">
        <v>1493</v>
      </c>
      <c r="O312" t="s">
        <v>1498</v>
      </c>
      <c r="P312" t="s">
        <v>1501</v>
      </c>
    </row>
    <row r="313" spans="1:16" x14ac:dyDescent="0.3">
      <c r="A313">
        <v>312</v>
      </c>
      <c r="B313" t="s">
        <v>308</v>
      </c>
      <c r="C313">
        <v>1</v>
      </c>
      <c r="D313" s="1">
        <v>45532</v>
      </c>
      <c r="E313" s="1">
        <v>45533</v>
      </c>
      <c r="F313" t="s">
        <v>985</v>
      </c>
      <c r="G313" t="s">
        <v>1431</v>
      </c>
      <c r="H313" t="s">
        <v>1480</v>
      </c>
      <c r="I313">
        <v>1</v>
      </c>
      <c r="J313" s="2">
        <v>9677.85</v>
      </c>
      <c r="K313" s="3">
        <v>0</v>
      </c>
      <c r="L313" s="2">
        <v>9677.85</v>
      </c>
      <c r="M313" s="2">
        <v>1902.17</v>
      </c>
      <c r="N313" t="s">
        <v>1495</v>
      </c>
      <c r="O313" t="s">
        <v>1498</v>
      </c>
      <c r="P313" t="s">
        <v>1501</v>
      </c>
    </row>
    <row r="314" spans="1:16" x14ac:dyDescent="0.3">
      <c r="A314">
        <v>313</v>
      </c>
      <c r="B314" t="s">
        <v>309</v>
      </c>
      <c r="C314">
        <v>1</v>
      </c>
      <c r="D314" s="1">
        <v>45533</v>
      </c>
      <c r="E314" s="1">
        <v>45534</v>
      </c>
      <c r="F314" t="s">
        <v>1098</v>
      </c>
      <c r="G314" t="s">
        <v>1380</v>
      </c>
      <c r="H314" t="s">
        <v>1482</v>
      </c>
      <c r="I314">
        <v>2</v>
      </c>
      <c r="J314" s="2">
        <v>694.66</v>
      </c>
      <c r="K314" s="3">
        <v>0.05</v>
      </c>
      <c r="L314" s="2">
        <v>1319.85</v>
      </c>
      <c r="M314" s="2">
        <v>114.67</v>
      </c>
      <c r="N314" t="s">
        <v>1496</v>
      </c>
      <c r="O314" t="s">
        <v>1498</v>
      </c>
      <c r="P314" t="s">
        <v>1501</v>
      </c>
    </row>
    <row r="315" spans="1:16" x14ac:dyDescent="0.3">
      <c r="A315">
        <v>314</v>
      </c>
      <c r="B315" t="s">
        <v>310</v>
      </c>
      <c r="C315">
        <v>1</v>
      </c>
      <c r="D315" s="1">
        <v>45534</v>
      </c>
      <c r="E315" s="1">
        <v>45535</v>
      </c>
      <c r="F315" t="s">
        <v>1043</v>
      </c>
      <c r="G315" t="s">
        <v>1452</v>
      </c>
      <c r="H315" t="s">
        <v>1492</v>
      </c>
      <c r="I315">
        <v>1</v>
      </c>
      <c r="J315" s="2">
        <v>74213.429999999993</v>
      </c>
      <c r="K315" s="3">
        <v>0.1</v>
      </c>
      <c r="L315" s="2">
        <v>66792.09</v>
      </c>
      <c r="M315" s="2">
        <v>3294.08</v>
      </c>
      <c r="N315" t="s">
        <v>1495</v>
      </c>
      <c r="O315" t="s">
        <v>1498</v>
      </c>
      <c r="P315" t="s">
        <v>1501</v>
      </c>
    </row>
    <row r="316" spans="1:16" x14ac:dyDescent="0.3">
      <c r="A316">
        <v>315</v>
      </c>
      <c r="B316" t="s">
        <v>311</v>
      </c>
      <c r="C316">
        <v>2</v>
      </c>
      <c r="D316" s="1">
        <v>45535</v>
      </c>
      <c r="E316" s="1">
        <v>45536</v>
      </c>
      <c r="F316" t="s">
        <v>998</v>
      </c>
      <c r="G316" t="s">
        <v>1444</v>
      </c>
      <c r="H316" t="s">
        <v>1488</v>
      </c>
      <c r="I316">
        <v>1</v>
      </c>
      <c r="J316" s="2">
        <v>1054.31</v>
      </c>
      <c r="K316" s="3">
        <v>0</v>
      </c>
      <c r="L316" s="2">
        <v>1054.31</v>
      </c>
      <c r="M316" s="2">
        <v>310.83999999999997</v>
      </c>
      <c r="N316" t="s">
        <v>1495</v>
      </c>
      <c r="O316" t="s">
        <v>1498</v>
      </c>
      <c r="P316" t="s">
        <v>1501</v>
      </c>
    </row>
    <row r="317" spans="1:16" x14ac:dyDescent="0.3">
      <c r="A317">
        <v>316</v>
      </c>
      <c r="B317" t="s">
        <v>312</v>
      </c>
      <c r="C317">
        <v>2</v>
      </c>
      <c r="D317" s="1">
        <v>45536</v>
      </c>
      <c r="E317" s="1">
        <v>45538</v>
      </c>
      <c r="F317" t="s">
        <v>1156</v>
      </c>
      <c r="G317" t="s">
        <v>1341</v>
      </c>
      <c r="H317" t="s">
        <v>1480</v>
      </c>
      <c r="I317">
        <v>1</v>
      </c>
      <c r="J317" s="2">
        <v>1648.45</v>
      </c>
      <c r="K317" s="3">
        <v>0.15</v>
      </c>
      <c r="L317" s="2">
        <v>1401.18</v>
      </c>
      <c r="M317" s="2">
        <v>247.06</v>
      </c>
      <c r="N317" t="s">
        <v>1496</v>
      </c>
      <c r="O317" t="s">
        <v>1498</v>
      </c>
      <c r="P317" t="s">
        <v>1502</v>
      </c>
    </row>
    <row r="318" spans="1:16" x14ac:dyDescent="0.3">
      <c r="A318">
        <v>317</v>
      </c>
      <c r="B318" t="s">
        <v>313</v>
      </c>
      <c r="C318">
        <v>1</v>
      </c>
      <c r="D318" s="1">
        <v>45536</v>
      </c>
      <c r="E318" s="1">
        <v>45539</v>
      </c>
      <c r="F318" t="s">
        <v>1026</v>
      </c>
      <c r="G318" t="s">
        <v>1428</v>
      </c>
      <c r="H318" t="s">
        <v>1480</v>
      </c>
      <c r="I318">
        <v>1</v>
      </c>
      <c r="J318" s="2">
        <v>460.36</v>
      </c>
      <c r="K318" s="3">
        <v>0.25</v>
      </c>
      <c r="L318" s="2">
        <v>345.27</v>
      </c>
      <c r="M318" s="2">
        <v>-70.959999999999994</v>
      </c>
      <c r="N318" t="s">
        <v>1495</v>
      </c>
      <c r="O318" t="s">
        <v>1498</v>
      </c>
      <c r="P318" t="s">
        <v>1501</v>
      </c>
    </row>
    <row r="319" spans="1:16" x14ac:dyDescent="0.3">
      <c r="A319">
        <v>318</v>
      </c>
      <c r="B319" t="s">
        <v>314</v>
      </c>
      <c r="C319">
        <v>1</v>
      </c>
      <c r="D319" s="1">
        <v>45537</v>
      </c>
      <c r="E319" s="1">
        <v>45539</v>
      </c>
      <c r="F319" t="s">
        <v>1157</v>
      </c>
      <c r="G319" t="s">
        <v>1339</v>
      </c>
      <c r="H319" t="s">
        <v>1480</v>
      </c>
      <c r="I319">
        <v>3</v>
      </c>
      <c r="J319" s="2">
        <v>763.54</v>
      </c>
      <c r="K319" s="3">
        <v>0</v>
      </c>
      <c r="L319" s="2">
        <v>2290.62</v>
      </c>
      <c r="M319" s="2">
        <v>722.94</v>
      </c>
      <c r="N319" t="s">
        <v>1496</v>
      </c>
      <c r="O319" t="s">
        <v>1498</v>
      </c>
      <c r="P319" t="s">
        <v>1501</v>
      </c>
    </row>
    <row r="320" spans="1:16" x14ac:dyDescent="0.3">
      <c r="A320">
        <v>319</v>
      </c>
      <c r="B320" t="s">
        <v>315</v>
      </c>
      <c r="C320">
        <v>1</v>
      </c>
      <c r="D320" s="1">
        <v>45537</v>
      </c>
      <c r="E320" s="1">
        <v>45537</v>
      </c>
      <c r="F320" t="s">
        <v>1153</v>
      </c>
      <c r="G320" t="s">
        <v>1357</v>
      </c>
      <c r="H320" t="s">
        <v>1492</v>
      </c>
      <c r="I320">
        <v>2</v>
      </c>
      <c r="J320" s="2">
        <v>986.91</v>
      </c>
      <c r="K320" s="3">
        <v>0</v>
      </c>
      <c r="L320" s="2">
        <v>1973.82</v>
      </c>
      <c r="M320" s="2">
        <v>257.45999999999998</v>
      </c>
      <c r="N320" t="s">
        <v>1496</v>
      </c>
      <c r="O320" t="s">
        <v>1498</v>
      </c>
      <c r="P320" t="s">
        <v>1502</v>
      </c>
    </row>
    <row r="321" spans="1:16" x14ac:dyDescent="0.3">
      <c r="A321">
        <v>320</v>
      </c>
      <c r="B321" t="s">
        <v>316</v>
      </c>
      <c r="C321">
        <v>1</v>
      </c>
      <c r="D321" s="1">
        <v>45540</v>
      </c>
      <c r="E321" s="1">
        <v>45542</v>
      </c>
      <c r="F321" t="s">
        <v>968</v>
      </c>
      <c r="G321" t="s">
        <v>1361</v>
      </c>
      <c r="H321" t="s">
        <v>1480</v>
      </c>
      <c r="I321">
        <v>1</v>
      </c>
      <c r="J321" s="2">
        <v>4840.8599999999997</v>
      </c>
      <c r="K321" s="3">
        <v>0.1</v>
      </c>
      <c r="L321" s="2">
        <v>4356.7700000000004</v>
      </c>
      <c r="M321" s="2">
        <v>951.36</v>
      </c>
      <c r="N321" t="s">
        <v>1497</v>
      </c>
      <c r="O321" t="s">
        <v>1498</v>
      </c>
      <c r="P321" t="s">
        <v>1501</v>
      </c>
    </row>
    <row r="322" spans="1:16" x14ac:dyDescent="0.3">
      <c r="A322">
        <v>321</v>
      </c>
      <c r="B322" t="s">
        <v>317</v>
      </c>
      <c r="C322">
        <v>1</v>
      </c>
      <c r="D322" s="1">
        <v>45541</v>
      </c>
      <c r="E322" s="1">
        <v>45543</v>
      </c>
      <c r="F322" t="s">
        <v>972</v>
      </c>
      <c r="G322" t="s">
        <v>1409</v>
      </c>
      <c r="H322" t="s">
        <v>1480</v>
      </c>
      <c r="I322">
        <v>3</v>
      </c>
      <c r="J322" s="2">
        <v>10956.72</v>
      </c>
      <c r="K322" s="3">
        <v>0.15</v>
      </c>
      <c r="L322" s="2">
        <v>27939.64</v>
      </c>
      <c r="M322" s="2">
        <v>2005.48</v>
      </c>
      <c r="N322" t="s">
        <v>1494</v>
      </c>
      <c r="O322" t="s">
        <v>1498</v>
      </c>
      <c r="P322" t="s">
        <v>1501</v>
      </c>
    </row>
    <row r="323" spans="1:16" x14ac:dyDescent="0.3">
      <c r="A323">
        <v>322</v>
      </c>
      <c r="B323" t="s">
        <v>318</v>
      </c>
      <c r="C323">
        <v>2</v>
      </c>
      <c r="D323" s="1">
        <v>45543</v>
      </c>
      <c r="E323" s="1">
        <v>45543</v>
      </c>
      <c r="F323" t="s">
        <v>1158</v>
      </c>
      <c r="G323" t="s">
        <v>1359</v>
      </c>
      <c r="H323" t="s">
        <v>1491</v>
      </c>
      <c r="I323">
        <v>2</v>
      </c>
      <c r="J323" s="2">
        <v>5570.41</v>
      </c>
      <c r="K323" s="3">
        <v>0.15</v>
      </c>
      <c r="L323" s="2">
        <v>9469.7000000000007</v>
      </c>
      <c r="M323" s="2">
        <v>1169.48</v>
      </c>
      <c r="N323" t="s">
        <v>1494</v>
      </c>
      <c r="O323" t="s">
        <v>1498</v>
      </c>
      <c r="P323" t="s">
        <v>1501</v>
      </c>
    </row>
    <row r="324" spans="1:16" x14ac:dyDescent="0.3">
      <c r="A324">
        <v>323</v>
      </c>
      <c r="B324" t="s">
        <v>319</v>
      </c>
      <c r="C324">
        <v>1</v>
      </c>
      <c r="D324" s="1">
        <v>45545</v>
      </c>
      <c r="E324" s="1">
        <v>45547</v>
      </c>
      <c r="F324" t="s">
        <v>1037</v>
      </c>
      <c r="G324" t="s">
        <v>1396</v>
      </c>
      <c r="H324" t="s">
        <v>1480</v>
      </c>
      <c r="I324">
        <v>2</v>
      </c>
      <c r="J324" s="2">
        <v>1866.05</v>
      </c>
      <c r="K324" s="3">
        <v>0</v>
      </c>
      <c r="L324" s="2">
        <v>3732.1</v>
      </c>
      <c r="M324" s="2">
        <v>1216.68</v>
      </c>
      <c r="N324" t="s">
        <v>1496</v>
      </c>
      <c r="O324" t="s">
        <v>1499</v>
      </c>
      <c r="P324" t="s">
        <v>1501</v>
      </c>
    </row>
    <row r="325" spans="1:16" x14ac:dyDescent="0.3">
      <c r="A325">
        <v>324</v>
      </c>
      <c r="B325" t="s">
        <v>320</v>
      </c>
      <c r="C325">
        <v>1</v>
      </c>
      <c r="D325" s="1">
        <v>45545</v>
      </c>
      <c r="E325" s="1">
        <v>45546</v>
      </c>
      <c r="F325" t="s">
        <v>1159</v>
      </c>
      <c r="G325" t="s">
        <v>1433</v>
      </c>
      <c r="H325" t="s">
        <v>1483</v>
      </c>
      <c r="I325">
        <v>1</v>
      </c>
      <c r="J325" s="2">
        <v>2067.91</v>
      </c>
      <c r="K325" s="3">
        <v>0</v>
      </c>
      <c r="L325" s="2">
        <v>2067.91</v>
      </c>
      <c r="M325" s="2">
        <v>576.48</v>
      </c>
      <c r="N325" t="s">
        <v>1497</v>
      </c>
      <c r="O325" t="s">
        <v>1498</v>
      </c>
      <c r="P325" t="s">
        <v>1502</v>
      </c>
    </row>
    <row r="326" spans="1:16" x14ac:dyDescent="0.3">
      <c r="A326">
        <v>325</v>
      </c>
      <c r="B326" t="s">
        <v>321</v>
      </c>
      <c r="C326">
        <v>1</v>
      </c>
      <c r="D326" s="1">
        <v>45546</v>
      </c>
      <c r="E326" s="1">
        <v>45546</v>
      </c>
      <c r="F326" t="s">
        <v>1149</v>
      </c>
      <c r="G326" t="s">
        <v>1381</v>
      </c>
      <c r="H326" t="s">
        <v>1492</v>
      </c>
      <c r="I326">
        <v>2</v>
      </c>
      <c r="J326" s="2">
        <v>4870.55</v>
      </c>
      <c r="K326" s="3">
        <v>0</v>
      </c>
      <c r="L326" s="2">
        <v>9741.1</v>
      </c>
      <c r="M326" s="2">
        <v>3953.86</v>
      </c>
      <c r="N326" t="s">
        <v>1496</v>
      </c>
      <c r="O326" t="s">
        <v>1499</v>
      </c>
      <c r="P326" t="s">
        <v>1501</v>
      </c>
    </row>
    <row r="327" spans="1:16" x14ac:dyDescent="0.3">
      <c r="A327">
        <v>326</v>
      </c>
      <c r="B327" t="s">
        <v>322</v>
      </c>
      <c r="C327">
        <v>2</v>
      </c>
      <c r="D327" s="1">
        <v>45547</v>
      </c>
      <c r="E327" s="1">
        <v>45548</v>
      </c>
      <c r="F327" t="s">
        <v>1160</v>
      </c>
      <c r="G327" t="s">
        <v>1332</v>
      </c>
      <c r="H327" t="s">
        <v>1488</v>
      </c>
      <c r="I327">
        <v>1</v>
      </c>
      <c r="J327" s="2">
        <v>45652.65</v>
      </c>
      <c r="K327" s="3">
        <v>0</v>
      </c>
      <c r="L327" s="2">
        <v>45652.65</v>
      </c>
      <c r="M327" s="2">
        <v>7144.63</v>
      </c>
      <c r="N327" t="s">
        <v>1497</v>
      </c>
      <c r="O327" t="s">
        <v>1498</v>
      </c>
      <c r="P327" t="s">
        <v>1501</v>
      </c>
    </row>
    <row r="328" spans="1:16" x14ac:dyDescent="0.3">
      <c r="A328">
        <v>327</v>
      </c>
      <c r="B328" t="s">
        <v>323</v>
      </c>
      <c r="C328">
        <v>1</v>
      </c>
      <c r="D328" s="1">
        <v>45548</v>
      </c>
      <c r="E328" s="1">
        <v>45549</v>
      </c>
      <c r="F328" t="s">
        <v>1161</v>
      </c>
      <c r="G328" t="s">
        <v>1447</v>
      </c>
      <c r="H328" t="s">
        <v>1489</v>
      </c>
      <c r="I328">
        <v>1</v>
      </c>
      <c r="J328" s="2">
        <v>4260.03</v>
      </c>
      <c r="K328" s="3">
        <v>0.2</v>
      </c>
      <c r="L328" s="2">
        <v>3408.02</v>
      </c>
      <c r="M328" s="2">
        <v>-121.13</v>
      </c>
      <c r="N328" t="s">
        <v>1495</v>
      </c>
      <c r="O328" t="s">
        <v>1500</v>
      </c>
      <c r="P328" t="s">
        <v>1501</v>
      </c>
    </row>
    <row r="329" spans="1:16" x14ac:dyDescent="0.3">
      <c r="A329">
        <v>328</v>
      </c>
      <c r="B329" t="s">
        <v>324</v>
      </c>
      <c r="C329">
        <v>1</v>
      </c>
      <c r="D329" s="1">
        <v>45548</v>
      </c>
      <c r="E329" s="1">
        <v>45549</v>
      </c>
      <c r="F329" t="s">
        <v>1162</v>
      </c>
      <c r="G329" t="s">
        <v>1406</v>
      </c>
      <c r="H329" t="s">
        <v>1483</v>
      </c>
      <c r="I329">
        <v>1</v>
      </c>
      <c r="J329" s="2">
        <v>150.38</v>
      </c>
      <c r="K329" s="3">
        <v>0.05</v>
      </c>
      <c r="L329" s="2">
        <v>142.86000000000001</v>
      </c>
      <c r="M329" s="2">
        <v>41.09</v>
      </c>
      <c r="N329" t="s">
        <v>1497</v>
      </c>
      <c r="O329" t="s">
        <v>1500</v>
      </c>
      <c r="P329" t="s">
        <v>1501</v>
      </c>
    </row>
    <row r="330" spans="1:16" x14ac:dyDescent="0.3">
      <c r="A330">
        <v>329</v>
      </c>
      <c r="B330" t="s">
        <v>325</v>
      </c>
      <c r="C330">
        <v>3</v>
      </c>
      <c r="D330" s="1">
        <v>45549</v>
      </c>
      <c r="E330" s="1">
        <v>45552</v>
      </c>
      <c r="F330" t="s">
        <v>1163</v>
      </c>
      <c r="G330" t="s">
        <v>1419</v>
      </c>
      <c r="H330" t="s">
        <v>1480</v>
      </c>
      <c r="I330">
        <v>1</v>
      </c>
      <c r="J330" s="2">
        <v>29006.55</v>
      </c>
      <c r="K330" s="3">
        <v>0</v>
      </c>
      <c r="L330" s="2">
        <v>29006.55</v>
      </c>
      <c r="M330" s="2">
        <v>5136.18</v>
      </c>
      <c r="N330" t="s">
        <v>1495</v>
      </c>
      <c r="O330" t="s">
        <v>1499</v>
      </c>
      <c r="P330" t="s">
        <v>1501</v>
      </c>
    </row>
    <row r="331" spans="1:16" x14ac:dyDescent="0.3">
      <c r="A331">
        <v>330</v>
      </c>
      <c r="B331" t="s">
        <v>326</v>
      </c>
      <c r="C331">
        <v>1</v>
      </c>
      <c r="D331" s="1">
        <v>45550</v>
      </c>
      <c r="E331" s="1">
        <v>45552</v>
      </c>
      <c r="F331" t="s">
        <v>1164</v>
      </c>
      <c r="G331" t="s">
        <v>1457</v>
      </c>
      <c r="H331" t="s">
        <v>1480</v>
      </c>
      <c r="I331">
        <v>1</v>
      </c>
      <c r="J331" s="2">
        <v>1423.62</v>
      </c>
      <c r="K331" s="3">
        <v>0</v>
      </c>
      <c r="L331" s="2">
        <v>1423.62</v>
      </c>
      <c r="M331" s="2">
        <v>201.63</v>
      </c>
      <c r="N331" t="s">
        <v>1497</v>
      </c>
      <c r="O331" t="s">
        <v>1500</v>
      </c>
      <c r="P331" t="s">
        <v>1501</v>
      </c>
    </row>
    <row r="332" spans="1:16" x14ac:dyDescent="0.3">
      <c r="A332">
        <v>331</v>
      </c>
      <c r="B332" t="s">
        <v>327</v>
      </c>
      <c r="C332">
        <v>1</v>
      </c>
      <c r="D332" s="1">
        <v>45550</v>
      </c>
      <c r="E332" s="1">
        <v>45551</v>
      </c>
      <c r="F332" t="s">
        <v>1165</v>
      </c>
      <c r="G332" t="s">
        <v>1458</v>
      </c>
      <c r="H332" t="s">
        <v>1483</v>
      </c>
      <c r="I332">
        <v>1</v>
      </c>
      <c r="J332" s="2">
        <v>6241.95</v>
      </c>
      <c r="K332" s="3">
        <v>0.05</v>
      </c>
      <c r="L332" s="2">
        <v>5929.85</v>
      </c>
      <c r="M332" s="2">
        <v>1308.73</v>
      </c>
      <c r="N332" t="s">
        <v>1496</v>
      </c>
      <c r="O332" t="s">
        <v>1499</v>
      </c>
      <c r="P332" t="s">
        <v>1501</v>
      </c>
    </row>
    <row r="333" spans="1:16" x14ac:dyDescent="0.3">
      <c r="A333">
        <v>332</v>
      </c>
      <c r="B333" t="s">
        <v>328</v>
      </c>
      <c r="C333">
        <v>1</v>
      </c>
      <c r="D333" s="1">
        <v>45551</v>
      </c>
      <c r="E333" s="1">
        <v>45552</v>
      </c>
      <c r="F333" t="s">
        <v>1166</v>
      </c>
      <c r="G333" t="s">
        <v>1345</v>
      </c>
      <c r="H333" t="s">
        <v>1480</v>
      </c>
      <c r="I333">
        <v>1</v>
      </c>
      <c r="J333" s="2">
        <v>8112.78</v>
      </c>
      <c r="K333" s="3">
        <v>0</v>
      </c>
      <c r="L333" s="2">
        <v>8112.78</v>
      </c>
      <c r="M333" s="2">
        <v>1235.06</v>
      </c>
      <c r="N333" t="s">
        <v>1494</v>
      </c>
      <c r="O333" t="s">
        <v>1498</v>
      </c>
      <c r="P333" t="s">
        <v>1501</v>
      </c>
    </row>
    <row r="334" spans="1:16" x14ac:dyDescent="0.3">
      <c r="A334">
        <v>333</v>
      </c>
      <c r="B334" t="s">
        <v>329</v>
      </c>
      <c r="C334">
        <v>1</v>
      </c>
      <c r="D334" s="1">
        <v>45551</v>
      </c>
      <c r="E334" s="1">
        <v>45553</v>
      </c>
      <c r="F334" t="s">
        <v>1020</v>
      </c>
      <c r="G334" t="s">
        <v>1380</v>
      </c>
      <c r="H334" t="s">
        <v>1480</v>
      </c>
      <c r="I334">
        <v>1</v>
      </c>
      <c r="J334" s="2">
        <v>694.66</v>
      </c>
      <c r="K334" s="3">
        <v>0.05</v>
      </c>
      <c r="L334" s="2">
        <v>659.93</v>
      </c>
      <c r="M334" s="2">
        <v>57.34</v>
      </c>
      <c r="N334" t="s">
        <v>1496</v>
      </c>
      <c r="O334" t="s">
        <v>1499</v>
      </c>
      <c r="P334" t="s">
        <v>1501</v>
      </c>
    </row>
    <row r="335" spans="1:16" x14ac:dyDescent="0.3">
      <c r="A335">
        <v>334</v>
      </c>
      <c r="B335" t="s">
        <v>330</v>
      </c>
      <c r="C335">
        <v>2</v>
      </c>
      <c r="D335" s="1">
        <v>45552</v>
      </c>
      <c r="E335" s="1">
        <v>45554</v>
      </c>
      <c r="F335" t="s">
        <v>1075</v>
      </c>
      <c r="G335" t="s">
        <v>1397</v>
      </c>
      <c r="H335" t="s">
        <v>1480</v>
      </c>
      <c r="I335">
        <v>1</v>
      </c>
      <c r="J335" s="2">
        <v>42202.74</v>
      </c>
      <c r="K335" s="3">
        <v>0</v>
      </c>
      <c r="L335" s="2">
        <v>42202.74</v>
      </c>
      <c r="M335" s="2">
        <v>7787.76</v>
      </c>
      <c r="N335" t="s">
        <v>1495</v>
      </c>
      <c r="O335" t="s">
        <v>1499</v>
      </c>
      <c r="P335" t="s">
        <v>1501</v>
      </c>
    </row>
    <row r="336" spans="1:16" x14ac:dyDescent="0.3">
      <c r="A336">
        <v>335</v>
      </c>
      <c r="B336" t="s">
        <v>331</v>
      </c>
      <c r="C336">
        <v>1</v>
      </c>
      <c r="D336" s="1">
        <v>45552</v>
      </c>
      <c r="E336" s="1">
        <v>45552</v>
      </c>
      <c r="F336" t="s">
        <v>978</v>
      </c>
      <c r="G336" t="s">
        <v>1459</v>
      </c>
      <c r="H336" t="s">
        <v>1483</v>
      </c>
      <c r="I336">
        <v>1</v>
      </c>
      <c r="J336" s="2">
        <v>814.23</v>
      </c>
      <c r="K336" s="3">
        <v>0.1</v>
      </c>
      <c r="L336" s="2">
        <v>732.81</v>
      </c>
      <c r="M336" s="2">
        <v>28.38</v>
      </c>
      <c r="N336" t="s">
        <v>1497</v>
      </c>
      <c r="O336" t="s">
        <v>1498</v>
      </c>
      <c r="P336" t="s">
        <v>1501</v>
      </c>
    </row>
    <row r="337" spans="1:16" x14ac:dyDescent="0.3">
      <c r="A337">
        <v>336</v>
      </c>
      <c r="B337" t="s">
        <v>332</v>
      </c>
      <c r="C337">
        <v>1</v>
      </c>
      <c r="D337" s="1">
        <v>45553</v>
      </c>
      <c r="E337" s="1">
        <v>45555</v>
      </c>
      <c r="F337" t="s">
        <v>1073</v>
      </c>
      <c r="G337" t="s">
        <v>1411</v>
      </c>
      <c r="H337" t="s">
        <v>1480</v>
      </c>
      <c r="I337">
        <v>1</v>
      </c>
      <c r="J337" s="2">
        <v>65997.17</v>
      </c>
      <c r="K337" s="3">
        <v>0</v>
      </c>
      <c r="L337" s="2">
        <v>65997.17</v>
      </c>
      <c r="M337" s="2">
        <v>8206.18</v>
      </c>
      <c r="N337" t="s">
        <v>1497</v>
      </c>
      <c r="O337" t="s">
        <v>1499</v>
      </c>
      <c r="P337" t="s">
        <v>1501</v>
      </c>
    </row>
    <row r="338" spans="1:16" x14ac:dyDescent="0.3">
      <c r="A338">
        <v>337</v>
      </c>
      <c r="B338" t="s">
        <v>333</v>
      </c>
      <c r="C338">
        <v>2</v>
      </c>
      <c r="D338" s="1">
        <v>45553</v>
      </c>
      <c r="E338" s="1">
        <v>45553</v>
      </c>
      <c r="F338" t="s">
        <v>1167</v>
      </c>
      <c r="G338" t="s">
        <v>1438</v>
      </c>
      <c r="H338" t="s">
        <v>1482</v>
      </c>
      <c r="I338">
        <v>1</v>
      </c>
      <c r="J338" s="2">
        <v>77432.27</v>
      </c>
      <c r="K338" s="3">
        <v>0.05</v>
      </c>
      <c r="L338" s="2">
        <v>73560.66</v>
      </c>
      <c r="M338" s="2">
        <v>4845.91</v>
      </c>
      <c r="N338" t="s">
        <v>1496</v>
      </c>
      <c r="O338" t="s">
        <v>1498</v>
      </c>
      <c r="P338" t="s">
        <v>1501</v>
      </c>
    </row>
    <row r="339" spans="1:16" x14ac:dyDescent="0.3">
      <c r="A339">
        <v>338</v>
      </c>
      <c r="B339" t="s">
        <v>334</v>
      </c>
      <c r="C339">
        <v>1</v>
      </c>
      <c r="D339" s="1">
        <v>45554</v>
      </c>
      <c r="E339" s="1">
        <v>45554</v>
      </c>
      <c r="F339" t="s">
        <v>1037</v>
      </c>
      <c r="G339" t="s">
        <v>1388</v>
      </c>
      <c r="H339" t="s">
        <v>1479</v>
      </c>
      <c r="I339">
        <v>1</v>
      </c>
      <c r="J339" s="2">
        <v>5746.05</v>
      </c>
      <c r="K339" s="3">
        <v>0</v>
      </c>
      <c r="L339" s="2">
        <v>5746.05</v>
      </c>
      <c r="M339" s="2">
        <v>1765.7</v>
      </c>
      <c r="N339" t="s">
        <v>1496</v>
      </c>
      <c r="O339" t="s">
        <v>1499</v>
      </c>
      <c r="P339" t="s">
        <v>1501</v>
      </c>
    </row>
    <row r="340" spans="1:16" x14ac:dyDescent="0.3">
      <c r="A340">
        <v>339</v>
      </c>
      <c r="B340" t="s">
        <v>335</v>
      </c>
      <c r="C340">
        <v>1</v>
      </c>
      <c r="D340" s="1">
        <v>45554</v>
      </c>
      <c r="E340" s="1">
        <v>45555</v>
      </c>
      <c r="F340" t="s">
        <v>1100</v>
      </c>
      <c r="G340" t="s">
        <v>1394</v>
      </c>
      <c r="H340" t="s">
        <v>1480</v>
      </c>
      <c r="I340">
        <v>1</v>
      </c>
      <c r="J340" s="2">
        <v>902.62</v>
      </c>
      <c r="K340" s="3">
        <v>0</v>
      </c>
      <c r="L340" s="2">
        <v>902.62</v>
      </c>
      <c r="M340" s="2">
        <v>250.99</v>
      </c>
      <c r="N340" t="s">
        <v>1494</v>
      </c>
      <c r="O340" t="s">
        <v>1498</v>
      </c>
      <c r="P340" t="s">
        <v>1501</v>
      </c>
    </row>
    <row r="341" spans="1:16" x14ac:dyDescent="0.3">
      <c r="A341">
        <v>340</v>
      </c>
      <c r="B341" t="s">
        <v>336</v>
      </c>
      <c r="C341">
        <v>1</v>
      </c>
      <c r="D341" s="1">
        <v>45555</v>
      </c>
      <c r="E341" s="1">
        <v>45556</v>
      </c>
      <c r="F341" t="s">
        <v>1040</v>
      </c>
      <c r="G341" t="s">
        <v>1435</v>
      </c>
      <c r="H341" t="s">
        <v>1484</v>
      </c>
      <c r="I341">
        <v>1</v>
      </c>
      <c r="J341" s="2">
        <v>62926.96</v>
      </c>
      <c r="K341" s="3">
        <v>0.05</v>
      </c>
      <c r="L341" s="2">
        <v>59780.61</v>
      </c>
      <c r="M341" s="2">
        <v>6068.13</v>
      </c>
      <c r="N341" t="s">
        <v>1496</v>
      </c>
      <c r="O341" t="s">
        <v>1498</v>
      </c>
      <c r="P341" t="s">
        <v>1502</v>
      </c>
    </row>
    <row r="342" spans="1:16" x14ac:dyDescent="0.3">
      <c r="A342">
        <v>341</v>
      </c>
      <c r="B342" t="s">
        <v>337</v>
      </c>
      <c r="C342">
        <v>1</v>
      </c>
      <c r="D342" s="1">
        <v>45556</v>
      </c>
      <c r="F342" t="s">
        <v>1168</v>
      </c>
      <c r="G342" t="s">
        <v>1427</v>
      </c>
      <c r="H342" t="s">
        <v>1480</v>
      </c>
      <c r="I342">
        <v>1</v>
      </c>
      <c r="J342" s="2">
        <v>687.56</v>
      </c>
      <c r="K342" s="3">
        <v>0</v>
      </c>
      <c r="L342" s="2">
        <v>687.56</v>
      </c>
      <c r="M342" s="2">
        <v>235.13</v>
      </c>
      <c r="N342" t="s">
        <v>1495</v>
      </c>
      <c r="O342" t="s">
        <v>1499</v>
      </c>
      <c r="P342" t="s">
        <v>1503</v>
      </c>
    </row>
    <row r="343" spans="1:16" x14ac:dyDescent="0.3">
      <c r="A343">
        <v>342</v>
      </c>
      <c r="B343" t="s">
        <v>338</v>
      </c>
      <c r="C343">
        <v>1</v>
      </c>
      <c r="D343" s="1">
        <v>45556</v>
      </c>
      <c r="E343" s="1">
        <v>45556</v>
      </c>
      <c r="F343" t="s">
        <v>1162</v>
      </c>
      <c r="G343" t="s">
        <v>1460</v>
      </c>
      <c r="H343" t="s">
        <v>1491</v>
      </c>
      <c r="I343">
        <v>3</v>
      </c>
      <c r="J343" s="2">
        <v>4883.8599999999997</v>
      </c>
      <c r="K343" s="3">
        <v>0</v>
      </c>
      <c r="L343" s="2">
        <v>14651.58</v>
      </c>
      <c r="M343" s="2">
        <v>5032.47</v>
      </c>
      <c r="N343" t="s">
        <v>1495</v>
      </c>
      <c r="O343" t="s">
        <v>1499</v>
      </c>
      <c r="P343" t="s">
        <v>1501</v>
      </c>
    </row>
    <row r="344" spans="1:16" x14ac:dyDescent="0.3">
      <c r="A344">
        <v>343</v>
      </c>
      <c r="B344" t="s">
        <v>339</v>
      </c>
      <c r="C344">
        <v>1</v>
      </c>
      <c r="D344" s="1">
        <v>45557</v>
      </c>
      <c r="E344" s="1">
        <v>45557</v>
      </c>
      <c r="F344" t="s">
        <v>1068</v>
      </c>
      <c r="G344" t="s">
        <v>1449</v>
      </c>
      <c r="H344" t="s">
        <v>1490</v>
      </c>
      <c r="I344">
        <v>2</v>
      </c>
      <c r="J344" s="2">
        <v>22795.96</v>
      </c>
      <c r="K344" s="3">
        <v>0</v>
      </c>
      <c r="L344" s="2">
        <v>45591.92</v>
      </c>
      <c r="M344" s="2">
        <v>10194.620000000001</v>
      </c>
      <c r="N344" t="s">
        <v>1494</v>
      </c>
      <c r="O344" t="s">
        <v>1500</v>
      </c>
      <c r="P344" t="s">
        <v>1501</v>
      </c>
    </row>
    <row r="345" spans="1:16" x14ac:dyDescent="0.3">
      <c r="A345">
        <v>344</v>
      </c>
      <c r="B345" t="s">
        <v>340</v>
      </c>
      <c r="C345">
        <v>1</v>
      </c>
      <c r="D345" s="1">
        <v>45558</v>
      </c>
      <c r="E345" s="1">
        <v>45560</v>
      </c>
      <c r="F345" t="s">
        <v>1169</v>
      </c>
      <c r="G345" t="s">
        <v>1409</v>
      </c>
      <c r="H345" t="s">
        <v>1480</v>
      </c>
      <c r="I345">
        <v>1</v>
      </c>
      <c r="J345" s="2">
        <v>10956.72</v>
      </c>
      <c r="K345" s="3">
        <v>0.05</v>
      </c>
      <c r="L345" s="2">
        <v>10408.879999999999</v>
      </c>
      <c r="M345" s="2">
        <v>1764.16</v>
      </c>
      <c r="N345" t="s">
        <v>1497</v>
      </c>
      <c r="O345" t="s">
        <v>1499</v>
      </c>
      <c r="P345" t="s">
        <v>1501</v>
      </c>
    </row>
    <row r="346" spans="1:16" x14ac:dyDescent="0.3">
      <c r="A346">
        <v>345</v>
      </c>
      <c r="B346" t="s">
        <v>341</v>
      </c>
      <c r="C346">
        <v>1</v>
      </c>
      <c r="D346" s="1">
        <v>45559</v>
      </c>
      <c r="E346" s="1">
        <v>45559</v>
      </c>
      <c r="F346" t="s">
        <v>1170</v>
      </c>
      <c r="G346" t="s">
        <v>1461</v>
      </c>
      <c r="H346" t="s">
        <v>1487</v>
      </c>
      <c r="I346">
        <v>1</v>
      </c>
      <c r="J346" s="2">
        <v>933.23</v>
      </c>
      <c r="K346" s="3">
        <v>0</v>
      </c>
      <c r="L346" s="2">
        <v>933.23</v>
      </c>
      <c r="M346" s="2">
        <v>62.65</v>
      </c>
      <c r="N346" t="s">
        <v>1496</v>
      </c>
      <c r="O346" t="s">
        <v>1499</v>
      </c>
      <c r="P346" t="s">
        <v>1501</v>
      </c>
    </row>
    <row r="347" spans="1:16" x14ac:dyDescent="0.3">
      <c r="A347">
        <v>346</v>
      </c>
      <c r="B347" t="s">
        <v>342</v>
      </c>
      <c r="C347">
        <v>1</v>
      </c>
      <c r="D347" s="1">
        <v>45559</v>
      </c>
      <c r="E347" s="1">
        <v>45560</v>
      </c>
      <c r="F347" t="s">
        <v>1020</v>
      </c>
      <c r="G347" t="s">
        <v>1344</v>
      </c>
      <c r="H347" t="s">
        <v>1482</v>
      </c>
      <c r="I347">
        <v>1</v>
      </c>
      <c r="J347" s="2">
        <v>555.59</v>
      </c>
      <c r="K347" s="3">
        <v>0.2</v>
      </c>
      <c r="L347" s="2">
        <v>444.47</v>
      </c>
      <c r="M347" s="2">
        <v>65.37</v>
      </c>
      <c r="N347" t="s">
        <v>1494</v>
      </c>
      <c r="O347" t="s">
        <v>1499</v>
      </c>
      <c r="P347" t="s">
        <v>1501</v>
      </c>
    </row>
    <row r="348" spans="1:16" x14ac:dyDescent="0.3">
      <c r="A348">
        <v>347</v>
      </c>
      <c r="B348" t="s">
        <v>343</v>
      </c>
      <c r="C348">
        <v>1</v>
      </c>
      <c r="D348" s="1">
        <v>45559</v>
      </c>
      <c r="E348" s="1">
        <v>45559</v>
      </c>
      <c r="F348" t="s">
        <v>1080</v>
      </c>
      <c r="G348" t="s">
        <v>1349</v>
      </c>
      <c r="H348" t="s">
        <v>1485</v>
      </c>
      <c r="I348">
        <v>1</v>
      </c>
      <c r="J348" s="2">
        <v>2650.66</v>
      </c>
      <c r="K348" s="3">
        <v>0</v>
      </c>
      <c r="L348" s="2">
        <v>2650.66</v>
      </c>
      <c r="M348" s="2">
        <v>861.03</v>
      </c>
      <c r="N348" t="s">
        <v>1494</v>
      </c>
      <c r="O348" t="s">
        <v>1500</v>
      </c>
      <c r="P348" t="s">
        <v>1501</v>
      </c>
    </row>
    <row r="349" spans="1:16" x14ac:dyDescent="0.3">
      <c r="A349">
        <v>348</v>
      </c>
      <c r="B349" t="s">
        <v>344</v>
      </c>
      <c r="C349">
        <v>1</v>
      </c>
      <c r="D349" s="1">
        <v>45561</v>
      </c>
      <c r="E349" s="1">
        <v>45561</v>
      </c>
      <c r="F349" t="s">
        <v>1171</v>
      </c>
      <c r="G349" t="s">
        <v>1445</v>
      </c>
      <c r="H349" t="s">
        <v>1486</v>
      </c>
      <c r="I349">
        <v>2</v>
      </c>
      <c r="J349" s="2">
        <v>516.78</v>
      </c>
      <c r="K349" s="3">
        <v>0.05</v>
      </c>
      <c r="L349" s="2">
        <v>981.88</v>
      </c>
      <c r="M349" s="2">
        <v>92.84</v>
      </c>
      <c r="N349" t="s">
        <v>1497</v>
      </c>
      <c r="O349" t="s">
        <v>1499</v>
      </c>
      <c r="P349" t="s">
        <v>1501</v>
      </c>
    </row>
    <row r="350" spans="1:16" x14ac:dyDescent="0.3">
      <c r="A350">
        <v>349</v>
      </c>
      <c r="B350" t="s">
        <v>345</v>
      </c>
      <c r="C350">
        <v>1</v>
      </c>
      <c r="D350" s="1">
        <v>45561</v>
      </c>
      <c r="E350" s="1">
        <v>45563</v>
      </c>
      <c r="F350" t="s">
        <v>1172</v>
      </c>
      <c r="G350" t="s">
        <v>1350</v>
      </c>
      <c r="H350" t="s">
        <v>1480</v>
      </c>
      <c r="I350">
        <v>2</v>
      </c>
      <c r="J350" s="2">
        <v>53290.400000000001</v>
      </c>
      <c r="K350" s="3">
        <v>0.15</v>
      </c>
      <c r="L350" s="2">
        <v>90593.68</v>
      </c>
      <c r="M350" s="2">
        <v>-1523.76</v>
      </c>
      <c r="N350" t="s">
        <v>1496</v>
      </c>
      <c r="O350" t="s">
        <v>1498</v>
      </c>
      <c r="P350" t="s">
        <v>1501</v>
      </c>
    </row>
    <row r="351" spans="1:16" x14ac:dyDescent="0.3">
      <c r="A351">
        <v>350</v>
      </c>
      <c r="B351" t="s">
        <v>346</v>
      </c>
      <c r="C351">
        <v>1</v>
      </c>
      <c r="D351" s="1">
        <v>45563</v>
      </c>
      <c r="E351" s="1">
        <v>45563</v>
      </c>
      <c r="F351" t="s">
        <v>1009</v>
      </c>
      <c r="G351" t="s">
        <v>1416</v>
      </c>
      <c r="H351" t="s">
        <v>1486</v>
      </c>
      <c r="I351">
        <v>1</v>
      </c>
      <c r="J351" s="2">
        <v>1404.87</v>
      </c>
      <c r="K351" s="3">
        <v>0</v>
      </c>
      <c r="L351" s="2">
        <v>1404.87</v>
      </c>
      <c r="M351" s="2">
        <v>179.87</v>
      </c>
      <c r="N351" t="s">
        <v>1494</v>
      </c>
      <c r="O351" t="s">
        <v>1499</v>
      </c>
      <c r="P351" t="s">
        <v>1501</v>
      </c>
    </row>
    <row r="352" spans="1:16" x14ac:dyDescent="0.3">
      <c r="A352">
        <v>351</v>
      </c>
      <c r="B352" t="s">
        <v>347</v>
      </c>
      <c r="C352">
        <v>1</v>
      </c>
      <c r="D352" s="1">
        <v>45563</v>
      </c>
      <c r="E352" s="1">
        <v>45564</v>
      </c>
      <c r="F352" t="s">
        <v>1173</v>
      </c>
      <c r="G352" t="s">
        <v>1461</v>
      </c>
      <c r="H352" t="s">
        <v>1480</v>
      </c>
      <c r="I352">
        <v>3</v>
      </c>
      <c r="J352" s="2">
        <v>933.23</v>
      </c>
      <c r="K352" s="3">
        <v>0</v>
      </c>
      <c r="L352" s="2">
        <v>2799.69</v>
      </c>
      <c r="M352" s="2">
        <v>187.95</v>
      </c>
      <c r="N352" t="s">
        <v>1497</v>
      </c>
      <c r="O352" t="s">
        <v>1499</v>
      </c>
      <c r="P352" t="s">
        <v>1501</v>
      </c>
    </row>
    <row r="353" spans="1:16" x14ac:dyDescent="0.3">
      <c r="A353">
        <v>352</v>
      </c>
      <c r="B353" t="s">
        <v>348</v>
      </c>
      <c r="C353">
        <v>1</v>
      </c>
      <c r="D353" s="1">
        <v>45564</v>
      </c>
      <c r="E353" s="1">
        <v>45567</v>
      </c>
      <c r="F353" t="s">
        <v>1158</v>
      </c>
      <c r="G353" t="s">
        <v>1448</v>
      </c>
      <c r="H353" t="s">
        <v>1480</v>
      </c>
      <c r="I353">
        <v>1</v>
      </c>
      <c r="J353" s="2">
        <v>579.75</v>
      </c>
      <c r="K353" s="3">
        <v>0</v>
      </c>
      <c r="L353" s="2">
        <v>579.75</v>
      </c>
      <c r="M353" s="2">
        <v>188.26</v>
      </c>
      <c r="N353" t="s">
        <v>1497</v>
      </c>
      <c r="O353" t="s">
        <v>1498</v>
      </c>
      <c r="P353" t="s">
        <v>1501</v>
      </c>
    </row>
    <row r="354" spans="1:16" x14ac:dyDescent="0.3">
      <c r="A354">
        <v>353</v>
      </c>
      <c r="B354" t="s">
        <v>349</v>
      </c>
      <c r="C354">
        <v>1</v>
      </c>
      <c r="D354" s="1">
        <v>45564</v>
      </c>
      <c r="E354" s="1">
        <v>45564</v>
      </c>
      <c r="F354" t="s">
        <v>1080</v>
      </c>
      <c r="G354" t="s">
        <v>1448</v>
      </c>
      <c r="H354" t="s">
        <v>1486</v>
      </c>
      <c r="I354">
        <v>1</v>
      </c>
      <c r="J354" s="2">
        <v>579.75</v>
      </c>
      <c r="K354" s="3">
        <v>0.1</v>
      </c>
      <c r="L354" s="2">
        <v>521.77</v>
      </c>
      <c r="M354" s="2">
        <v>130.28</v>
      </c>
      <c r="N354" t="s">
        <v>1497</v>
      </c>
      <c r="O354" t="s">
        <v>1498</v>
      </c>
      <c r="P354" t="s">
        <v>1502</v>
      </c>
    </row>
    <row r="355" spans="1:16" x14ac:dyDescent="0.3">
      <c r="A355">
        <v>354</v>
      </c>
      <c r="B355" t="s">
        <v>350</v>
      </c>
      <c r="C355">
        <v>1</v>
      </c>
      <c r="D355" s="1">
        <v>45565</v>
      </c>
      <c r="E355" s="1">
        <v>45565</v>
      </c>
      <c r="F355" t="s">
        <v>1174</v>
      </c>
      <c r="G355" t="s">
        <v>1456</v>
      </c>
      <c r="H355" t="s">
        <v>1490</v>
      </c>
      <c r="I355">
        <v>1</v>
      </c>
      <c r="J355" s="2">
        <v>43108.17</v>
      </c>
      <c r="K355" s="3">
        <v>0</v>
      </c>
      <c r="L355" s="2">
        <v>43108.17</v>
      </c>
      <c r="M355" s="2">
        <v>7530.62</v>
      </c>
      <c r="N355" t="s">
        <v>1495</v>
      </c>
      <c r="O355" t="s">
        <v>1498</v>
      </c>
      <c r="P355" t="s">
        <v>1501</v>
      </c>
    </row>
    <row r="356" spans="1:16" x14ac:dyDescent="0.3">
      <c r="A356">
        <v>355</v>
      </c>
      <c r="B356" t="s">
        <v>351</v>
      </c>
      <c r="C356">
        <v>2</v>
      </c>
      <c r="D356" s="1">
        <v>45565</v>
      </c>
      <c r="E356" s="1">
        <v>45566</v>
      </c>
      <c r="F356" t="s">
        <v>1175</v>
      </c>
      <c r="G356" t="s">
        <v>1404</v>
      </c>
      <c r="H356" t="s">
        <v>1482</v>
      </c>
      <c r="I356">
        <v>1</v>
      </c>
      <c r="J356" s="2">
        <v>44125.88</v>
      </c>
      <c r="K356" s="3">
        <v>0</v>
      </c>
      <c r="L356" s="2">
        <v>44125.88</v>
      </c>
      <c r="M356" s="2">
        <v>9811.19</v>
      </c>
      <c r="N356" t="s">
        <v>1496</v>
      </c>
      <c r="O356" t="s">
        <v>1498</v>
      </c>
      <c r="P356" t="s">
        <v>1501</v>
      </c>
    </row>
    <row r="357" spans="1:16" x14ac:dyDescent="0.3">
      <c r="A357">
        <v>356</v>
      </c>
      <c r="B357" t="s">
        <v>352</v>
      </c>
      <c r="C357">
        <v>1</v>
      </c>
      <c r="D357" s="1">
        <v>45566</v>
      </c>
      <c r="E357" s="1">
        <v>45569</v>
      </c>
      <c r="F357" t="s">
        <v>993</v>
      </c>
      <c r="G357" t="s">
        <v>1344</v>
      </c>
      <c r="H357" t="s">
        <v>1480</v>
      </c>
      <c r="I357">
        <v>1</v>
      </c>
      <c r="J357" s="2">
        <v>555.59</v>
      </c>
      <c r="K357" s="3">
        <v>0.1</v>
      </c>
      <c r="L357" s="2">
        <v>500.03</v>
      </c>
      <c r="M357" s="2">
        <v>120.93</v>
      </c>
      <c r="N357" t="s">
        <v>1497</v>
      </c>
      <c r="O357" t="s">
        <v>1498</v>
      </c>
      <c r="P357" t="s">
        <v>1501</v>
      </c>
    </row>
    <row r="358" spans="1:16" x14ac:dyDescent="0.3">
      <c r="A358">
        <v>357</v>
      </c>
      <c r="B358" t="s">
        <v>353</v>
      </c>
      <c r="C358">
        <v>1</v>
      </c>
      <c r="D358" s="1">
        <v>45567</v>
      </c>
      <c r="E358" s="1">
        <v>45568</v>
      </c>
      <c r="F358" t="s">
        <v>1176</v>
      </c>
      <c r="G358" t="s">
        <v>1374</v>
      </c>
      <c r="H358" t="s">
        <v>1480</v>
      </c>
      <c r="I358">
        <v>1</v>
      </c>
      <c r="J358" s="2">
        <v>1645.17</v>
      </c>
      <c r="K358" s="3">
        <v>0</v>
      </c>
      <c r="L358" s="2">
        <v>1645.17</v>
      </c>
      <c r="M358" s="2">
        <v>340.93</v>
      </c>
      <c r="N358" t="s">
        <v>1493</v>
      </c>
      <c r="O358" t="s">
        <v>1498</v>
      </c>
      <c r="P358" t="s">
        <v>1502</v>
      </c>
    </row>
    <row r="359" spans="1:16" x14ac:dyDescent="0.3">
      <c r="A359">
        <v>358</v>
      </c>
      <c r="B359" t="s">
        <v>354</v>
      </c>
      <c r="C359">
        <v>1</v>
      </c>
      <c r="D359" s="1">
        <v>45567</v>
      </c>
      <c r="E359" s="1">
        <v>45567</v>
      </c>
      <c r="F359" t="s">
        <v>1177</v>
      </c>
      <c r="G359" t="s">
        <v>1413</v>
      </c>
      <c r="H359" t="s">
        <v>1489</v>
      </c>
      <c r="I359">
        <v>1</v>
      </c>
      <c r="J359" s="2">
        <v>771.89</v>
      </c>
      <c r="K359" s="3">
        <v>0</v>
      </c>
      <c r="L359" s="2">
        <v>771.89</v>
      </c>
      <c r="M359" s="2">
        <v>220.44</v>
      </c>
      <c r="N359" t="s">
        <v>1495</v>
      </c>
      <c r="O359" t="s">
        <v>1499</v>
      </c>
      <c r="P359" t="s">
        <v>1501</v>
      </c>
    </row>
    <row r="360" spans="1:16" x14ac:dyDescent="0.3">
      <c r="A360">
        <v>359</v>
      </c>
      <c r="B360" t="s">
        <v>355</v>
      </c>
      <c r="C360">
        <v>2</v>
      </c>
      <c r="D360" s="1">
        <v>45568</v>
      </c>
      <c r="E360" s="1">
        <v>45570</v>
      </c>
      <c r="F360" t="s">
        <v>1178</v>
      </c>
      <c r="G360" t="s">
        <v>1374</v>
      </c>
      <c r="H360" t="s">
        <v>1480</v>
      </c>
      <c r="I360">
        <v>1</v>
      </c>
      <c r="J360" s="2">
        <v>1645.17</v>
      </c>
      <c r="K360" s="3">
        <v>0</v>
      </c>
      <c r="L360" s="2">
        <v>1645.17</v>
      </c>
      <c r="M360" s="2">
        <v>340.93</v>
      </c>
      <c r="N360" t="s">
        <v>1496</v>
      </c>
      <c r="O360" t="s">
        <v>1500</v>
      </c>
      <c r="P360" t="s">
        <v>1501</v>
      </c>
    </row>
    <row r="361" spans="1:16" x14ac:dyDescent="0.3">
      <c r="A361">
        <v>360</v>
      </c>
      <c r="B361" t="s">
        <v>356</v>
      </c>
      <c r="C361">
        <v>1</v>
      </c>
      <c r="D361" s="1">
        <v>45568</v>
      </c>
      <c r="E361" s="1">
        <v>45570</v>
      </c>
      <c r="F361" t="s">
        <v>1179</v>
      </c>
      <c r="G361" t="s">
        <v>1339</v>
      </c>
      <c r="H361" t="s">
        <v>1480</v>
      </c>
      <c r="I361">
        <v>1</v>
      </c>
      <c r="J361" s="2">
        <v>763.54</v>
      </c>
      <c r="K361" s="3">
        <v>0</v>
      </c>
      <c r="L361" s="2">
        <v>763.54</v>
      </c>
      <c r="M361" s="2">
        <v>240.98</v>
      </c>
      <c r="N361" t="s">
        <v>1495</v>
      </c>
      <c r="O361" t="s">
        <v>1498</v>
      </c>
      <c r="P361" t="s">
        <v>1501</v>
      </c>
    </row>
    <row r="362" spans="1:16" x14ac:dyDescent="0.3">
      <c r="A362">
        <v>361</v>
      </c>
      <c r="B362" t="s">
        <v>357</v>
      </c>
      <c r="C362">
        <v>1</v>
      </c>
      <c r="D362" s="1">
        <v>45570</v>
      </c>
      <c r="E362" s="1">
        <v>45571</v>
      </c>
      <c r="F362" t="s">
        <v>1080</v>
      </c>
      <c r="G362" t="s">
        <v>1352</v>
      </c>
      <c r="H362" t="s">
        <v>1481</v>
      </c>
      <c r="I362">
        <v>1</v>
      </c>
      <c r="J362" s="2">
        <v>3696.44</v>
      </c>
      <c r="K362" s="3">
        <v>0</v>
      </c>
      <c r="L362" s="2">
        <v>3696.44</v>
      </c>
      <c r="M362" s="2">
        <v>1613.88</v>
      </c>
      <c r="N362" t="s">
        <v>1495</v>
      </c>
      <c r="O362" t="s">
        <v>1498</v>
      </c>
      <c r="P362" t="s">
        <v>1501</v>
      </c>
    </row>
    <row r="363" spans="1:16" x14ac:dyDescent="0.3">
      <c r="A363">
        <v>362</v>
      </c>
      <c r="B363" t="s">
        <v>357</v>
      </c>
      <c r="C363">
        <v>3</v>
      </c>
      <c r="D363" s="1">
        <v>45570</v>
      </c>
      <c r="E363" s="1">
        <v>45571</v>
      </c>
      <c r="F363" t="s">
        <v>1080</v>
      </c>
      <c r="G363" t="s">
        <v>1427</v>
      </c>
      <c r="H363" t="s">
        <v>1481</v>
      </c>
      <c r="I363">
        <v>2</v>
      </c>
      <c r="J363" s="2">
        <v>687.56</v>
      </c>
      <c r="K363" s="3">
        <v>0</v>
      </c>
      <c r="L363" s="2">
        <v>1375.12</v>
      </c>
      <c r="M363" s="2">
        <v>470.26</v>
      </c>
      <c r="N363" t="s">
        <v>1495</v>
      </c>
      <c r="O363" t="s">
        <v>1498</v>
      </c>
      <c r="P363" t="s">
        <v>1501</v>
      </c>
    </row>
    <row r="364" spans="1:16" x14ac:dyDescent="0.3">
      <c r="A364">
        <v>363</v>
      </c>
      <c r="B364" t="s">
        <v>358</v>
      </c>
      <c r="C364">
        <v>1</v>
      </c>
      <c r="D364" s="1">
        <v>45570</v>
      </c>
      <c r="E364" s="1">
        <v>45572</v>
      </c>
      <c r="F364" t="s">
        <v>1180</v>
      </c>
      <c r="G364" t="s">
        <v>1444</v>
      </c>
      <c r="H364" t="s">
        <v>1480</v>
      </c>
      <c r="I364">
        <v>1</v>
      </c>
      <c r="J364" s="2">
        <v>1054.31</v>
      </c>
      <c r="K364" s="3">
        <v>0.1</v>
      </c>
      <c r="L364" s="2">
        <v>948.88</v>
      </c>
      <c r="M364" s="2">
        <v>205.41</v>
      </c>
      <c r="N364" t="s">
        <v>1496</v>
      </c>
      <c r="O364" t="s">
        <v>1499</v>
      </c>
      <c r="P364" t="s">
        <v>1501</v>
      </c>
    </row>
    <row r="365" spans="1:16" x14ac:dyDescent="0.3">
      <c r="A365">
        <v>364</v>
      </c>
      <c r="B365" t="s">
        <v>359</v>
      </c>
      <c r="C365">
        <v>1</v>
      </c>
      <c r="D365" s="1">
        <v>45570</v>
      </c>
      <c r="E365" s="1">
        <v>45571</v>
      </c>
      <c r="F365" t="s">
        <v>965</v>
      </c>
      <c r="G365" t="s">
        <v>1329</v>
      </c>
      <c r="H365" t="s">
        <v>1478</v>
      </c>
      <c r="I365">
        <v>2</v>
      </c>
      <c r="J365" s="2">
        <v>1065.95</v>
      </c>
      <c r="K365" s="3">
        <v>0</v>
      </c>
      <c r="L365" s="2">
        <v>2131.9</v>
      </c>
      <c r="M365" s="2">
        <v>761.54</v>
      </c>
      <c r="N365" t="s">
        <v>1496</v>
      </c>
      <c r="O365" t="s">
        <v>1500</v>
      </c>
      <c r="P365" t="s">
        <v>1501</v>
      </c>
    </row>
    <row r="366" spans="1:16" x14ac:dyDescent="0.3">
      <c r="A366">
        <v>365</v>
      </c>
      <c r="B366" t="s">
        <v>360</v>
      </c>
      <c r="C366">
        <v>1</v>
      </c>
      <c r="D366" s="1">
        <v>45570</v>
      </c>
      <c r="E366" s="1">
        <v>45571</v>
      </c>
      <c r="F366" t="s">
        <v>1181</v>
      </c>
      <c r="G366" t="s">
        <v>1391</v>
      </c>
      <c r="H366" t="s">
        <v>1480</v>
      </c>
      <c r="I366">
        <v>1</v>
      </c>
      <c r="J366" s="2">
        <v>1624.5</v>
      </c>
      <c r="K366" s="3">
        <v>0.15</v>
      </c>
      <c r="L366" s="2">
        <v>1380.83</v>
      </c>
      <c r="M366" s="2">
        <v>293.20999999999998</v>
      </c>
      <c r="N366" t="s">
        <v>1494</v>
      </c>
      <c r="O366" t="s">
        <v>1499</v>
      </c>
      <c r="P366" t="s">
        <v>1501</v>
      </c>
    </row>
    <row r="367" spans="1:16" x14ac:dyDescent="0.3">
      <c r="A367">
        <v>366</v>
      </c>
      <c r="B367" t="s">
        <v>361</v>
      </c>
      <c r="C367">
        <v>3</v>
      </c>
      <c r="D367" s="1">
        <v>45571</v>
      </c>
      <c r="E367" s="1">
        <v>45573</v>
      </c>
      <c r="F367" t="s">
        <v>965</v>
      </c>
      <c r="G367" t="s">
        <v>1351</v>
      </c>
      <c r="H367" t="s">
        <v>1480</v>
      </c>
      <c r="I367">
        <v>1</v>
      </c>
      <c r="J367" s="2">
        <v>5049.71</v>
      </c>
      <c r="K367" s="3">
        <v>0</v>
      </c>
      <c r="L367" s="2">
        <v>5049.71</v>
      </c>
      <c r="M367" s="2">
        <v>1314.91</v>
      </c>
      <c r="N367" t="s">
        <v>1493</v>
      </c>
      <c r="O367" t="s">
        <v>1498</v>
      </c>
      <c r="P367" t="s">
        <v>1501</v>
      </c>
    </row>
    <row r="368" spans="1:16" x14ac:dyDescent="0.3">
      <c r="A368">
        <v>367</v>
      </c>
      <c r="B368" t="s">
        <v>362</v>
      </c>
      <c r="C368">
        <v>1</v>
      </c>
      <c r="D368" s="1">
        <v>45571</v>
      </c>
      <c r="E368" s="1">
        <v>45574</v>
      </c>
      <c r="F368" t="s">
        <v>1074</v>
      </c>
      <c r="G368" t="s">
        <v>1369</v>
      </c>
      <c r="H368" t="s">
        <v>1480</v>
      </c>
      <c r="I368">
        <v>1</v>
      </c>
      <c r="J368" s="2">
        <v>23968.04</v>
      </c>
      <c r="K368" s="3">
        <v>0.2</v>
      </c>
      <c r="L368" s="2">
        <v>19174.43</v>
      </c>
      <c r="M368" s="2">
        <v>1903.31</v>
      </c>
      <c r="N368" t="s">
        <v>1494</v>
      </c>
      <c r="O368" t="s">
        <v>1498</v>
      </c>
      <c r="P368" t="s">
        <v>1501</v>
      </c>
    </row>
    <row r="369" spans="1:16" x14ac:dyDescent="0.3">
      <c r="A369">
        <v>368</v>
      </c>
      <c r="B369" t="s">
        <v>363</v>
      </c>
      <c r="C369">
        <v>1</v>
      </c>
      <c r="D369" s="1">
        <v>45571</v>
      </c>
      <c r="E369" s="1">
        <v>45574</v>
      </c>
      <c r="F369" t="s">
        <v>1182</v>
      </c>
      <c r="G369" t="s">
        <v>1452</v>
      </c>
      <c r="H369" t="s">
        <v>1480</v>
      </c>
      <c r="I369">
        <v>1</v>
      </c>
      <c r="J369" s="2">
        <v>74213.429999999993</v>
      </c>
      <c r="K369" s="3">
        <v>0</v>
      </c>
      <c r="L369" s="2">
        <v>74213.429999999993</v>
      </c>
      <c r="M369" s="2">
        <v>10715.42</v>
      </c>
      <c r="N369" t="s">
        <v>1495</v>
      </c>
      <c r="O369" t="s">
        <v>1499</v>
      </c>
      <c r="P369" t="s">
        <v>1501</v>
      </c>
    </row>
    <row r="370" spans="1:16" x14ac:dyDescent="0.3">
      <c r="A370">
        <v>369</v>
      </c>
      <c r="B370" t="s">
        <v>363</v>
      </c>
      <c r="C370">
        <v>2</v>
      </c>
      <c r="D370" s="1">
        <v>45571</v>
      </c>
      <c r="E370" s="1">
        <v>45574</v>
      </c>
      <c r="F370" t="s">
        <v>1182</v>
      </c>
      <c r="G370" t="s">
        <v>1423</v>
      </c>
      <c r="H370" t="s">
        <v>1480</v>
      </c>
      <c r="I370">
        <v>1</v>
      </c>
      <c r="J370" s="2">
        <v>2319.64</v>
      </c>
      <c r="K370" s="3">
        <v>0</v>
      </c>
      <c r="L370" s="2">
        <v>2319.64</v>
      </c>
      <c r="M370" s="2">
        <v>822.13</v>
      </c>
      <c r="N370" t="s">
        <v>1495</v>
      </c>
      <c r="O370" t="s">
        <v>1499</v>
      </c>
      <c r="P370" t="s">
        <v>1501</v>
      </c>
    </row>
    <row r="371" spans="1:16" x14ac:dyDescent="0.3">
      <c r="A371">
        <v>370</v>
      </c>
      <c r="B371" t="s">
        <v>364</v>
      </c>
      <c r="C371">
        <v>2</v>
      </c>
      <c r="D371" s="1">
        <v>45572</v>
      </c>
      <c r="E371" s="1">
        <v>45575</v>
      </c>
      <c r="F371" t="s">
        <v>1092</v>
      </c>
      <c r="G371" t="s">
        <v>1331</v>
      </c>
      <c r="H371" t="s">
        <v>1480</v>
      </c>
      <c r="I371">
        <v>1</v>
      </c>
      <c r="J371" s="2">
        <v>1520.12</v>
      </c>
      <c r="K371" s="3">
        <v>0</v>
      </c>
      <c r="L371" s="2">
        <v>1520.12</v>
      </c>
      <c r="M371" s="2">
        <v>547.69000000000005</v>
      </c>
      <c r="N371" t="s">
        <v>1496</v>
      </c>
      <c r="O371" t="s">
        <v>1499</v>
      </c>
      <c r="P371" t="s">
        <v>1501</v>
      </c>
    </row>
    <row r="372" spans="1:16" x14ac:dyDescent="0.3">
      <c r="A372">
        <v>371</v>
      </c>
      <c r="B372" t="s">
        <v>365</v>
      </c>
      <c r="C372">
        <v>1</v>
      </c>
      <c r="D372" s="1">
        <v>45572</v>
      </c>
      <c r="E372" s="1">
        <v>45574</v>
      </c>
      <c r="F372" t="s">
        <v>1044</v>
      </c>
      <c r="G372" t="s">
        <v>1431</v>
      </c>
      <c r="H372" t="s">
        <v>1480</v>
      </c>
      <c r="I372">
        <v>2</v>
      </c>
      <c r="J372" s="2">
        <v>9677.85</v>
      </c>
      <c r="K372" s="3">
        <v>0.15</v>
      </c>
      <c r="L372" s="2">
        <v>16452.349999999999</v>
      </c>
      <c r="M372" s="2">
        <v>900.99</v>
      </c>
      <c r="N372" t="s">
        <v>1495</v>
      </c>
      <c r="O372" t="s">
        <v>1498</v>
      </c>
      <c r="P372" t="s">
        <v>1501</v>
      </c>
    </row>
    <row r="373" spans="1:16" x14ac:dyDescent="0.3">
      <c r="A373">
        <v>372</v>
      </c>
      <c r="B373" t="s">
        <v>366</v>
      </c>
      <c r="C373">
        <v>1</v>
      </c>
      <c r="D373" s="1">
        <v>45573</v>
      </c>
      <c r="E373" s="1">
        <v>45574</v>
      </c>
      <c r="F373" t="s">
        <v>1129</v>
      </c>
      <c r="G373" t="s">
        <v>1329</v>
      </c>
      <c r="H373" t="s">
        <v>1486</v>
      </c>
      <c r="I373">
        <v>2</v>
      </c>
      <c r="J373" s="2">
        <v>1065.95</v>
      </c>
      <c r="K373" s="3">
        <v>0</v>
      </c>
      <c r="L373" s="2">
        <v>2131.9</v>
      </c>
      <c r="M373" s="2">
        <v>761.54</v>
      </c>
      <c r="N373" t="s">
        <v>1497</v>
      </c>
      <c r="O373" t="s">
        <v>1498</v>
      </c>
      <c r="P373" t="s">
        <v>1501</v>
      </c>
    </row>
    <row r="374" spans="1:16" x14ac:dyDescent="0.3">
      <c r="A374">
        <v>373</v>
      </c>
      <c r="B374" t="s">
        <v>367</v>
      </c>
      <c r="C374">
        <v>2</v>
      </c>
      <c r="D374" s="1">
        <v>45573</v>
      </c>
      <c r="E374" s="1">
        <v>45575</v>
      </c>
      <c r="F374" t="s">
        <v>1183</v>
      </c>
      <c r="G374" t="s">
        <v>1345</v>
      </c>
      <c r="H374" t="s">
        <v>1480</v>
      </c>
      <c r="I374">
        <v>2</v>
      </c>
      <c r="J374" s="2">
        <v>8112.78</v>
      </c>
      <c r="K374" s="3">
        <v>0</v>
      </c>
      <c r="L374" s="2">
        <v>16225.56</v>
      </c>
      <c r="M374" s="2">
        <v>2470.12</v>
      </c>
      <c r="N374" t="s">
        <v>1495</v>
      </c>
      <c r="O374" t="s">
        <v>1499</v>
      </c>
      <c r="P374" t="s">
        <v>1501</v>
      </c>
    </row>
    <row r="375" spans="1:16" x14ac:dyDescent="0.3">
      <c r="A375">
        <v>374</v>
      </c>
      <c r="B375" t="s">
        <v>368</v>
      </c>
      <c r="C375">
        <v>2</v>
      </c>
      <c r="D375" s="1">
        <v>45574</v>
      </c>
      <c r="E375" s="1">
        <v>45577</v>
      </c>
      <c r="F375" t="s">
        <v>1008</v>
      </c>
      <c r="G375" t="s">
        <v>1394</v>
      </c>
      <c r="H375" t="s">
        <v>1480</v>
      </c>
      <c r="I375">
        <v>1</v>
      </c>
      <c r="J375" s="2">
        <v>902.62</v>
      </c>
      <c r="K375" s="3">
        <v>0</v>
      </c>
      <c r="L375" s="2">
        <v>902.62</v>
      </c>
      <c r="M375" s="2">
        <v>250.99</v>
      </c>
      <c r="N375" t="s">
        <v>1494</v>
      </c>
      <c r="O375" t="s">
        <v>1498</v>
      </c>
      <c r="P375" t="s">
        <v>1501</v>
      </c>
    </row>
    <row r="376" spans="1:16" x14ac:dyDescent="0.3">
      <c r="A376">
        <v>375</v>
      </c>
      <c r="B376" t="s">
        <v>369</v>
      </c>
      <c r="C376">
        <v>1</v>
      </c>
      <c r="D376" s="1">
        <v>45574</v>
      </c>
      <c r="E376" s="1">
        <v>45575</v>
      </c>
      <c r="F376" t="s">
        <v>1184</v>
      </c>
      <c r="G376" t="s">
        <v>1390</v>
      </c>
      <c r="H376" t="s">
        <v>1480</v>
      </c>
      <c r="I376">
        <v>2</v>
      </c>
      <c r="J376" s="2">
        <v>38147.39</v>
      </c>
      <c r="K376" s="3">
        <v>0</v>
      </c>
      <c r="L376" s="2">
        <v>76294.78</v>
      </c>
      <c r="M376" s="2">
        <v>21700.080000000002</v>
      </c>
      <c r="N376" t="s">
        <v>1496</v>
      </c>
      <c r="O376" t="s">
        <v>1500</v>
      </c>
      <c r="P376" t="s">
        <v>1501</v>
      </c>
    </row>
    <row r="377" spans="1:16" x14ac:dyDescent="0.3">
      <c r="A377">
        <v>376</v>
      </c>
      <c r="B377" t="s">
        <v>369</v>
      </c>
      <c r="C377">
        <v>2</v>
      </c>
      <c r="D377" s="1">
        <v>45574</v>
      </c>
      <c r="E377" s="1">
        <v>45575</v>
      </c>
      <c r="F377" t="s">
        <v>1184</v>
      </c>
      <c r="G377" t="s">
        <v>1385</v>
      </c>
      <c r="H377" t="s">
        <v>1480</v>
      </c>
      <c r="I377">
        <v>1</v>
      </c>
      <c r="J377" s="2">
        <v>46757.35</v>
      </c>
      <c r="K377" s="3">
        <v>0</v>
      </c>
      <c r="L377" s="2">
        <v>46757.35</v>
      </c>
      <c r="M377" s="2">
        <v>4567.13</v>
      </c>
      <c r="N377" t="s">
        <v>1496</v>
      </c>
      <c r="O377" t="s">
        <v>1500</v>
      </c>
      <c r="P377" t="s">
        <v>1501</v>
      </c>
    </row>
    <row r="378" spans="1:16" x14ac:dyDescent="0.3">
      <c r="A378">
        <v>377</v>
      </c>
      <c r="B378" t="s">
        <v>370</v>
      </c>
      <c r="C378">
        <v>1</v>
      </c>
      <c r="D378" s="1">
        <v>45574</v>
      </c>
      <c r="E378" s="1">
        <v>45575</v>
      </c>
      <c r="F378" t="s">
        <v>1185</v>
      </c>
      <c r="G378" t="s">
        <v>1354</v>
      </c>
      <c r="H378" t="s">
        <v>1480</v>
      </c>
      <c r="I378">
        <v>1</v>
      </c>
      <c r="J378" s="2">
        <v>45654.38</v>
      </c>
      <c r="K378" s="3">
        <v>0</v>
      </c>
      <c r="L378" s="2">
        <v>45654.38</v>
      </c>
      <c r="M378" s="2">
        <v>12954.5</v>
      </c>
      <c r="N378" t="s">
        <v>1495</v>
      </c>
      <c r="O378" t="s">
        <v>1498</v>
      </c>
      <c r="P378" t="s">
        <v>1501</v>
      </c>
    </row>
    <row r="379" spans="1:16" x14ac:dyDescent="0.3">
      <c r="A379">
        <v>378</v>
      </c>
      <c r="B379" t="s">
        <v>371</v>
      </c>
      <c r="C379">
        <v>1</v>
      </c>
      <c r="D379" s="1">
        <v>45575</v>
      </c>
      <c r="F379" t="s">
        <v>1093</v>
      </c>
      <c r="G379" t="s">
        <v>1433</v>
      </c>
      <c r="H379" t="s">
        <v>1480</v>
      </c>
      <c r="I379">
        <v>1</v>
      </c>
      <c r="J379" s="2">
        <v>2067.91</v>
      </c>
      <c r="K379" s="3">
        <v>0</v>
      </c>
      <c r="L379" s="2">
        <v>2067.91</v>
      </c>
      <c r="M379" s="2">
        <v>576.48</v>
      </c>
      <c r="N379" t="s">
        <v>1494</v>
      </c>
      <c r="O379" t="s">
        <v>1498</v>
      </c>
      <c r="P379" t="s">
        <v>1503</v>
      </c>
    </row>
    <row r="380" spans="1:16" x14ac:dyDescent="0.3">
      <c r="A380">
        <v>379</v>
      </c>
      <c r="B380" t="s">
        <v>372</v>
      </c>
      <c r="C380">
        <v>1</v>
      </c>
      <c r="D380" s="1">
        <v>45576</v>
      </c>
      <c r="E380" s="1">
        <v>45577</v>
      </c>
      <c r="F380" t="s">
        <v>973</v>
      </c>
      <c r="G380" t="s">
        <v>1462</v>
      </c>
      <c r="H380" t="s">
        <v>1480</v>
      </c>
      <c r="I380">
        <v>1</v>
      </c>
      <c r="J380" s="2">
        <v>31184.25</v>
      </c>
      <c r="K380" s="3">
        <v>0.1</v>
      </c>
      <c r="L380" s="2">
        <v>28065.83</v>
      </c>
      <c r="M380" s="2">
        <v>2874.73</v>
      </c>
      <c r="N380" t="s">
        <v>1496</v>
      </c>
      <c r="O380" t="s">
        <v>1499</v>
      </c>
      <c r="P380" t="s">
        <v>1501</v>
      </c>
    </row>
    <row r="381" spans="1:16" x14ac:dyDescent="0.3">
      <c r="A381">
        <v>380</v>
      </c>
      <c r="B381" t="s">
        <v>373</v>
      </c>
      <c r="C381">
        <v>1</v>
      </c>
      <c r="D381" s="1">
        <v>45576</v>
      </c>
      <c r="E381" s="1">
        <v>45577</v>
      </c>
      <c r="F381" t="s">
        <v>1186</v>
      </c>
      <c r="G381" t="s">
        <v>1423</v>
      </c>
      <c r="H381" t="s">
        <v>1480</v>
      </c>
      <c r="I381">
        <v>1</v>
      </c>
      <c r="J381" s="2">
        <v>2319.64</v>
      </c>
      <c r="K381" s="3">
        <v>0</v>
      </c>
      <c r="L381" s="2">
        <v>2319.64</v>
      </c>
      <c r="M381" s="2">
        <v>822.13</v>
      </c>
      <c r="N381" t="s">
        <v>1495</v>
      </c>
      <c r="O381" t="s">
        <v>1498</v>
      </c>
      <c r="P381" t="s">
        <v>1501</v>
      </c>
    </row>
    <row r="382" spans="1:16" x14ac:dyDescent="0.3">
      <c r="A382">
        <v>381</v>
      </c>
      <c r="B382" t="s">
        <v>374</v>
      </c>
      <c r="C382">
        <v>1</v>
      </c>
      <c r="D382" s="1">
        <v>45577</v>
      </c>
      <c r="E382" s="1">
        <v>45578</v>
      </c>
      <c r="F382" t="s">
        <v>1187</v>
      </c>
      <c r="G382" t="s">
        <v>1332</v>
      </c>
      <c r="H382" t="s">
        <v>1480</v>
      </c>
      <c r="I382">
        <v>2</v>
      </c>
      <c r="J382" s="2">
        <v>45652.65</v>
      </c>
      <c r="K382" s="3">
        <v>0.1</v>
      </c>
      <c r="L382" s="2">
        <v>82174.77</v>
      </c>
      <c r="M382" s="2">
        <v>5158.7299999999996</v>
      </c>
      <c r="N382" t="s">
        <v>1493</v>
      </c>
      <c r="O382" t="s">
        <v>1499</v>
      </c>
      <c r="P382" t="s">
        <v>1501</v>
      </c>
    </row>
    <row r="383" spans="1:16" x14ac:dyDescent="0.3">
      <c r="A383">
        <v>382</v>
      </c>
      <c r="B383" t="s">
        <v>375</v>
      </c>
      <c r="C383">
        <v>1</v>
      </c>
      <c r="D383" s="1">
        <v>45577</v>
      </c>
      <c r="E383" s="1">
        <v>45579</v>
      </c>
      <c r="F383" t="s">
        <v>1100</v>
      </c>
      <c r="G383" t="s">
        <v>1346</v>
      </c>
      <c r="H383" t="s">
        <v>1480</v>
      </c>
      <c r="I383">
        <v>2</v>
      </c>
      <c r="J383" s="2">
        <v>3324.39</v>
      </c>
      <c r="K383" s="3">
        <v>0</v>
      </c>
      <c r="L383" s="2">
        <v>6648.78</v>
      </c>
      <c r="M383" s="2">
        <v>2468.04</v>
      </c>
      <c r="N383" t="s">
        <v>1494</v>
      </c>
      <c r="O383" t="s">
        <v>1499</v>
      </c>
      <c r="P383" t="s">
        <v>1501</v>
      </c>
    </row>
    <row r="384" spans="1:16" x14ac:dyDescent="0.3">
      <c r="A384">
        <v>383</v>
      </c>
      <c r="B384" t="s">
        <v>376</v>
      </c>
      <c r="C384">
        <v>1</v>
      </c>
      <c r="D384" s="1">
        <v>45577</v>
      </c>
      <c r="E384" s="1">
        <v>45579</v>
      </c>
      <c r="F384" t="s">
        <v>1188</v>
      </c>
      <c r="G384" t="s">
        <v>1337</v>
      </c>
      <c r="H384" t="s">
        <v>1480</v>
      </c>
      <c r="I384">
        <v>1</v>
      </c>
      <c r="J384" s="2">
        <v>12042.96</v>
      </c>
      <c r="K384" s="3">
        <v>0.05</v>
      </c>
      <c r="L384" s="2">
        <v>11440.81</v>
      </c>
      <c r="M384" s="2">
        <v>499.21</v>
      </c>
      <c r="N384" t="s">
        <v>1495</v>
      </c>
      <c r="O384" t="s">
        <v>1498</v>
      </c>
      <c r="P384" t="s">
        <v>1501</v>
      </c>
    </row>
    <row r="385" spans="1:16" x14ac:dyDescent="0.3">
      <c r="A385">
        <v>384</v>
      </c>
      <c r="B385" t="s">
        <v>377</v>
      </c>
      <c r="C385">
        <v>1</v>
      </c>
      <c r="D385" s="1">
        <v>45580</v>
      </c>
      <c r="E385" s="1">
        <v>45581</v>
      </c>
      <c r="F385" t="s">
        <v>1032</v>
      </c>
      <c r="G385" t="s">
        <v>1408</v>
      </c>
      <c r="H385" t="s">
        <v>1484</v>
      </c>
      <c r="I385">
        <v>1</v>
      </c>
      <c r="J385" s="2">
        <v>3284.39</v>
      </c>
      <c r="K385" s="3">
        <v>0.2</v>
      </c>
      <c r="L385" s="2">
        <v>2627.51</v>
      </c>
      <c r="M385" s="2">
        <v>231</v>
      </c>
      <c r="O385" t="s">
        <v>1498</v>
      </c>
      <c r="P385" t="s">
        <v>1501</v>
      </c>
    </row>
    <row r="386" spans="1:16" x14ac:dyDescent="0.3">
      <c r="A386">
        <v>385</v>
      </c>
      <c r="B386" t="s">
        <v>378</v>
      </c>
      <c r="C386">
        <v>1</v>
      </c>
      <c r="D386" s="1">
        <v>45580</v>
      </c>
      <c r="E386" s="1">
        <v>45581</v>
      </c>
      <c r="F386" t="s">
        <v>1167</v>
      </c>
      <c r="G386" t="s">
        <v>1373</v>
      </c>
      <c r="H386" t="s">
        <v>1490</v>
      </c>
      <c r="I386">
        <v>1</v>
      </c>
      <c r="J386" s="2">
        <v>1404.85</v>
      </c>
      <c r="K386" s="3">
        <v>0.2</v>
      </c>
      <c r="L386" s="2">
        <v>1123.8800000000001</v>
      </c>
      <c r="M386" s="2">
        <v>-149.21</v>
      </c>
      <c r="N386" t="s">
        <v>1496</v>
      </c>
      <c r="O386" t="s">
        <v>1498</v>
      </c>
      <c r="P386" t="s">
        <v>1501</v>
      </c>
    </row>
    <row r="387" spans="1:16" x14ac:dyDescent="0.3">
      <c r="A387">
        <v>386</v>
      </c>
      <c r="B387" t="s">
        <v>379</v>
      </c>
      <c r="C387">
        <v>2</v>
      </c>
      <c r="D387" s="1">
        <v>45581</v>
      </c>
      <c r="E387" s="1">
        <v>45584</v>
      </c>
      <c r="F387" t="s">
        <v>999</v>
      </c>
      <c r="G387" t="s">
        <v>1395</v>
      </c>
      <c r="H387" t="s">
        <v>1480</v>
      </c>
      <c r="I387">
        <v>1</v>
      </c>
      <c r="J387" s="2">
        <v>5383.63</v>
      </c>
      <c r="K387" s="3">
        <v>0.05</v>
      </c>
      <c r="L387" s="2">
        <v>5114.45</v>
      </c>
      <c r="M387" s="2">
        <v>905.86</v>
      </c>
      <c r="N387" t="s">
        <v>1496</v>
      </c>
      <c r="O387" t="s">
        <v>1498</v>
      </c>
      <c r="P387" t="s">
        <v>1501</v>
      </c>
    </row>
    <row r="388" spans="1:16" x14ac:dyDescent="0.3">
      <c r="A388">
        <v>387</v>
      </c>
      <c r="B388" t="s">
        <v>380</v>
      </c>
      <c r="C388">
        <v>1</v>
      </c>
      <c r="D388" s="1">
        <v>45581</v>
      </c>
      <c r="E388" s="1">
        <v>45582</v>
      </c>
      <c r="F388" t="s">
        <v>1189</v>
      </c>
      <c r="G388" t="s">
        <v>1346</v>
      </c>
      <c r="H388" t="s">
        <v>1480</v>
      </c>
      <c r="I388">
        <v>2</v>
      </c>
      <c r="J388" s="2">
        <v>3324.39</v>
      </c>
      <c r="K388" s="3">
        <v>0</v>
      </c>
      <c r="L388" s="2">
        <v>6648.78</v>
      </c>
      <c r="M388" s="2">
        <v>2468.04</v>
      </c>
      <c r="N388" t="s">
        <v>1496</v>
      </c>
      <c r="O388" t="s">
        <v>1499</v>
      </c>
      <c r="P388" t="s">
        <v>1501</v>
      </c>
    </row>
    <row r="389" spans="1:16" x14ac:dyDescent="0.3">
      <c r="A389">
        <v>388</v>
      </c>
      <c r="B389" t="s">
        <v>381</v>
      </c>
      <c r="C389">
        <v>3</v>
      </c>
      <c r="D389" s="1">
        <v>45581</v>
      </c>
      <c r="E389" s="1">
        <v>45581</v>
      </c>
      <c r="F389" t="s">
        <v>1071</v>
      </c>
      <c r="G389" t="s">
        <v>1343</v>
      </c>
      <c r="H389" t="s">
        <v>1485</v>
      </c>
      <c r="I389">
        <v>2</v>
      </c>
      <c r="J389" s="2">
        <v>7138.26</v>
      </c>
      <c r="K389" s="3">
        <v>0.05</v>
      </c>
      <c r="L389" s="2">
        <v>13562.69</v>
      </c>
      <c r="M389" s="2">
        <v>2614.11</v>
      </c>
      <c r="N389" t="s">
        <v>1496</v>
      </c>
      <c r="O389" t="s">
        <v>1498</v>
      </c>
      <c r="P389" t="s">
        <v>1501</v>
      </c>
    </row>
    <row r="390" spans="1:16" x14ac:dyDescent="0.3">
      <c r="A390">
        <v>389</v>
      </c>
      <c r="B390" t="s">
        <v>382</v>
      </c>
      <c r="C390">
        <v>2</v>
      </c>
      <c r="D390" s="1">
        <v>45583</v>
      </c>
      <c r="E390" s="1">
        <v>45583</v>
      </c>
      <c r="F390" t="s">
        <v>1190</v>
      </c>
      <c r="G390" t="s">
        <v>1463</v>
      </c>
      <c r="H390" t="s">
        <v>1485</v>
      </c>
      <c r="I390">
        <v>1</v>
      </c>
      <c r="J390" s="2">
        <v>2936.96</v>
      </c>
      <c r="K390" s="3">
        <v>0</v>
      </c>
      <c r="L390" s="2">
        <v>2936.96</v>
      </c>
      <c r="M390" s="2">
        <v>960.44</v>
      </c>
      <c r="N390" t="s">
        <v>1494</v>
      </c>
      <c r="O390" t="s">
        <v>1498</v>
      </c>
      <c r="P390" t="s">
        <v>1501</v>
      </c>
    </row>
    <row r="391" spans="1:16" x14ac:dyDescent="0.3">
      <c r="A391">
        <v>390</v>
      </c>
      <c r="B391" t="s">
        <v>382</v>
      </c>
      <c r="C391">
        <v>3</v>
      </c>
      <c r="D391" s="1">
        <v>45583</v>
      </c>
      <c r="E391" s="1">
        <v>45583</v>
      </c>
      <c r="F391" t="s">
        <v>1190</v>
      </c>
      <c r="G391" t="s">
        <v>1354</v>
      </c>
      <c r="H391" t="s">
        <v>1485</v>
      </c>
      <c r="I391">
        <v>2</v>
      </c>
      <c r="J391" s="2">
        <v>45654.38</v>
      </c>
      <c r="K391" s="3">
        <v>0</v>
      </c>
      <c r="L391" s="2">
        <v>91308.76</v>
      </c>
      <c r="M391" s="2">
        <v>25909</v>
      </c>
      <c r="N391" t="s">
        <v>1494</v>
      </c>
      <c r="O391" t="s">
        <v>1498</v>
      </c>
      <c r="P391" t="s">
        <v>1501</v>
      </c>
    </row>
    <row r="392" spans="1:16" x14ac:dyDescent="0.3">
      <c r="A392">
        <v>391</v>
      </c>
      <c r="B392" t="s">
        <v>383</v>
      </c>
      <c r="C392">
        <v>1</v>
      </c>
      <c r="D392" s="1">
        <v>45584</v>
      </c>
      <c r="E392" s="1">
        <v>45585</v>
      </c>
      <c r="F392" t="s">
        <v>1191</v>
      </c>
      <c r="G392" t="s">
        <v>1423</v>
      </c>
      <c r="H392" t="s">
        <v>1480</v>
      </c>
      <c r="I392">
        <v>1</v>
      </c>
      <c r="J392" s="2">
        <v>2319.64</v>
      </c>
      <c r="K392" s="3">
        <v>0.05</v>
      </c>
      <c r="L392" s="2">
        <v>2203.66</v>
      </c>
      <c r="M392" s="2">
        <v>706.15</v>
      </c>
      <c r="N392" t="s">
        <v>1495</v>
      </c>
      <c r="O392" t="s">
        <v>1498</v>
      </c>
      <c r="P392" t="s">
        <v>1501</v>
      </c>
    </row>
    <row r="393" spans="1:16" x14ac:dyDescent="0.3">
      <c r="A393">
        <v>392</v>
      </c>
      <c r="B393" t="s">
        <v>384</v>
      </c>
      <c r="C393">
        <v>1</v>
      </c>
      <c r="D393" s="1">
        <v>45584</v>
      </c>
      <c r="E393" s="1">
        <v>45585</v>
      </c>
      <c r="F393" t="s">
        <v>1086</v>
      </c>
      <c r="G393" t="s">
        <v>1446</v>
      </c>
      <c r="H393" t="s">
        <v>1489</v>
      </c>
      <c r="I393">
        <v>1</v>
      </c>
      <c r="J393" s="2">
        <v>242.83</v>
      </c>
      <c r="K393" s="3">
        <v>0</v>
      </c>
      <c r="L393" s="2">
        <v>242.83</v>
      </c>
      <c r="M393" s="2">
        <v>57.48</v>
      </c>
      <c r="N393" t="s">
        <v>1494</v>
      </c>
      <c r="O393" t="s">
        <v>1498</v>
      </c>
      <c r="P393" t="s">
        <v>1501</v>
      </c>
    </row>
    <row r="394" spans="1:16" x14ac:dyDescent="0.3">
      <c r="A394">
        <v>393</v>
      </c>
      <c r="B394" t="s">
        <v>385</v>
      </c>
      <c r="C394">
        <v>2</v>
      </c>
      <c r="D394" s="1">
        <v>45584</v>
      </c>
      <c r="E394" s="1">
        <v>45586</v>
      </c>
      <c r="F394" t="s">
        <v>1040</v>
      </c>
      <c r="G394" t="s">
        <v>1458</v>
      </c>
      <c r="H394" t="s">
        <v>1480</v>
      </c>
      <c r="I394">
        <v>1</v>
      </c>
      <c r="J394" s="2">
        <v>6241.95</v>
      </c>
      <c r="K394" s="3">
        <v>0</v>
      </c>
      <c r="L394" s="2">
        <v>6241.95</v>
      </c>
      <c r="M394" s="2">
        <v>1620.83</v>
      </c>
      <c r="N394" t="s">
        <v>1495</v>
      </c>
      <c r="O394" t="s">
        <v>1498</v>
      </c>
      <c r="P394" t="s">
        <v>1501</v>
      </c>
    </row>
    <row r="395" spans="1:16" x14ac:dyDescent="0.3">
      <c r="A395">
        <v>394</v>
      </c>
      <c r="B395" t="s">
        <v>386</v>
      </c>
      <c r="C395">
        <v>1</v>
      </c>
      <c r="D395" s="1">
        <v>45585</v>
      </c>
      <c r="E395" s="1">
        <v>45586</v>
      </c>
      <c r="F395" t="s">
        <v>1100</v>
      </c>
      <c r="G395" t="s">
        <v>1369</v>
      </c>
      <c r="H395" t="s">
        <v>1485</v>
      </c>
      <c r="I395">
        <v>3</v>
      </c>
      <c r="J395" s="2">
        <v>23968.04</v>
      </c>
      <c r="K395" s="3">
        <v>0</v>
      </c>
      <c r="L395" s="2">
        <v>71904.12</v>
      </c>
      <c r="M395" s="2">
        <v>20090.759999999998</v>
      </c>
      <c r="N395" t="s">
        <v>1494</v>
      </c>
      <c r="O395" t="s">
        <v>1498</v>
      </c>
      <c r="P395" t="s">
        <v>1501</v>
      </c>
    </row>
    <row r="396" spans="1:16" x14ac:dyDescent="0.3">
      <c r="A396">
        <v>395</v>
      </c>
      <c r="B396" t="s">
        <v>387</v>
      </c>
      <c r="C396">
        <v>1</v>
      </c>
      <c r="D396" s="1">
        <v>45586</v>
      </c>
      <c r="E396" s="1">
        <v>45587</v>
      </c>
      <c r="F396" t="s">
        <v>1192</v>
      </c>
      <c r="G396" t="s">
        <v>1407</v>
      </c>
      <c r="H396" t="s">
        <v>1492</v>
      </c>
      <c r="I396">
        <v>1</v>
      </c>
      <c r="J396" s="2">
        <v>810.23</v>
      </c>
      <c r="K396" s="3">
        <v>0</v>
      </c>
      <c r="L396" s="2">
        <v>810.23</v>
      </c>
      <c r="M396" s="2">
        <v>91.79</v>
      </c>
      <c r="N396" t="s">
        <v>1496</v>
      </c>
      <c r="O396" t="s">
        <v>1498</v>
      </c>
      <c r="P396" t="s">
        <v>1501</v>
      </c>
    </row>
    <row r="397" spans="1:16" x14ac:dyDescent="0.3">
      <c r="A397">
        <v>396</v>
      </c>
      <c r="B397" t="s">
        <v>388</v>
      </c>
      <c r="C397">
        <v>1</v>
      </c>
      <c r="D397" s="1">
        <v>45586</v>
      </c>
      <c r="E397" s="1">
        <v>45589</v>
      </c>
      <c r="F397" t="s">
        <v>998</v>
      </c>
      <c r="G397" t="s">
        <v>1401</v>
      </c>
      <c r="H397" t="s">
        <v>1480</v>
      </c>
      <c r="I397">
        <v>1</v>
      </c>
      <c r="J397" s="2">
        <v>50900.49</v>
      </c>
      <c r="K397" s="3">
        <v>0</v>
      </c>
      <c r="L397" s="2">
        <v>50900.49</v>
      </c>
      <c r="M397" s="2">
        <v>7930.74</v>
      </c>
      <c r="N397" t="s">
        <v>1496</v>
      </c>
      <c r="O397" t="s">
        <v>1498</v>
      </c>
      <c r="P397" t="s">
        <v>1501</v>
      </c>
    </row>
    <row r="398" spans="1:16" x14ac:dyDescent="0.3">
      <c r="A398">
        <v>397</v>
      </c>
      <c r="B398" t="s">
        <v>389</v>
      </c>
      <c r="C398">
        <v>2</v>
      </c>
      <c r="D398" s="1">
        <v>45586</v>
      </c>
      <c r="E398" s="1">
        <v>45588</v>
      </c>
      <c r="F398" t="s">
        <v>1193</v>
      </c>
      <c r="G398" t="s">
        <v>1448</v>
      </c>
      <c r="H398" t="s">
        <v>1480</v>
      </c>
      <c r="I398">
        <v>2</v>
      </c>
      <c r="J398" s="2">
        <v>579.75</v>
      </c>
      <c r="K398" s="3">
        <v>0.05</v>
      </c>
      <c r="L398" s="2">
        <v>1101.52</v>
      </c>
      <c r="M398" s="2">
        <v>318.54000000000002</v>
      </c>
      <c r="N398" t="s">
        <v>1494</v>
      </c>
      <c r="O398" t="s">
        <v>1498</v>
      </c>
      <c r="P398" t="s">
        <v>1501</v>
      </c>
    </row>
    <row r="399" spans="1:16" x14ac:dyDescent="0.3">
      <c r="A399">
        <v>398</v>
      </c>
      <c r="B399" t="s">
        <v>390</v>
      </c>
      <c r="C399">
        <v>1</v>
      </c>
      <c r="D399" s="1">
        <v>45586</v>
      </c>
      <c r="E399" s="1">
        <v>45587</v>
      </c>
      <c r="F399" t="s">
        <v>1082</v>
      </c>
      <c r="G399" t="s">
        <v>1331</v>
      </c>
      <c r="H399" t="s">
        <v>1489</v>
      </c>
      <c r="I399">
        <v>1</v>
      </c>
      <c r="J399" s="2">
        <v>1520.12</v>
      </c>
      <c r="K399" s="3">
        <v>0.1</v>
      </c>
      <c r="L399" s="2">
        <v>1368.11</v>
      </c>
      <c r="M399" s="2">
        <v>395.68</v>
      </c>
      <c r="N399" t="s">
        <v>1496</v>
      </c>
      <c r="O399" t="s">
        <v>1499</v>
      </c>
      <c r="P399" t="s">
        <v>1501</v>
      </c>
    </row>
    <row r="400" spans="1:16" x14ac:dyDescent="0.3">
      <c r="A400">
        <v>399</v>
      </c>
      <c r="B400" t="s">
        <v>391</v>
      </c>
      <c r="C400">
        <v>1</v>
      </c>
      <c r="D400" s="1">
        <v>45588</v>
      </c>
      <c r="E400" s="1">
        <v>45589</v>
      </c>
      <c r="F400" t="s">
        <v>1194</v>
      </c>
      <c r="G400" t="s">
        <v>1464</v>
      </c>
      <c r="H400" t="s">
        <v>1480</v>
      </c>
      <c r="I400">
        <v>1</v>
      </c>
      <c r="J400" s="2">
        <v>575.37</v>
      </c>
      <c r="K400" s="3">
        <v>0</v>
      </c>
      <c r="L400" s="2">
        <v>575.37</v>
      </c>
      <c r="M400" s="2">
        <v>180.95</v>
      </c>
      <c r="N400" t="s">
        <v>1494</v>
      </c>
      <c r="O400" t="s">
        <v>1499</v>
      </c>
      <c r="P400" t="s">
        <v>1501</v>
      </c>
    </row>
    <row r="401" spans="1:16" x14ac:dyDescent="0.3">
      <c r="A401">
        <v>400</v>
      </c>
      <c r="B401" t="s">
        <v>392</v>
      </c>
      <c r="C401">
        <v>1</v>
      </c>
      <c r="D401" s="1">
        <v>45588</v>
      </c>
      <c r="E401" s="1">
        <v>45590</v>
      </c>
      <c r="F401" t="s">
        <v>1195</v>
      </c>
      <c r="G401" t="s">
        <v>1352</v>
      </c>
      <c r="H401" t="s">
        <v>1480</v>
      </c>
      <c r="I401">
        <v>1</v>
      </c>
      <c r="J401" s="2">
        <v>3696.44</v>
      </c>
      <c r="K401" s="3">
        <v>0</v>
      </c>
      <c r="L401" s="2">
        <v>3696.44</v>
      </c>
      <c r="M401" s="2">
        <v>1613.88</v>
      </c>
      <c r="N401" t="s">
        <v>1495</v>
      </c>
      <c r="O401" t="s">
        <v>1498</v>
      </c>
      <c r="P401" t="s">
        <v>1501</v>
      </c>
    </row>
    <row r="402" spans="1:16" x14ac:dyDescent="0.3">
      <c r="A402">
        <v>401</v>
      </c>
      <c r="B402" t="s">
        <v>393</v>
      </c>
      <c r="C402">
        <v>1</v>
      </c>
      <c r="D402" s="1">
        <v>45589</v>
      </c>
      <c r="E402" s="1">
        <v>45590</v>
      </c>
      <c r="F402" t="s">
        <v>1196</v>
      </c>
      <c r="G402" t="s">
        <v>1456</v>
      </c>
      <c r="H402" t="s">
        <v>1488</v>
      </c>
      <c r="I402">
        <v>1</v>
      </c>
      <c r="J402" s="2">
        <v>43108.17</v>
      </c>
      <c r="K402" s="3">
        <v>0.05</v>
      </c>
      <c r="L402" s="2">
        <v>40952.76</v>
      </c>
      <c r="M402" s="2">
        <v>5375.21</v>
      </c>
      <c r="N402" t="s">
        <v>1496</v>
      </c>
      <c r="O402" t="s">
        <v>1500</v>
      </c>
      <c r="P402" t="s">
        <v>1501</v>
      </c>
    </row>
    <row r="403" spans="1:16" x14ac:dyDescent="0.3">
      <c r="A403">
        <v>402</v>
      </c>
      <c r="B403" t="s">
        <v>394</v>
      </c>
      <c r="C403">
        <v>1</v>
      </c>
      <c r="D403" s="1">
        <v>45590</v>
      </c>
      <c r="E403" s="1">
        <v>45592</v>
      </c>
      <c r="F403" t="s">
        <v>1197</v>
      </c>
      <c r="G403" t="s">
        <v>1465</v>
      </c>
      <c r="H403" t="s">
        <v>1480</v>
      </c>
      <c r="I403">
        <v>1</v>
      </c>
      <c r="J403" s="2">
        <v>2687.95</v>
      </c>
      <c r="K403" s="3">
        <v>0</v>
      </c>
      <c r="L403" s="2">
        <v>2687.95</v>
      </c>
      <c r="M403" s="2">
        <v>1191.42</v>
      </c>
      <c r="N403" t="s">
        <v>1496</v>
      </c>
      <c r="O403" t="s">
        <v>1499</v>
      </c>
      <c r="P403" t="s">
        <v>1501</v>
      </c>
    </row>
    <row r="404" spans="1:16" x14ac:dyDescent="0.3">
      <c r="A404">
        <v>403</v>
      </c>
      <c r="B404" t="s">
        <v>395</v>
      </c>
      <c r="C404">
        <v>1</v>
      </c>
      <c r="D404" s="1">
        <v>45590</v>
      </c>
      <c r="E404" s="1">
        <v>45593</v>
      </c>
      <c r="F404" t="s">
        <v>1156</v>
      </c>
      <c r="G404" t="s">
        <v>1456</v>
      </c>
      <c r="H404" t="s">
        <v>1480</v>
      </c>
      <c r="I404">
        <v>1</v>
      </c>
      <c r="J404" s="2">
        <v>43108.17</v>
      </c>
      <c r="K404" s="3">
        <v>0</v>
      </c>
      <c r="L404" s="2">
        <v>43108.17</v>
      </c>
      <c r="M404" s="2">
        <v>7530.62</v>
      </c>
      <c r="N404" t="s">
        <v>1494</v>
      </c>
      <c r="O404" t="s">
        <v>1499</v>
      </c>
      <c r="P404" t="s">
        <v>1501</v>
      </c>
    </row>
    <row r="405" spans="1:16" x14ac:dyDescent="0.3">
      <c r="A405">
        <v>404</v>
      </c>
      <c r="B405" t="s">
        <v>396</v>
      </c>
      <c r="C405">
        <v>1</v>
      </c>
      <c r="D405" s="1">
        <v>45590</v>
      </c>
      <c r="E405" s="1">
        <v>45590</v>
      </c>
      <c r="F405" t="s">
        <v>1198</v>
      </c>
      <c r="G405" t="s">
        <v>1453</v>
      </c>
      <c r="H405" t="s">
        <v>1487</v>
      </c>
      <c r="I405">
        <v>1</v>
      </c>
      <c r="J405" s="2">
        <v>507.34</v>
      </c>
      <c r="K405" s="3">
        <v>0</v>
      </c>
      <c r="L405" s="2">
        <v>507.34</v>
      </c>
      <c r="M405" s="2">
        <v>193.87</v>
      </c>
      <c r="N405" t="s">
        <v>1495</v>
      </c>
      <c r="O405" t="s">
        <v>1498</v>
      </c>
      <c r="P405" t="s">
        <v>1501</v>
      </c>
    </row>
    <row r="406" spans="1:16" x14ac:dyDescent="0.3">
      <c r="A406">
        <v>405</v>
      </c>
      <c r="B406" t="s">
        <v>397</v>
      </c>
      <c r="C406">
        <v>1</v>
      </c>
      <c r="D406" s="1">
        <v>45590</v>
      </c>
      <c r="E406" s="1">
        <v>45591</v>
      </c>
      <c r="F406" t="s">
        <v>1174</v>
      </c>
      <c r="G406" t="s">
        <v>1415</v>
      </c>
      <c r="H406" t="s">
        <v>1490</v>
      </c>
      <c r="I406">
        <v>1</v>
      </c>
      <c r="J406" s="2">
        <v>4772.1499999999996</v>
      </c>
      <c r="K406" s="3">
        <v>0</v>
      </c>
      <c r="L406" s="2">
        <v>4772.1499999999996</v>
      </c>
      <c r="M406" s="2">
        <v>1210.06</v>
      </c>
      <c r="N406" t="s">
        <v>1493</v>
      </c>
      <c r="O406" t="s">
        <v>1500</v>
      </c>
      <c r="P406" t="s">
        <v>1501</v>
      </c>
    </row>
    <row r="407" spans="1:16" x14ac:dyDescent="0.3">
      <c r="A407">
        <v>406</v>
      </c>
      <c r="B407" t="s">
        <v>397</v>
      </c>
      <c r="C407">
        <v>2</v>
      </c>
      <c r="D407" s="1">
        <v>45590</v>
      </c>
      <c r="E407" s="1">
        <v>45591</v>
      </c>
      <c r="F407" t="s">
        <v>1174</v>
      </c>
      <c r="G407" t="s">
        <v>1446</v>
      </c>
      <c r="H407" t="s">
        <v>1490</v>
      </c>
      <c r="I407">
        <v>3</v>
      </c>
      <c r="J407" s="2">
        <v>242.83</v>
      </c>
      <c r="K407" s="3">
        <v>0.15</v>
      </c>
      <c r="L407" s="2">
        <v>619.22</v>
      </c>
      <c r="M407" s="2">
        <v>63.17</v>
      </c>
      <c r="N407" t="s">
        <v>1493</v>
      </c>
      <c r="O407" t="s">
        <v>1500</v>
      </c>
      <c r="P407" t="s">
        <v>1501</v>
      </c>
    </row>
    <row r="408" spans="1:16" x14ac:dyDescent="0.3">
      <c r="A408">
        <v>407</v>
      </c>
      <c r="B408" t="s">
        <v>398</v>
      </c>
      <c r="C408">
        <v>1</v>
      </c>
      <c r="D408" s="1">
        <v>45590</v>
      </c>
      <c r="E408" s="1">
        <v>45591</v>
      </c>
      <c r="F408" t="s">
        <v>1199</v>
      </c>
      <c r="G408" t="s">
        <v>1346</v>
      </c>
      <c r="H408" t="s">
        <v>1480</v>
      </c>
      <c r="I408">
        <v>1</v>
      </c>
      <c r="J408" s="2">
        <v>3324.39</v>
      </c>
      <c r="K408" s="3">
        <v>0</v>
      </c>
      <c r="L408" s="2">
        <v>3324.39</v>
      </c>
      <c r="M408" s="2">
        <v>1234.02</v>
      </c>
      <c r="N408" t="s">
        <v>1495</v>
      </c>
      <c r="O408" t="s">
        <v>1499</v>
      </c>
      <c r="P408" t="s">
        <v>1501</v>
      </c>
    </row>
    <row r="409" spans="1:16" x14ac:dyDescent="0.3">
      <c r="A409">
        <v>408</v>
      </c>
      <c r="B409" t="s">
        <v>399</v>
      </c>
      <c r="C409">
        <v>1</v>
      </c>
      <c r="D409" s="1">
        <v>45590</v>
      </c>
      <c r="E409" s="1">
        <v>45591</v>
      </c>
      <c r="F409" t="s">
        <v>1172</v>
      </c>
      <c r="G409" t="s">
        <v>1340</v>
      </c>
      <c r="H409" t="s">
        <v>1480</v>
      </c>
      <c r="I409">
        <v>2</v>
      </c>
      <c r="J409" s="2">
        <v>5570.6</v>
      </c>
      <c r="K409" s="3">
        <v>0</v>
      </c>
      <c r="L409" s="2">
        <v>11141.2</v>
      </c>
      <c r="M409" s="2">
        <v>3006.14</v>
      </c>
      <c r="N409" t="s">
        <v>1495</v>
      </c>
      <c r="O409" t="s">
        <v>1498</v>
      </c>
      <c r="P409" t="s">
        <v>1501</v>
      </c>
    </row>
    <row r="410" spans="1:16" x14ac:dyDescent="0.3">
      <c r="A410">
        <v>409</v>
      </c>
      <c r="B410" t="s">
        <v>400</v>
      </c>
      <c r="C410">
        <v>1</v>
      </c>
      <c r="D410" s="1">
        <v>45592</v>
      </c>
      <c r="E410" s="1">
        <v>45592</v>
      </c>
      <c r="F410" t="s">
        <v>1082</v>
      </c>
      <c r="G410" t="s">
        <v>1378</v>
      </c>
      <c r="H410" t="s">
        <v>1487</v>
      </c>
      <c r="I410">
        <v>1</v>
      </c>
      <c r="J410" s="2">
        <v>1378.78</v>
      </c>
      <c r="K410" s="3">
        <v>0.15</v>
      </c>
      <c r="L410" s="2">
        <v>1171.96</v>
      </c>
      <c r="M410" s="2">
        <v>-30.16</v>
      </c>
      <c r="N410" t="s">
        <v>1496</v>
      </c>
      <c r="O410" t="s">
        <v>1498</v>
      </c>
      <c r="P410" t="s">
        <v>1501</v>
      </c>
    </row>
    <row r="411" spans="1:16" x14ac:dyDescent="0.3">
      <c r="A411">
        <v>410</v>
      </c>
      <c r="B411" t="s">
        <v>401</v>
      </c>
      <c r="C411">
        <v>1</v>
      </c>
      <c r="D411" s="1">
        <v>45593</v>
      </c>
      <c r="E411" s="1">
        <v>45594</v>
      </c>
      <c r="F411" t="s">
        <v>1200</v>
      </c>
      <c r="G411" t="s">
        <v>1341</v>
      </c>
      <c r="H411" t="s">
        <v>1486</v>
      </c>
      <c r="I411">
        <v>1</v>
      </c>
      <c r="J411" s="2">
        <v>1648.45</v>
      </c>
      <c r="K411" s="3">
        <v>0</v>
      </c>
      <c r="L411" s="2">
        <v>1648.45</v>
      </c>
      <c r="M411" s="2">
        <v>494.33</v>
      </c>
      <c r="N411" t="s">
        <v>1496</v>
      </c>
      <c r="O411" t="s">
        <v>1498</v>
      </c>
      <c r="P411" t="s">
        <v>1501</v>
      </c>
    </row>
    <row r="412" spans="1:16" x14ac:dyDescent="0.3">
      <c r="A412">
        <v>411</v>
      </c>
      <c r="B412" t="s">
        <v>402</v>
      </c>
      <c r="C412">
        <v>2</v>
      </c>
      <c r="D412" s="1">
        <v>45594</v>
      </c>
      <c r="E412" s="1">
        <v>45594</v>
      </c>
      <c r="F412" t="s">
        <v>1201</v>
      </c>
      <c r="G412" t="s">
        <v>1398</v>
      </c>
      <c r="H412" t="s">
        <v>1485</v>
      </c>
      <c r="I412">
        <v>1</v>
      </c>
      <c r="J412" s="2">
        <v>21441.39</v>
      </c>
      <c r="K412" s="3">
        <v>0.2</v>
      </c>
      <c r="L412" s="2">
        <v>17153.11</v>
      </c>
      <c r="M412" s="2">
        <v>-34.44</v>
      </c>
      <c r="N412" t="s">
        <v>1494</v>
      </c>
      <c r="O412" t="s">
        <v>1498</v>
      </c>
      <c r="P412" t="s">
        <v>1501</v>
      </c>
    </row>
    <row r="413" spans="1:16" x14ac:dyDescent="0.3">
      <c r="A413">
        <v>412</v>
      </c>
      <c r="B413" t="s">
        <v>403</v>
      </c>
      <c r="C413">
        <v>1</v>
      </c>
      <c r="D413" s="1">
        <v>45594</v>
      </c>
      <c r="F413" t="s">
        <v>989</v>
      </c>
      <c r="G413" t="s">
        <v>1453</v>
      </c>
      <c r="H413" t="s">
        <v>1482</v>
      </c>
      <c r="I413">
        <v>1</v>
      </c>
      <c r="J413" s="2">
        <v>507.34</v>
      </c>
      <c r="K413" s="3">
        <v>0</v>
      </c>
      <c r="L413" s="2">
        <v>507.34</v>
      </c>
      <c r="M413" s="2">
        <v>193.87</v>
      </c>
      <c r="N413" t="s">
        <v>1495</v>
      </c>
      <c r="O413" t="s">
        <v>1498</v>
      </c>
      <c r="P413" t="s">
        <v>1503</v>
      </c>
    </row>
    <row r="414" spans="1:16" x14ac:dyDescent="0.3">
      <c r="A414">
        <v>413</v>
      </c>
      <c r="B414" t="s">
        <v>404</v>
      </c>
      <c r="C414">
        <v>1</v>
      </c>
      <c r="D414" s="1">
        <v>45594</v>
      </c>
      <c r="E414" s="1">
        <v>45597</v>
      </c>
      <c r="F414" t="s">
        <v>1007</v>
      </c>
      <c r="G414" t="s">
        <v>1388</v>
      </c>
      <c r="H414" t="s">
        <v>1480</v>
      </c>
      <c r="I414">
        <v>1</v>
      </c>
      <c r="J414" s="2">
        <v>5746.05</v>
      </c>
      <c r="K414" s="3">
        <v>0</v>
      </c>
      <c r="L414" s="2">
        <v>5746.05</v>
      </c>
      <c r="M414" s="2">
        <v>1765.7</v>
      </c>
      <c r="N414" t="s">
        <v>1497</v>
      </c>
      <c r="O414" t="s">
        <v>1500</v>
      </c>
      <c r="P414" t="s">
        <v>1501</v>
      </c>
    </row>
    <row r="415" spans="1:16" x14ac:dyDescent="0.3">
      <c r="A415">
        <v>414</v>
      </c>
      <c r="B415" t="s">
        <v>405</v>
      </c>
      <c r="C415">
        <v>1</v>
      </c>
      <c r="D415" s="1">
        <v>45595</v>
      </c>
      <c r="E415" s="1">
        <v>45598</v>
      </c>
      <c r="F415" t="s">
        <v>1143</v>
      </c>
      <c r="G415" t="s">
        <v>1448</v>
      </c>
      <c r="H415" t="s">
        <v>1480</v>
      </c>
      <c r="I415">
        <v>1</v>
      </c>
      <c r="J415" s="2">
        <v>579.75</v>
      </c>
      <c r="K415" s="3">
        <v>0.2</v>
      </c>
      <c r="L415" s="2">
        <v>463.8</v>
      </c>
      <c r="M415" s="2">
        <v>72.31</v>
      </c>
      <c r="N415" t="s">
        <v>1496</v>
      </c>
      <c r="O415" t="s">
        <v>1498</v>
      </c>
      <c r="P415" t="s">
        <v>1501</v>
      </c>
    </row>
    <row r="416" spans="1:16" x14ac:dyDescent="0.3">
      <c r="A416">
        <v>415</v>
      </c>
      <c r="B416" t="s">
        <v>406</v>
      </c>
      <c r="C416">
        <v>1</v>
      </c>
      <c r="D416" s="1">
        <v>45595</v>
      </c>
      <c r="E416" s="1">
        <v>45597</v>
      </c>
      <c r="F416" t="s">
        <v>1202</v>
      </c>
      <c r="G416" t="s">
        <v>1389</v>
      </c>
      <c r="H416" t="s">
        <v>1480</v>
      </c>
      <c r="I416">
        <v>1</v>
      </c>
      <c r="J416" s="2">
        <v>676.97</v>
      </c>
      <c r="K416" s="3">
        <v>0</v>
      </c>
      <c r="L416" s="2">
        <v>676.97</v>
      </c>
      <c r="M416" s="2">
        <v>54.29</v>
      </c>
      <c r="N416" t="s">
        <v>1496</v>
      </c>
      <c r="O416" t="s">
        <v>1498</v>
      </c>
      <c r="P416" t="s">
        <v>1501</v>
      </c>
    </row>
    <row r="417" spans="1:16" x14ac:dyDescent="0.3">
      <c r="A417">
        <v>416</v>
      </c>
      <c r="B417" t="s">
        <v>407</v>
      </c>
      <c r="C417">
        <v>2</v>
      </c>
      <c r="D417" s="1">
        <v>45596</v>
      </c>
      <c r="E417" s="1">
        <v>45596</v>
      </c>
      <c r="F417" t="s">
        <v>1203</v>
      </c>
      <c r="G417" t="s">
        <v>1414</v>
      </c>
      <c r="H417" t="s">
        <v>1481</v>
      </c>
      <c r="I417">
        <v>1</v>
      </c>
      <c r="J417" s="2">
        <v>20329.61</v>
      </c>
      <c r="K417" s="3">
        <v>0.1</v>
      </c>
      <c r="L417" s="2">
        <v>18296.650000000001</v>
      </c>
      <c r="M417" s="2">
        <v>2929.42</v>
      </c>
      <c r="N417" t="s">
        <v>1495</v>
      </c>
      <c r="O417" t="s">
        <v>1498</v>
      </c>
      <c r="P417" t="s">
        <v>1501</v>
      </c>
    </row>
    <row r="418" spans="1:16" x14ac:dyDescent="0.3">
      <c r="A418">
        <v>417</v>
      </c>
      <c r="B418" t="s">
        <v>408</v>
      </c>
      <c r="C418">
        <v>1</v>
      </c>
      <c r="D418" s="1">
        <v>45596</v>
      </c>
      <c r="E418" s="1">
        <v>45597</v>
      </c>
      <c r="F418" t="s">
        <v>1066</v>
      </c>
      <c r="G418" t="s">
        <v>1382</v>
      </c>
      <c r="H418" t="s">
        <v>1481</v>
      </c>
      <c r="I418">
        <v>1</v>
      </c>
      <c r="J418" s="2">
        <v>561.82000000000005</v>
      </c>
      <c r="K418" s="3">
        <v>0</v>
      </c>
      <c r="L418" s="2">
        <v>561.82000000000005</v>
      </c>
      <c r="M418" s="2">
        <v>45.76</v>
      </c>
      <c r="N418" t="s">
        <v>1494</v>
      </c>
      <c r="O418" t="s">
        <v>1498</v>
      </c>
      <c r="P418" t="s">
        <v>1501</v>
      </c>
    </row>
    <row r="419" spans="1:16" x14ac:dyDescent="0.3">
      <c r="A419">
        <v>418</v>
      </c>
      <c r="B419" t="s">
        <v>409</v>
      </c>
      <c r="C419">
        <v>2</v>
      </c>
      <c r="D419" s="1">
        <v>45597</v>
      </c>
      <c r="E419" s="1">
        <v>45599</v>
      </c>
      <c r="F419" t="s">
        <v>1204</v>
      </c>
      <c r="G419" t="s">
        <v>1415</v>
      </c>
      <c r="H419" t="s">
        <v>1480</v>
      </c>
      <c r="I419">
        <v>2</v>
      </c>
      <c r="J419" s="2">
        <v>4772.1499999999996</v>
      </c>
      <c r="K419" s="3">
        <v>0</v>
      </c>
      <c r="L419" s="2">
        <v>9544.2999999999993</v>
      </c>
      <c r="M419" s="2">
        <v>2420.12</v>
      </c>
      <c r="N419" t="s">
        <v>1496</v>
      </c>
      <c r="O419" t="s">
        <v>1499</v>
      </c>
      <c r="P419" t="s">
        <v>1501</v>
      </c>
    </row>
    <row r="420" spans="1:16" x14ac:dyDescent="0.3">
      <c r="A420">
        <v>419</v>
      </c>
      <c r="B420" t="s">
        <v>410</v>
      </c>
      <c r="C420">
        <v>1</v>
      </c>
      <c r="D420" s="1">
        <v>45598</v>
      </c>
      <c r="E420" s="1">
        <v>45599</v>
      </c>
      <c r="F420" t="s">
        <v>1205</v>
      </c>
      <c r="G420" t="s">
        <v>1394</v>
      </c>
      <c r="H420" t="s">
        <v>1486</v>
      </c>
      <c r="I420">
        <v>1</v>
      </c>
      <c r="J420" s="2">
        <v>902.62</v>
      </c>
      <c r="K420" s="3">
        <v>0.15</v>
      </c>
      <c r="L420" s="2">
        <v>767.23</v>
      </c>
      <c r="M420" s="2">
        <v>115.6</v>
      </c>
      <c r="N420" t="s">
        <v>1494</v>
      </c>
      <c r="O420" t="s">
        <v>1498</v>
      </c>
      <c r="P420" t="s">
        <v>1501</v>
      </c>
    </row>
    <row r="421" spans="1:16" x14ac:dyDescent="0.3">
      <c r="A421">
        <v>420</v>
      </c>
      <c r="B421" t="s">
        <v>411</v>
      </c>
      <c r="C421">
        <v>1</v>
      </c>
      <c r="D421" s="1">
        <v>45598</v>
      </c>
      <c r="E421" s="1">
        <v>45601</v>
      </c>
      <c r="F421" t="s">
        <v>1137</v>
      </c>
      <c r="G421" t="s">
        <v>1412</v>
      </c>
      <c r="H421" t="s">
        <v>1480</v>
      </c>
      <c r="I421">
        <v>1</v>
      </c>
      <c r="J421" s="2">
        <v>78073.17</v>
      </c>
      <c r="K421" s="3">
        <v>0</v>
      </c>
      <c r="L421" s="2">
        <v>78073.17</v>
      </c>
      <c r="M421" s="2">
        <v>12188.31</v>
      </c>
      <c r="N421" t="s">
        <v>1496</v>
      </c>
      <c r="O421" t="s">
        <v>1498</v>
      </c>
      <c r="P421" t="s">
        <v>1501</v>
      </c>
    </row>
    <row r="422" spans="1:16" x14ac:dyDescent="0.3">
      <c r="A422">
        <v>421</v>
      </c>
      <c r="B422" t="s">
        <v>412</v>
      </c>
      <c r="C422">
        <v>2</v>
      </c>
      <c r="D422" s="1">
        <v>45598</v>
      </c>
      <c r="E422" s="1">
        <v>45599</v>
      </c>
      <c r="F422" t="s">
        <v>1206</v>
      </c>
      <c r="G422" t="s">
        <v>1341</v>
      </c>
      <c r="H422" t="s">
        <v>1480</v>
      </c>
      <c r="I422">
        <v>1</v>
      </c>
      <c r="J422" s="2">
        <v>1648.45</v>
      </c>
      <c r="K422" s="3">
        <v>0.25</v>
      </c>
      <c r="L422" s="2">
        <v>1236.3399999999999</v>
      </c>
      <c r="M422" s="2">
        <v>82.22</v>
      </c>
      <c r="N422" t="s">
        <v>1494</v>
      </c>
      <c r="O422" t="s">
        <v>1498</v>
      </c>
      <c r="P422" t="s">
        <v>1501</v>
      </c>
    </row>
    <row r="423" spans="1:16" x14ac:dyDescent="0.3">
      <c r="A423">
        <v>422</v>
      </c>
      <c r="B423" t="s">
        <v>413</v>
      </c>
      <c r="C423">
        <v>1</v>
      </c>
      <c r="D423" s="1">
        <v>45600</v>
      </c>
      <c r="E423" s="1">
        <v>45603</v>
      </c>
      <c r="F423" t="s">
        <v>1207</v>
      </c>
      <c r="G423" t="s">
        <v>1370</v>
      </c>
      <c r="H423" t="s">
        <v>1480</v>
      </c>
      <c r="I423">
        <v>1</v>
      </c>
      <c r="J423" s="2">
        <v>19480.22</v>
      </c>
      <c r="K423" s="3">
        <v>0</v>
      </c>
      <c r="L423" s="2">
        <v>19480.22</v>
      </c>
      <c r="M423" s="2">
        <v>1671.99</v>
      </c>
      <c r="N423" t="s">
        <v>1495</v>
      </c>
      <c r="O423" t="s">
        <v>1498</v>
      </c>
      <c r="P423" t="s">
        <v>1501</v>
      </c>
    </row>
    <row r="424" spans="1:16" x14ac:dyDescent="0.3">
      <c r="A424">
        <v>423</v>
      </c>
      <c r="B424" t="s">
        <v>414</v>
      </c>
      <c r="C424">
        <v>1</v>
      </c>
      <c r="D424" s="1">
        <v>45604</v>
      </c>
      <c r="E424" s="1">
        <v>45604</v>
      </c>
      <c r="F424" t="s">
        <v>1110</v>
      </c>
      <c r="G424" t="s">
        <v>1338</v>
      </c>
      <c r="H424" t="s">
        <v>1491</v>
      </c>
      <c r="I424">
        <v>3</v>
      </c>
      <c r="J424" s="2">
        <v>1151.02</v>
      </c>
      <c r="K424" s="3">
        <v>0.15</v>
      </c>
      <c r="L424" s="2">
        <v>2935.1</v>
      </c>
      <c r="M424" s="2">
        <v>-69.31</v>
      </c>
      <c r="N424" t="s">
        <v>1496</v>
      </c>
      <c r="O424" t="s">
        <v>1498</v>
      </c>
      <c r="P424" t="s">
        <v>1501</v>
      </c>
    </row>
    <row r="425" spans="1:16" x14ac:dyDescent="0.3">
      <c r="A425">
        <v>424</v>
      </c>
      <c r="B425" t="s">
        <v>415</v>
      </c>
      <c r="C425">
        <v>2</v>
      </c>
      <c r="D425" s="1">
        <v>45604</v>
      </c>
      <c r="E425" s="1">
        <v>45605</v>
      </c>
      <c r="F425" t="s">
        <v>1172</v>
      </c>
      <c r="G425" t="s">
        <v>1412</v>
      </c>
      <c r="H425" t="s">
        <v>1490</v>
      </c>
      <c r="I425">
        <v>1</v>
      </c>
      <c r="J425" s="2">
        <v>78073.17</v>
      </c>
      <c r="K425" s="3">
        <v>0.05</v>
      </c>
      <c r="L425" s="2">
        <v>74169.509999999995</v>
      </c>
      <c r="M425" s="2">
        <v>8284.65</v>
      </c>
      <c r="N425" t="s">
        <v>1495</v>
      </c>
      <c r="O425" t="s">
        <v>1499</v>
      </c>
      <c r="P425" t="s">
        <v>1501</v>
      </c>
    </row>
    <row r="426" spans="1:16" x14ac:dyDescent="0.3">
      <c r="A426">
        <v>425</v>
      </c>
      <c r="B426" t="s">
        <v>416</v>
      </c>
      <c r="C426">
        <v>2</v>
      </c>
      <c r="D426" s="1">
        <v>45605</v>
      </c>
      <c r="E426" s="1">
        <v>45606</v>
      </c>
      <c r="F426" t="s">
        <v>1131</v>
      </c>
      <c r="G426" t="s">
        <v>1415</v>
      </c>
      <c r="H426" t="s">
        <v>1481</v>
      </c>
      <c r="I426">
        <v>1</v>
      </c>
      <c r="J426" s="2">
        <v>4772.1499999999996</v>
      </c>
      <c r="K426" s="3">
        <v>0</v>
      </c>
      <c r="L426" s="2">
        <v>4772.1499999999996</v>
      </c>
      <c r="M426" s="2">
        <v>1210.06</v>
      </c>
      <c r="N426" t="s">
        <v>1496</v>
      </c>
      <c r="O426" t="s">
        <v>1498</v>
      </c>
      <c r="P426" t="s">
        <v>1501</v>
      </c>
    </row>
    <row r="427" spans="1:16" x14ac:dyDescent="0.3">
      <c r="A427">
        <v>426</v>
      </c>
      <c r="B427" t="s">
        <v>417</v>
      </c>
      <c r="C427">
        <v>1</v>
      </c>
      <c r="D427" s="1">
        <v>45605</v>
      </c>
      <c r="E427" s="1">
        <v>45605</v>
      </c>
      <c r="F427" t="s">
        <v>1208</v>
      </c>
      <c r="G427" t="s">
        <v>1397</v>
      </c>
      <c r="H427" t="s">
        <v>1485</v>
      </c>
      <c r="I427">
        <v>1</v>
      </c>
      <c r="J427" s="2">
        <v>42202.74</v>
      </c>
      <c r="K427" s="3">
        <v>0</v>
      </c>
      <c r="L427" s="2">
        <v>42202.74</v>
      </c>
      <c r="M427" s="2">
        <v>7787.76</v>
      </c>
      <c r="N427" t="s">
        <v>1494</v>
      </c>
      <c r="O427" t="s">
        <v>1499</v>
      </c>
      <c r="P427" t="s">
        <v>1501</v>
      </c>
    </row>
    <row r="428" spans="1:16" x14ac:dyDescent="0.3">
      <c r="A428">
        <v>427</v>
      </c>
      <c r="B428" t="s">
        <v>418</v>
      </c>
      <c r="C428">
        <v>1</v>
      </c>
      <c r="D428" s="1">
        <v>45605</v>
      </c>
      <c r="E428" s="1">
        <v>45606</v>
      </c>
      <c r="F428" t="s">
        <v>1003</v>
      </c>
      <c r="G428" t="s">
        <v>1332</v>
      </c>
      <c r="H428" t="s">
        <v>1481</v>
      </c>
      <c r="I428">
        <v>2</v>
      </c>
      <c r="J428" s="2">
        <v>45652.65</v>
      </c>
      <c r="K428" s="3">
        <v>0</v>
      </c>
      <c r="L428" s="2">
        <v>91305.3</v>
      </c>
      <c r="M428" s="2">
        <v>14289.26</v>
      </c>
      <c r="N428" t="s">
        <v>1494</v>
      </c>
      <c r="O428" t="s">
        <v>1498</v>
      </c>
      <c r="P428" t="s">
        <v>1501</v>
      </c>
    </row>
    <row r="429" spans="1:16" x14ac:dyDescent="0.3">
      <c r="A429">
        <v>428</v>
      </c>
      <c r="B429" t="s">
        <v>419</v>
      </c>
      <c r="C429">
        <v>1</v>
      </c>
      <c r="D429" s="1">
        <v>45605</v>
      </c>
      <c r="E429" s="1">
        <v>45607</v>
      </c>
      <c r="F429" t="s">
        <v>1122</v>
      </c>
      <c r="G429" t="s">
        <v>1375</v>
      </c>
      <c r="H429" t="s">
        <v>1480</v>
      </c>
      <c r="I429">
        <v>1</v>
      </c>
      <c r="J429" s="2">
        <v>35534</v>
      </c>
      <c r="K429" s="3">
        <v>0.1</v>
      </c>
      <c r="L429" s="2">
        <v>31980.6</v>
      </c>
      <c r="M429" s="2">
        <v>2248.16</v>
      </c>
      <c r="N429" t="s">
        <v>1495</v>
      </c>
      <c r="O429" t="s">
        <v>1499</v>
      </c>
      <c r="P429" t="s">
        <v>1501</v>
      </c>
    </row>
    <row r="430" spans="1:16" x14ac:dyDescent="0.3">
      <c r="A430">
        <v>429</v>
      </c>
      <c r="B430" t="s">
        <v>420</v>
      </c>
      <c r="C430">
        <v>1</v>
      </c>
      <c r="D430" s="1">
        <v>45606</v>
      </c>
      <c r="E430" s="1">
        <v>45606</v>
      </c>
      <c r="F430" t="s">
        <v>1007</v>
      </c>
      <c r="G430" t="s">
        <v>1378</v>
      </c>
      <c r="H430" t="s">
        <v>1491</v>
      </c>
      <c r="I430">
        <v>1</v>
      </c>
      <c r="J430" s="2">
        <v>1378.78</v>
      </c>
      <c r="K430" s="3">
        <v>0.05</v>
      </c>
      <c r="L430" s="2">
        <v>1309.8399999999999</v>
      </c>
      <c r="M430" s="2">
        <v>107.72</v>
      </c>
      <c r="N430" t="s">
        <v>1496</v>
      </c>
      <c r="O430" t="s">
        <v>1499</v>
      </c>
      <c r="P430" t="s">
        <v>1502</v>
      </c>
    </row>
    <row r="431" spans="1:16" x14ac:dyDescent="0.3">
      <c r="A431">
        <v>430</v>
      </c>
      <c r="B431" t="s">
        <v>421</v>
      </c>
      <c r="C431">
        <v>2</v>
      </c>
      <c r="D431" s="1">
        <v>45606</v>
      </c>
      <c r="E431" s="1">
        <v>45609</v>
      </c>
      <c r="F431" t="s">
        <v>1209</v>
      </c>
      <c r="G431" t="s">
        <v>1339</v>
      </c>
      <c r="H431" t="s">
        <v>1480</v>
      </c>
      <c r="I431">
        <v>1</v>
      </c>
      <c r="J431" s="2">
        <v>763.54</v>
      </c>
      <c r="K431" s="3">
        <v>0.15</v>
      </c>
      <c r="L431" s="2">
        <v>649.01</v>
      </c>
      <c r="M431" s="2">
        <v>126.45</v>
      </c>
      <c r="N431" t="s">
        <v>1494</v>
      </c>
      <c r="O431" t="s">
        <v>1498</v>
      </c>
      <c r="P431" t="s">
        <v>1501</v>
      </c>
    </row>
    <row r="432" spans="1:16" x14ac:dyDescent="0.3">
      <c r="A432">
        <v>431</v>
      </c>
      <c r="B432" t="s">
        <v>422</v>
      </c>
      <c r="C432">
        <v>1</v>
      </c>
      <c r="D432" s="1">
        <v>45606</v>
      </c>
      <c r="E432" s="1">
        <v>45607</v>
      </c>
      <c r="F432" t="s">
        <v>1210</v>
      </c>
      <c r="G432" t="s">
        <v>1364</v>
      </c>
      <c r="H432" t="s">
        <v>1488</v>
      </c>
      <c r="I432">
        <v>1</v>
      </c>
      <c r="J432" s="2">
        <v>590.01</v>
      </c>
      <c r="K432" s="3">
        <v>0</v>
      </c>
      <c r="L432" s="2">
        <v>590.01</v>
      </c>
      <c r="M432" s="2">
        <v>72.55</v>
      </c>
      <c r="N432" t="s">
        <v>1496</v>
      </c>
      <c r="O432" t="s">
        <v>1499</v>
      </c>
      <c r="P432" t="s">
        <v>1501</v>
      </c>
    </row>
    <row r="433" spans="1:16" x14ac:dyDescent="0.3">
      <c r="A433">
        <v>432</v>
      </c>
      <c r="B433" t="s">
        <v>423</v>
      </c>
      <c r="C433">
        <v>2</v>
      </c>
      <c r="D433" s="1">
        <v>45607</v>
      </c>
      <c r="E433" s="1">
        <v>45607</v>
      </c>
      <c r="F433" t="s">
        <v>1211</v>
      </c>
      <c r="G433" t="s">
        <v>1466</v>
      </c>
      <c r="H433" t="s">
        <v>1479</v>
      </c>
      <c r="I433">
        <v>1</v>
      </c>
      <c r="J433" s="2">
        <v>800.48</v>
      </c>
      <c r="K433" s="3">
        <v>0.15</v>
      </c>
      <c r="L433" s="2">
        <v>680.41</v>
      </c>
      <c r="M433" s="2">
        <v>166.09</v>
      </c>
      <c r="N433" t="s">
        <v>1495</v>
      </c>
      <c r="O433" t="s">
        <v>1498</v>
      </c>
      <c r="P433" t="s">
        <v>1501</v>
      </c>
    </row>
    <row r="434" spans="1:16" x14ac:dyDescent="0.3">
      <c r="A434">
        <v>433</v>
      </c>
      <c r="B434" t="s">
        <v>424</v>
      </c>
      <c r="C434">
        <v>3</v>
      </c>
      <c r="D434" s="1">
        <v>45607</v>
      </c>
      <c r="E434" s="1">
        <v>45609</v>
      </c>
      <c r="F434" t="s">
        <v>1212</v>
      </c>
      <c r="G434" t="s">
        <v>1438</v>
      </c>
      <c r="H434" t="s">
        <v>1480</v>
      </c>
      <c r="I434">
        <v>1</v>
      </c>
      <c r="J434" s="2">
        <v>77432.27</v>
      </c>
      <c r="K434" s="3">
        <v>0</v>
      </c>
      <c r="L434" s="2">
        <v>77432.27</v>
      </c>
      <c r="M434" s="2">
        <v>8717.52</v>
      </c>
      <c r="N434" t="s">
        <v>1495</v>
      </c>
      <c r="O434" t="s">
        <v>1498</v>
      </c>
      <c r="P434" t="s">
        <v>1501</v>
      </c>
    </row>
    <row r="435" spans="1:16" x14ac:dyDescent="0.3">
      <c r="A435">
        <v>434</v>
      </c>
      <c r="B435" t="s">
        <v>425</v>
      </c>
      <c r="C435">
        <v>3</v>
      </c>
      <c r="D435" s="1">
        <v>45608</v>
      </c>
      <c r="E435" s="1">
        <v>45608</v>
      </c>
      <c r="F435" t="s">
        <v>1213</v>
      </c>
      <c r="G435" t="s">
        <v>1454</v>
      </c>
      <c r="H435" t="s">
        <v>1488</v>
      </c>
      <c r="I435">
        <v>1</v>
      </c>
      <c r="J435" s="2">
        <v>51141.75</v>
      </c>
      <c r="K435" s="3">
        <v>0</v>
      </c>
      <c r="L435" s="2">
        <v>51141.75</v>
      </c>
      <c r="M435" s="2">
        <v>6922.44</v>
      </c>
      <c r="N435" t="s">
        <v>1496</v>
      </c>
      <c r="O435" t="s">
        <v>1498</v>
      </c>
      <c r="P435" t="s">
        <v>1501</v>
      </c>
    </row>
    <row r="436" spans="1:16" x14ac:dyDescent="0.3">
      <c r="A436">
        <v>435</v>
      </c>
      <c r="B436" t="s">
        <v>426</v>
      </c>
      <c r="C436">
        <v>1</v>
      </c>
      <c r="D436" s="1">
        <v>45610</v>
      </c>
      <c r="E436" s="1">
        <v>45610</v>
      </c>
      <c r="F436" t="s">
        <v>1120</v>
      </c>
      <c r="G436" t="s">
        <v>1433</v>
      </c>
      <c r="H436" t="s">
        <v>1484</v>
      </c>
      <c r="I436">
        <v>1</v>
      </c>
      <c r="J436" s="2">
        <v>2067.91</v>
      </c>
      <c r="K436" s="3">
        <v>0</v>
      </c>
      <c r="L436" s="2">
        <v>2067.91</v>
      </c>
      <c r="M436" s="2">
        <v>576.48</v>
      </c>
      <c r="N436" t="s">
        <v>1497</v>
      </c>
      <c r="O436" t="s">
        <v>1499</v>
      </c>
      <c r="P436" t="s">
        <v>1502</v>
      </c>
    </row>
    <row r="437" spans="1:16" x14ac:dyDescent="0.3">
      <c r="A437">
        <v>436</v>
      </c>
      <c r="B437" t="s">
        <v>426</v>
      </c>
      <c r="C437">
        <v>2</v>
      </c>
      <c r="D437" s="1">
        <v>45610</v>
      </c>
      <c r="E437" s="1">
        <v>45610</v>
      </c>
      <c r="F437" t="s">
        <v>1120</v>
      </c>
      <c r="G437" t="s">
        <v>1347</v>
      </c>
      <c r="H437" t="s">
        <v>1484</v>
      </c>
      <c r="I437">
        <v>1</v>
      </c>
      <c r="J437" s="2">
        <v>56707.06</v>
      </c>
      <c r="K437" s="3">
        <v>0.1</v>
      </c>
      <c r="L437" s="2">
        <v>51036.35</v>
      </c>
      <c r="M437" s="2">
        <v>3293.14</v>
      </c>
      <c r="N437" t="s">
        <v>1497</v>
      </c>
      <c r="O437" t="s">
        <v>1499</v>
      </c>
      <c r="P437" t="s">
        <v>1502</v>
      </c>
    </row>
    <row r="438" spans="1:16" x14ac:dyDescent="0.3">
      <c r="A438">
        <v>437</v>
      </c>
      <c r="B438" t="s">
        <v>427</v>
      </c>
      <c r="C438">
        <v>1</v>
      </c>
      <c r="D438" s="1">
        <v>45611</v>
      </c>
      <c r="E438" s="1">
        <v>45614</v>
      </c>
      <c r="F438" t="s">
        <v>1086</v>
      </c>
      <c r="G438" t="s">
        <v>1387</v>
      </c>
      <c r="H438" t="s">
        <v>1480</v>
      </c>
      <c r="I438">
        <v>1</v>
      </c>
      <c r="J438" s="2">
        <v>2184.2199999999998</v>
      </c>
      <c r="K438" s="3">
        <v>0</v>
      </c>
      <c r="L438" s="2">
        <v>2184.2199999999998</v>
      </c>
      <c r="M438" s="2">
        <v>542.11</v>
      </c>
      <c r="N438" t="s">
        <v>1495</v>
      </c>
      <c r="O438" t="s">
        <v>1499</v>
      </c>
      <c r="P438" t="s">
        <v>1501</v>
      </c>
    </row>
    <row r="439" spans="1:16" x14ac:dyDescent="0.3">
      <c r="A439">
        <v>438</v>
      </c>
      <c r="B439" t="s">
        <v>428</v>
      </c>
      <c r="C439">
        <v>1</v>
      </c>
      <c r="D439" s="1">
        <v>45611</v>
      </c>
      <c r="E439" s="1">
        <v>45613</v>
      </c>
      <c r="F439" t="s">
        <v>1214</v>
      </c>
      <c r="G439" t="s">
        <v>1350</v>
      </c>
      <c r="H439" t="s">
        <v>1480</v>
      </c>
      <c r="I439">
        <v>2</v>
      </c>
      <c r="J439" s="2">
        <v>53290.400000000001</v>
      </c>
      <c r="K439" s="3">
        <v>0</v>
      </c>
      <c r="L439" s="2">
        <v>106580.8</v>
      </c>
      <c r="M439" s="2">
        <v>14463.36</v>
      </c>
      <c r="N439" t="s">
        <v>1496</v>
      </c>
      <c r="O439" t="s">
        <v>1499</v>
      </c>
      <c r="P439" t="s">
        <v>1501</v>
      </c>
    </row>
    <row r="440" spans="1:16" x14ac:dyDescent="0.3">
      <c r="A440">
        <v>439</v>
      </c>
      <c r="B440" t="s">
        <v>429</v>
      </c>
      <c r="C440">
        <v>1</v>
      </c>
      <c r="D440" s="1">
        <v>45611</v>
      </c>
      <c r="E440" s="1">
        <v>45613</v>
      </c>
      <c r="F440" t="s">
        <v>1215</v>
      </c>
      <c r="G440" t="s">
        <v>1358</v>
      </c>
      <c r="H440" t="s">
        <v>1480</v>
      </c>
      <c r="I440">
        <v>1</v>
      </c>
      <c r="J440" s="2">
        <v>37487.300000000003</v>
      </c>
      <c r="K440" s="3">
        <v>0.1</v>
      </c>
      <c r="L440" s="2">
        <v>33738.57</v>
      </c>
      <c r="M440" s="2">
        <v>-145.18</v>
      </c>
      <c r="N440" t="s">
        <v>1495</v>
      </c>
      <c r="O440" t="s">
        <v>1498</v>
      </c>
      <c r="P440" t="s">
        <v>1501</v>
      </c>
    </row>
    <row r="441" spans="1:16" x14ac:dyDescent="0.3">
      <c r="A441">
        <v>440</v>
      </c>
      <c r="B441" t="s">
        <v>430</v>
      </c>
      <c r="C441">
        <v>2</v>
      </c>
      <c r="D441" s="1">
        <v>45612</v>
      </c>
      <c r="E441" s="1">
        <v>45612</v>
      </c>
      <c r="F441" t="s">
        <v>1007</v>
      </c>
      <c r="G441" t="s">
        <v>1369</v>
      </c>
      <c r="H441" t="s">
        <v>1484</v>
      </c>
      <c r="I441">
        <v>1</v>
      </c>
      <c r="J441" s="2">
        <v>23968.04</v>
      </c>
      <c r="K441" s="3">
        <v>0.05</v>
      </c>
      <c r="L441" s="2">
        <v>22769.64</v>
      </c>
      <c r="M441" s="2">
        <v>5498.52</v>
      </c>
      <c r="N441" t="s">
        <v>1495</v>
      </c>
      <c r="O441" t="s">
        <v>1498</v>
      </c>
      <c r="P441" t="s">
        <v>1501</v>
      </c>
    </row>
    <row r="442" spans="1:16" x14ac:dyDescent="0.3">
      <c r="A442">
        <v>441</v>
      </c>
      <c r="B442" t="s">
        <v>431</v>
      </c>
      <c r="C442">
        <v>1</v>
      </c>
      <c r="D442" s="1">
        <v>45612</v>
      </c>
      <c r="E442" s="1">
        <v>45613</v>
      </c>
      <c r="F442" t="s">
        <v>1216</v>
      </c>
      <c r="G442" t="s">
        <v>1395</v>
      </c>
      <c r="H442" t="s">
        <v>1478</v>
      </c>
      <c r="I442">
        <v>1</v>
      </c>
      <c r="J442" s="2">
        <v>5383.63</v>
      </c>
      <c r="K442" s="3">
        <v>0</v>
      </c>
      <c r="L442" s="2">
        <v>5383.63</v>
      </c>
      <c r="M442" s="2">
        <v>1175.04</v>
      </c>
      <c r="O442" t="s">
        <v>1500</v>
      </c>
      <c r="P442" t="s">
        <v>1501</v>
      </c>
    </row>
    <row r="443" spans="1:16" x14ac:dyDescent="0.3">
      <c r="A443">
        <v>442</v>
      </c>
      <c r="B443" t="s">
        <v>432</v>
      </c>
      <c r="C443">
        <v>1</v>
      </c>
      <c r="D443" s="1">
        <v>45612</v>
      </c>
      <c r="E443" s="1">
        <v>45615</v>
      </c>
      <c r="F443" t="s">
        <v>1215</v>
      </c>
      <c r="G443" t="s">
        <v>1455</v>
      </c>
      <c r="H443" t="s">
        <v>1480</v>
      </c>
      <c r="I443">
        <v>2</v>
      </c>
      <c r="J443" s="2">
        <v>50791.32</v>
      </c>
      <c r="K443" s="3">
        <v>0</v>
      </c>
      <c r="L443" s="2">
        <v>101582.64</v>
      </c>
      <c r="M443" s="2">
        <v>11802</v>
      </c>
      <c r="N443" t="s">
        <v>1496</v>
      </c>
      <c r="O443" t="s">
        <v>1498</v>
      </c>
      <c r="P443" t="s">
        <v>1501</v>
      </c>
    </row>
    <row r="444" spans="1:16" x14ac:dyDescent="0.3">
      <c r="A444">
        <v>443</v>
      </c>
      <c r="B444" t="s">
        <v>433</v>
      </c>
      <c r="C444">
        <v>1</v>
      </c>
      <c r="D444" s="1">
        <v>45613</v>
      </c>
      <c r="E444" s="1">
        <v>45615</v>
      </c>
      <c r="F444" t="s">
        <v>1119</v>
      </c>
      <c r="G444" t="s">
        <v>1348</v>
      </c>
      <c r="H444" t="s">
        <v>1480</v>
      </c>
      <c r="I444">
        <v>1</v>
      </c>
      <c r="J444" s="2">
        <v>921.12</v>
      </c>
      <c r="K444" s="3">
        <v>0</v>
      </c>
      <c r="L444" s="2">
        <v>921.12</v>
      </c>
      <c r="M444" s="2">
        <v>383.08</v>
      </c>
      <c r="N444" t="s">
        <v>1496</v>
      </c>
      <c r="O444" t="s">
        <v>1499</v>
      </c>
      <c r="P444" t="s">
        <v>1501</v>
      </c>
    </row>
    <row r="445" spans="1:16" x14ac:dyDescent="0.3">
      <c r="A445">
        <v>444</v>
      </c>
      <c r="B445" t="s">
        <v>434</v>
      </c>
      <c r="C445">
        <v>2</v>
      </c>
      <c r="D445" s="1">
        <v>45613</v>
      </c>
      <c r="E445" s="1">
        <v>45613</v>
      </c>
      <c r="F445" t="s">
        <v>1217</v>
      </c>
      <c r="G445" t="s">
        <v>1366</v>
      </c>
      <c r="H445" t="s">
        <v>1490</v>
      </c>
      <c r="I445">
        <v>1</v>
      </c>
      <c r="J445" s="2">
        <v>1397.64</v>
      </c>
      <c r="K445" s="3">
        <v>0</v>
      </c>
      <c r="L445" s="2">
        <v>1397.64</v>
      </c>
      <c r="M445" s="2">
        <v>86.62</v>
      </c>
      <c r="N445" t="s">
        <v>1496</v>
      </c>
      <c r="O445" t="s">
        <v>1500</v>
      </c>
      <c r="P445" t="s">
        <v>1501</v>
      </c>
    </row>
    <row r="446" spans="1:16" x14ac:dyDescent="0.3">
      <c r="A446">
        <v>445</v>
      </c>
      <c r="B446" t="s">
        <v>435</v>
      </c>
      <c r="C446">
        <v>1</v>
      </c>
      <c r="D446" s="1">
        <v>45614</v>
      </c>
      <c r="E446" s="1">
        <v>45615</v>
      </c>
      <c r="F446" t="s">
        <v>1218</v>
      </c>
      <c r="G446" t="s">
        <v>1423</v>
      </c>
      <c r="H446" t="s">
        <v>1489</v>
      </c>
      <c r="I446">
        <v>1</v>
      </c>
      <c r="J446" s="2">
        <v>2319.64</v>
      </c>
      <c r="K446" s="3">
        <v>0</v>
      </c>
      <c r="L446" s="2">
        <v>2319.64</v>
      </c>
      <c r="M446" s="2">
        <v>822.13</v>
      </c>
      <c r="O446" t="s">
        <v>1498</v>
      </c>
      <c r="P446" t="s">
        <v>1501</v>
      </c>
    </row>
    <row r="447" spans="1:16" x14ac:dyDescent="0.3">
      <c r="A447">
        <v>446</v>
      </c>
      <c r="B447" t="s">
        <v>436</v>
      </c>
      <c r="C447">
        <v>2</v>
      </c>
      <c r="D447" s="1">
        <v>45615</v>
      </c>
      <c r="E447" s="1">
        <v>45617</v>
      </c>
      <c r="F447" t="s">
        <v>1219</v>
      </c>
      <c r="G447" t="s">
        <v>1381</v>
      </c>
      <c r="H447" t="s">
        <v>1480</v>
      </c>
      <c r="I447">
        <v>2</v>
      </c>
      <c r="J447" s="2">
        <v>4870.55</v>
      </c>
      <c r="K447" s="3">
        <v>0.05</v>
      </c>
      <c r="L447" s="2">
        <v>9254.0499999999993</v>
      </c>
      <c r="M447" s="2">
        <v>3466.81</v>
      </c>
      <c r="N447" t="s">
        <v>1496</v>
      </c>
      <c r="O447" t="s">
        <v>1499</v>
      </c>
      <c r="P447" t="s">
        <v>1501</v>
      </c>
    </row>
    <row r="448" spans="1:16" x14ac:dyDescent="0.3">
      <c r="A448">
        <v>447</v>
      </c>
      <c r="B448" t="s">
        <v>437</v>
      </c>
      <c r="C448">
        <v>2</v>
      </c>
      <c r="D448" s="1">
        <v>45615</v>
      </c>
      <c r="E448" s="1">
        <v>45616</v>
      </c>
      <c r="F448" t="s">
        <v>1004</v>
      </c>
      <c r="G448" t="s">
        <v>1342</v>
      </c>
      <c r="H448" t="s">
        <v>1485</v>
      </c>
      <c r="I448">
        <v>1</v>
      </c>
      <c r="J448" s="2">
        <v>18924.84</v>
      </c>
      <c r="K448" s="3">
        <v>0</v>
      </c>
      <c r="L448" s="2">
        <v>18924.84</v>
      </c>
      <c r="M448" s="2">
        <v>2781.6</v>
      </c>
      <c r="N448" t="s">
        <v>1494</v>
      </c>
      <c r="O448" t="s">
        <v>1499</v>
      </c>
      <c r="P448" t="s">
        <v>1501</v>
      </c>
    </row>
    <row r="449" spans="1:16" x14ac:dyDescent="0.3">
      <c r="A449">
        <v>448</v>
      </c>
      <c r="B449" t="s">
        <v>438</v>
      </c>
      <c r="C449">
        <v>1</v>
      </c>
      <c r="D449" s="1">
        <v>45615</v>
      </c>
      <c r="E449" s="1">
        <v>45618</v>
      </c>
      <c r="F449" t="s">
        <v>1000</v>
      </c>
      <c r="G449" t="s">
        <v>1467</v>
      </c>
      <c r="H449" t="s">
        <v>1480</v>
      </c>
      <c r="I449">
        <v>1</v>
      </c>
      <c r="J449" s="2">
        <v>16820.04</v>
      </c>
      <c r="K449" s="3">
        <v>0</v>
      </c>
      <c r="L449" s="2">
        <v>16820.04</v>
      </c>
      <c r="M449" s="2">
        <v>4191.17</v>
      </c>
      <c r="N449" t="s">
        <v>1496</v>
      </c>
      <c r="O449" t="s">
        <v>1498</v>
      </c>
      <c r="P449" t="s">
        <v>1501</v>
      </c>
    </row>
    <row r="450" spans="1:16" x14ac:dyDescent="0.3">
      <c r="A450">
        <v>449</v>
      </c>
      <c r="B450" t="s">
        <v>439</v>
      </c>
      <c r="C450">
        <v>1</v>
      </c>
      <c r="D450" s="1">
        <v>45616</v>
      </c>
      <c r="E450" s="1">
        <v>45617</v>
      </c>
      <c r="F450" t="s">
        <v>1172</v>
      </c>
      <c r="G450" t="s">
        <v>1468</v>
      </c>
      <c r="H450" t="s">
        <v>1480</v>
      </c>
      <c r="I450">
        <v>1</v>
      </c>
      <c r="J450" s="2">
        <v>3433.61</v>
      </c>
      <c r="K450" s="3">
        <v>0.1</v>
      </c>
      <c r="L450" s="2">
        <v>3090.25</v>
      </c>
      <c r="M450" s="2">
        <v>81.28</v>
      </c>
      <c r="N450" t="s">
        <v>1496</v>
      </c>
      <c r="O450" t="s">
        <v>1498</v>
      </c>
      <c r="P450" t="s">
        <v>1501</v>
      </c>
    </row>
    <row r="451" spans="1:16" x14ac:dyDescent="0.3">
      <c r="A451">
        <v>450</v>
      </c>
      <c r="B451" t="s">
        <v>440</v>
      </c>
      <c r="C451">
        <v>1</v>
      </c>
      <c r="D451" s="1">
        <v>45616</v>
      </c>
      <c r="E451" s="1">
        <v>45618</v>
      </c>
      <c r="F451" t="s">
        <v>1220</v>
      </c>
      <c r="G451" t="s">
        <v>1425</v>
      </c>
      <c r="H451" t="s">
        <v>1480</v>
      </c>
      <c r="I451">
        <v>3</v>
      </c>
      <c r="J451" s="2">
        <v>6347.66</v>
      </c>
      <c r="K451" s="3">
        <v>0</v>
      </c>
      <c r="L451" s="2">
        <v>19042.98</v>
      </c>
      <c r="M451" s="2">
        <v>5230.47</v>
      </c>
      <c r="N451" t="s">
        <v>1496</v>
      </c>
      <c r="O451" t="s">
        <v>1499</v>
      </c>
      <c r="P451" t="s">
        <v>1501</v>
      </c>
    </row>
    <row r="452" spans="1:16" x14ac:dyDescent="0.3">
      <c r="A452">
        <v>451</v>
      </c>
      <c r="B452" t="s">
        <v>440</v>
      </c>
      <c r="C452">
        <v>2</v>
      </c>
      <c r="D452" s="1">
        <v>45616</v>
      </c>
      <c r="E452" s="1">
        <v>45618</v>
      </c>
      <c r="F452" t="s">
        <v>1220</v>
      </c>
      <c r="G452" t="s">
        <v>1449</v>
      </c>
      <c r="H452" t="s">
        <v>1480</v>
      </c>
      <c r="I452">
        <v>1</v>
      </c>
      <c r="J452" s="2">
        <v>22795.96</v>
      </c>
      <c r="K452" s="3">
        <v>0.2</v>
      </c>
      <c r="L452" s="2">
        <v>18236.77</v>
      </c>
      <c r="M452" s="2">
        <v>538.12</v>
      </c>
      <c r="N452" t="s">
        <v>1496</v>
      </c>
      <c r="O452" t="s">
        <v>1499</v>
      </c>
      <c r="P452" t="s">
        <v>1501</v>
      </c>
    </row>
    <row r="453" spans="1:16" x14ac:dyDescent="0.3">
      <c r="A453">
        <v>452</v>
      </c>
      <c r="B453" t="s">
        <v>441</v>
      </c>
      <c r="C453">
        <v>1</v>
      </c>
      <c r="D453" s="1">
        <v>45617</v>
      </c>
      <c r="E453" s="1">
        <v>45618</v>
      </c>
      <c r="F453" t="s">
        <v>1191</v>
      </c>
      <c r="G453" t="s">
        <v>1376</v>
      </c>
      <c r="H453" t="s">
        <v>1480</v>
      </c>
      <c r="I453">
        <v>2</v>
      </c>
      <c r="J453" s="2">
        <v>5444.12</v>
      </c>
      <c r="K453" s="3">
        <v>0</v>
      </c>
      <c r="L453" s="2">
        <v>10888.24</v>
      </c>
      <c r="M453" s="2">
        <v>4855.22</v>
      </c>
      <c r="N453" t="s">
        <v>1494</v>
      </c>
      <c r="O453" t="s">
        <v>1499</v>
      </c>
      <c r="P453" t="s">
        <v>1501</v>
      </c>
    </row>
    <row r="454" spans="1:16" x14ac:dyDescent="0.3">
      <c r="A454">
        <v>453</v>
      </c>
      <c r="B454" t="s">
        <v>442</v>
      </c>
      <c r="C454">
        <v>1</v>
      </c>
      <c r="D454" s="1">
        <v>45617</v>
      </c>
      <c r="E454" s="1">
        <v>45620</v>
      </c>
      <c r="F454" t="s">
        <v>1167</v>
      </c>
      <c r="G454" t="s">
        <v>1349</v>
      </c>
      <c r="H454" t="s">
        <v>1480</v>
      </c>
      <c r="I454">
        <v>1</v>
      </c>
      <c r="J454" s="2">
        <v>2650.66</v>
      </c>
      <c r="K454" s="3">
        <v>0.05</v>
      </c>
      <c r="L454" s="2">
        <v>2518.13</v>
      </c>
      <c r="M454" s="2">
        <v>728.5</v>
      </c>
      <c r="N454" t="s">
        <v>1493</v>
      </c>
      <c r="O454" t="s">
        <v>1498</v>
      </c>
      <c r="P454" t="s">
        <v>1501</v>
      </c>
    </row>
    <row r="455" spans="1:16" x14ac:dyDescent="0.3">
      <c r="A455">
        <v>454</v>
      </c>
      <c r="B455" t="s">
        <v>443</v>
      </c>
      <c r="C455">
        <v>1</v>
      </c>
      <c r="D455" s="1">
        <v>45618</v>
      </c>
      <c r="E455" s="1">
        <v>45620</v>
      </c>
      <c r="F455" t="s">
        <v>972</v>
      </c>
      <c r="G455" t="s">
        <v>1369</v>
      </c>
      <c r="H455" t="s">
        <v>1480</v>
      </c>
      <c r="I455">
        <v>3</v>
      </c>
      <c r="J455" s="2">
        <v>23968.04</v>
      </c>
      <c r="K455" s="3">
        <v>0</v>
      </c>
      <c r="L455" s="2">
        <v>71904.12</v>
      </c>
      <c r="M455" s="2">
        <v>20090.759999999998</v>
      </c>
      <c r="N455" t="s">
        <v>1496</v>
      </c>
      <c r="O455" t="s">
        <v>1500</v>
      </c>
      <c r="P455" t="s">
        <v>1501</v>
      </c>
    </row>
    <row r="456" spans="1:16" x14ac:dyDescent="0.3">
      <c r="A456">
        <v>455</v>
      </c>
      <c r="B456" t="s">
        <v>444</v>
      </c>
      <c r="C456">
        <v>2</v>
      </c>
      <c r="D456" s="1">
        <v>45618</v>
      </c>
      <c r="E456" s="1">
        <v>45619</v>
      </c>
      <c r="F456" t="s">
        <v>1221</v>
      </c>
      <c r="G456" t="s">
        <v>1469</v>
      </c>
      <c r="H456" t="s">
        <v>1490</v>
      </c>
      <c r="I456">
        <v>2</v>
      </c>
      <c r="J456" s="2">
        <v>13987.04</v>
      </c>
      <c r="K456" s="3">
        <v>0</v>
      </c>
      <c r="L456" s="2">
        <v>27974.080000000002</v>
      </c>
      <c r="M456" s="2">
        <v>7247.5</v>
      </c>
      <c r="N456" t="s">
        <v>1493</v>
      </c>
      <c r="O456" t="s">
        <v>1498</v>
      </c>
      <c r="P456" t="s">
        <v>1501</v>
      </c>
    </row>
    <row r="457" spans="1:16" x14ac:dyDescent="0.3">
      <c r="A457">
        <v>456</v>
      </c>
      <c r="B457" t="s">
        <v>445</v>
      </c>
      <c r="C457">
        <v>1</v>
      </c>
      <c r="D457" s="1">
        <v>45619</v>
      </c>
      <c r="E457" s="1">
        <v>45619</v>
      </c>
      <c r="F457" t="s">
        <v>1013</v>
      </c>
      <c r="G457" t="s">
        <v>1360</v>
      </c>
      <c r="H457" t="s">
        <v>1488</v>
      </c>
      <c r="I457">
        <v>2</v>
      </c>
      <c r="J457" s="2">
        <v>1166.3499999999999</v>
      </c>
      <c r="K457" s="3">
        <v>0</v>
      </c>
      <c r="L457" s="2">
        <v>2332.6999999999998</v>
      </c>
      <c r="M457" s="2">
        <v>273.22000000000003</v>
      </c>
      <c r="N457" t="s">
        <v>1496</v>
      </c>
      <c r="O457" t="s">
        <v>1499</v>
      </c>
      <c r="P457" t="s">
        <v>1501</v>
      </c>
    </row>
    <row r="458" spans="1:16" x14ac:dyDescent="0.3">
      <c r="A458">
        <v>457</v>
      </c>
      <c r="B458" t="s">
        <v>446</v>
      </c>
      <c r="C458">
        <v>1</v>
      </c>
      <c r="D458" s="1">
        <v>45620</v>
      </c>
      <c r="E458" s="1">
        <v>45621</v>
      </c>
      <c r="F458" t="s">
        <v>978</v>
      </c>
      <c r="G458" t="s">
        <v>1357</v>
      </c>
      <c r="H458" t="s">
        <v>1480</v>
      </c>
      <c r="I458">
        <v>2</v>
      </c>
      <c r="J458" s="2">
        <v>986.91</v>
      </c>
      <c r="K458" s="3">
        <v>0</v>
      </c>
      <c r="L458" s="2">
        <v>1973.82</v>
      </c>
      <c r="M458" s="2">
        <v>257.45999999999998</v>
      </c>
      <c r="N458" t="s">
        <v>1497</v>
      </c>
      <c r="O458" t="s">
        <v>1498</v>
      </c>
      <c r="P458" t="s">
        <v>1501</v>
      </c>
    </row>
    <row r="459" spans="1:16" x14ac:dyDescent="0.3">
      <c r="A459">
        <v>458</v>
      </c>
      <c r="B459" t="s">
        <v>446</v>
      </c>
      <c r="C459">
        <v>2</v>
      </c>
      <c r="D459" s="1">
        <v>45620</v>
      </c>
      <c r="E459" s="1">
        <v>45621</v>
      </c>
      <c r="F459" t="s">
        <v>978</v>
      </c>
      <c r="G459" t="s">
        <v>1453</v>
      </c>
      <c r="H459" t="s">
        <v>1480</v>
      </c>
      <c r="I459">
        <v>2</v>
      </c>
      <c r="J459" s="2">
        <v>507.34</v>
      </c>
      <c r="K459" s="3">
        <v>0</v>
      </c>
      <c r="L459" s="2">
        <v>1014.68</v>
      </c>
      <c r="M459" s="2">
        <v>387.74</v>
      </c>
      <c r="N459" t="s">
        <v>1497</v>
      </c>
      <c r="O459" t="s">
        <v>1498</v>
      </c>
      <c r="P459" t="s">
        <v>1501</v>
      </c>
    </row>
    <row r="460" spans="1:16" x14ac:dyDescent="0.3">
      <c r="A460">
        <v>459</v>
      </c>
      <c r="B460" t="s">
        <v>447</v>
      </c>
      <c r="C460">
        <v>2</v>
      </c>
      <c r="D460" s="1">
        <v>45620</v>
      </c>
      <c r="E460" s="1">
        <v>45621</v>
      </c>
      <c r="F460" t="s">
        <v>965</v>
      </c>
      <c r="G460" t="s">
        <v>1450</v>
      </c>
      <c r="H460" t="s">
        <v>1482</v>
      </c>
      <c r="I460">
        <v>1</v>
      </c>
      <c r="J460" s="2">
        <v>7983.56</v>
      </c>
      <c r="K460" s="3">
        <v>0.15</v>
      </c>
      <c r="L460" s="2">
        <v>6786.03</v>
      </c>
      <c r="M460" s="2">
        <v>770.82</v>
      </c>
      <c r="N460" t="s">
        <v>1493</v>
      </c>
      <c r="O460" t="s">
        <v>1498</v>
      </c>
      <c r="P460" t="s">
        <v>1501</v>
      </c>
    </row>
    <row r="461" spans="1:16" x14ac:dyDescent="0.3">
      <c r="A461">
        <v>460</v>
      </c>
      <c r="B461" t="s">
        <v>448</v>
      </c>
      <c r="C461">
        <v>1</v>
      </c>
      <c r="D461" s="1">
        <v>45621</v>
      </c>
      <c r="E461" s="1">
        <v>45622</v>
      </c>
      <c r="F461" t="s">
        <v>1132</v>
      </c>
      <c r="G461" t="s">
        <v>1337</v>
      </c>
      <c r="H461" t="s">
        <v>1489</v>
      </c>
      <c r="I461">
        <v>1</v>
      </c>
      <c r="J461" s="2">
        <v>12042.96</v>
      </c>
      <c r="K461" s="3">
        <v>0</v>
      </c>
      <c r="L461" s="2">
        <v>12042.96</v>
      </c>
      <c r="M461" s="2">
        <v>1101.3599999999999</v>
      </c>
      <c r="N461" t="s">
        <v>1496</v>
      </c>
      <c r="O461" t="s">
        <v>1499</v>
      </c>
      <c r="P461" t="s">
        <v>1501</v>
      </c>
    </row>
    <row r="462" spans="1:16" x14ac:dyDescent="0.3">
      <c r="A462">
        <v>461</v>
      </c>
      <c r="B462" t="s">
        <v>449</v>
      </c>
      <c r="C462">
        <v>1</v>
      </c>
      <c r="D462" s="1">
        <v>45621</v>
      </c>
      <c r="E462" s="1">
        <v>45623</v>
      </c>
      <c r="F462" t="s">
        <v>1035</v>
      </c>
      <c r="G462" t="s">
        <v>1413</v>
      </c>
      <c r="H462" t="s">
        <v>1480</v>
      </c>
      <c r="I462">
        <v>2</v>
      </c>
      <c r="J462" s="2">
        <v>771.89</v>
      </c>
      <c r="K462" s="3">
        <v>0.15</v>
      </c>
      <c r="L462" s="2">
        <v>1312.21</v>
      </c>
      <c r="M462" s="2">
        <v>209.31</v>
      </c>
      <c r="N462" t="s">
        <v>1496</v>
      </c>
      <c r="O462" t="s">
        <v>1499</v>
      </c>
      <c r="P462" t="s">
        <v>1501</v>
      </c>
    </row>
    <row r="463" spans="1:16" x14ac:dyDescent="0.3">
      <c r="A463">
        <v>462</v>
      </c>
      <c r="B463" t="s">
        <v>450</v>
      </c>
      <c r="C463">
        <v>1</v>
      </c>
      <c r="D463" s="1">
        <v>45622</v>
      </c>
      <c r="E463" s="1">
        <v>45623</v>
      </c>
      <c r="F463" t="s">
        <v>1055</v>
      </c>
      <c r="G463" t="s">
        <v>1432</v>
      </c>
      <c r="H463" t="s">
        <v>1480</v>
      </c>
      <c r="I463">
        <v>1</v>
      </c>
      <c r="J463" s="2">
        <v>2490.0500000000002</v>
      </c>
      <c r="K463" s="3">
        <v>0.15</v>
      </c>
      <c r="L463" s="2">
        <v>2116.54</v>
      </c>
      <c r="M463" s="2">
        <v>207.24</v>
      </c>
      <c r="N463" t="s">
        <v>1496</v>
      </c>
      <c r="O463" t="s">
        <v>1499</v>
      </c>
      <c r="P463" t="s">
        <v>1501</v>
      </c>
    </row>
    <row r="464" spans="1:16" x14ac:dyDescent="0.3">
      <c r="A464">
        <v>463</v>
      </c>
      <c r="B464" t="s">
        <v>451</v>
      </c>
      <c r="C464">
        <v>1</v>
      </c>
      <c r="D464" s="1">
        <v>45622</v>
      </c>
      <c r="E464" s="1">
        <v>45622</v>
      </c>
      <c r="F464" t="s">
        <v>1158</v>
      </c>
      <c r="G464" t="s">
        <v>1467</v>
      </c>
      <c r="H464" t="s">
        <v>1483</v>
      </c>
      <c r="I464">
        <v>1</v>
      </c>
      <c r="J464" s="2">
        <v>16820.04</v>
      </c>
      <c r="K464" s="3">
        <v>0.1</v>
      </c>
      <c r="L464" s="2">
        <v>15138.04</v>
      </c>
      <c r="M464" s="2">
        <v>2509.17</v>
      </c>
      <c r="N464" t="s">
        <v>1497</v>
      </c>
      <c r="O464" t="s">
        <v>1498</v>
      </c>
      <c r="P464" t="s">
        <v>1501</v>
      </c>
    </row>
    <row r="465" spans="1:16" x14ac:dyDescent="0.3">
      <c r="A465">
        <v>464</v>
      </c>
      <c r="B465" t="s">
        <v>452</v>
      </c>
      <c r="C465">
        <v>1</v>
      </c>
      <c r="D465" s="1">
        <v>45624</v>
      </c>
      <c r="E465" s="1">
        <v>45625</v>
      </c>
      <c r="F465" t="s">
        <v>1222</v>
      </c>
      <c r="G465" t="s">
        <v>1459</v>
      </c>
      <c r="H465" t="s">
        <v>1486</v>
      </c>
      <c r="I465">
        <v>1</v>
      </c>
      <c r="J465" s="2">
        <v>814.23</v>
      </c>
      <c r="K465" s="3">
        <v>0.2</v>
      </c>
      <c r="L465" s="2">
        <v>651.38</v>
      </c>
      <c r="M465" s="2">
        <v>-53.05</v>
      </c>
      <c r="N465" t="s">
        <v>1494</v>
      </c>
      <c r="O465" t="s">
        <v>1499</v>
      </c>
      <c r="P465" t="s">
        <v>1501</v>
      </c>
    </row>
    <row r="466" spans="1:16" x14ac:dyDescent="0.3">
      <c r="A466">
        <v>465</v>
      </c>
      <c r="B466" t="s">
        <v>453</v>
      </c>
      <c r="C466">
        <v>1</v>
      </c>
      <c r="D466" s="1">
        <v>45624</v>
      </c>
      <c r="E466" s="1">
        <v>45625</v>
      </c>
      <c r="F466" t="s">
        <v>1223</v>
      </c>
      <c r="G466" t="s">
        <v>1356</v>
      </c>
      <c r="H466" t="s">
        <v>1480</v>
      </c>
      <c r="I466">
        <v>1</v>
      </c>
      <c r="J466" s="2">
        <v>68671.53</v>
      </c>
      <c r="K466" s="3">
        <v>0</v>
      </c>
      <c r="L466" s="2">
        <v>68671.53</v>
      </c>
      <c r="M466" s="2">
        <v>10702.59</v>
      </c>
      <c r="N466" t="s">
        <v>1493</v>
      </c>
      <c r="O466" t="s">
        <v>1498</v>
      </c>
      <c r="P466" t="s">
        <v>1501</v>
      </c>
    </row>
    <row r="467" spans="1:16" x14ac:dyDescent="0.3">
      <c r="A467">
        <v>466</v>
      </c>
      <c r="B467" t="s">
        <v>454</v>
      </c>
      <c r="C467">
        <v>2</v>
      </c>
      <c r="D467" s="1">
        <v>45624</v>
      </c>
      <c r="E467" s="1">
        <v>45625</v>
      </c>
      <c r="F467" t="s">
        <v>1125</v>
      </c>
      <c r="G467" t="s">
        <v>1448</v>
      </c>
      <c r="H467" t="s">
        <v>1480</v>
      </c>
      <c r="I467">
        <v>1</v>
      </c>
      <c r="J467" s="2">
        <v>579.75</v>
      </c>
      <c r="K467" s="3">
        <v>0.05</v>
      </c>
      <c r="L467" s="2">
        <v>550.76</v>
      </c>
      <c r="M467" s="2">
        <v>159.27000000000001</v>
      </c>
      <c r="N467" t="s">
        <v>1496</v>
      </c>
      <c r="O467" t="s">
        <v>1499</v>
      </c>
      <c r="P467" t="s">
        <v>1501</v>
      </c>
    </row>
    <row r="468" spans="1:16" x14ac:dyDescent="0.3">
      <c r="A468">
        <v>467</v>
      </c>
      <c r="B468" t="s">
        <v>455</v>
      </c>
      <c r="C468">
        <v>1</v>
      </c>
      <c r="D468" s="1">
        <v>45624</v>
      </c>
      <c r="E468" s="1">
        <v>45625</v>
      </c>
      <c r="F468" t="s">
        <v>1172</v>
      </c>
      <c r="G468" t="s">
        <v>1460</v>
      </c>
      <c r="H468" t="s">
        <v>1480</v>
      </c>
      <c r="I468">
        <v>1</v>
      </c>
      <c r="J468" s="2">
        <v>4883.8599999999997</v>
      </c>
      <c r="K468" s="3">
        <v>0</v>
      </c>
      <c r="L468" s="2">
        <v>4883.8599999999997</v>
      </c>
      <c r="M468" s="2">
        <v>1677.49</v>
      </c>
      <c r="N468" t="s">
        <v>1494</v>
      </c>
      <c r="O468" t="s">
        <v>1498</v>
      </c>
      <c r="P468" t="s">
        <v>1501</v>
      </c>
    </row>
    <row r="469" spans="1:16" x14ac:dyDescent="0.3">
      <c r="A469">
        <v>468</v>
      </c>
      <c r="B469" t="s">
        <v>456</v>
      </c>
      <c r="C469">
        <v>1</v>
      </c>
      <c r="D469" s="1">
        <v>45625</v>
      </c>
      <c r="E469" s="1">
        <v>45625</v>
      </c>
      <c r="F469" t="s">
        <v>1014</v>
      </c>
      <c r="G469" t="s">
        <v>1333</v>
      </c>
      <c r="H469" t="s">
        <v>1487</v>
      </c>
      <c r="I469">
        <v>2</v>
      </c>
      <c r="J469" s="2">
        <v>16375.46</v>
      </c>
      <c r="K469" s="3">
        <v>0</v>
      </c>
      <c r="L469" s="2">
        <v>32750.92</v>
      </c>
      <c r="M469" s="2">
        <v>4148.62</v>
      </c>
      <c r="N469" t="s">
        <v>1495</v>
      </c>
      <c r="O469" t="s">
        <v>1498</v>
      </c>
      <c r="P469" t="s">
        <v>1501</v>
      </c>
    </row>
    <row r="470" spans="1:16" x14ac:dyDescent="0.3">
      <c r="A470">
        <v>469</v>
      </c>
      <c r="B470" t="s">
        <v>457</v>
      </c>
      <c r="C470">
        <v>1</v>
      </c>
      <c r="D470" s="1">
        <v>45625</v>
      </c>
      <c r="E470" s="1">
        <v>45626</v>
      </c>
      <c r="F470" t="s">
        <v>1022</v>
      </c>
      <c r="G470" t="s">
        <v>1470</v>
      </c>
      <c r="H470" t="s">
        <v>1481</v>
      </c>
      <c r="I470">
        <v>1</v>
      </c>
      <c r="J470" s="2">
        <v>4551.28</v>
      </c>
      <c r="K470" s="3">
        <v>0</v>
      </c>
      <c r="L470" s="2">
        <v>4551.28</v>
      </c>
      <c r="M470" s="2">
        <v>1881.11</v>
      </c>
      <c r="N470" t="s">
        <v>1496</v>
      </c>
      <c r="O470" t="s">
        <v>1499</v>
      </c>
      <c r="P470" t="s">
        <v>1501</v>
      </c>
    </row>
    <row r="471" spans="1:16" x14ac:dyDescent="0.3">
      <c r="A471">
        <v>470</v>
      </c>
      <c r="B471" t="s">
        <v>458</v>
      </c>
      <c r="C471">
        <v>1</v>
      </c>
      <c r="D471" s="1">
        <v>45626</v>
      </c>
      <c r="E471" s="1">
        <v>45626</v>
      </c>
      <c r="F471" t="s">
        <v>1050</v>
      </c>
      <c r="G471" t="s">
        <v>1471</v>
      </c>
      <c r="H471" t="s">
        <v>1486</v>
      </c>
      <c r="I471">
        <v>3</v>
      </c>
      <c r="J471" s="2">
        <v>31099.68</v>
      </c>
      <c r="K471" s="3">
        <v>0</v>
      </c>
      <c r="L471" s="2">
        <v>93299.04</v>
      </c>
      <c r="M471" s="2">
        <v>10277.01</v>
      </c>
      <c r="O471" t="s">
        <v>1498</v>
      </c>
      <c r="P471" t="s">
        <v>1501</v>
      </c>
    </row>
    <row r="472" spans="1:16" x14ac:dyDescent="0.3">
      <c r="A472">
        <v>471</v>
      </c>
      <c r="B472" t="s">
        <v>459</v>
      </c>
      <c r="C472">
        <v>1</v>
      </c>
      <c r="D472" s="1">
        <v>45626</v>
      </c>
      <c r="E472" s="1">
        <v>45627</v>
      </c>
      <c r="F472" t="s">
        <v>1224</v>
      </c>
      <c r="G472" t="s">
        <v>1338</v>
      </c>
      <c r="H472" t="s">
        <v>1480</v>
      </c>
      <c r="I472">
        <v>2</v>
      </c>
      <c r="J472" s="2">
        <v>1151.02</v>
      </c>
      <c r="K472" s="3">
        <v>0.05</v>
      </c>
      <c r="L472" s="2">
        <v>2186.94</v>
      </c>
      <c r="M472" s="2">
        <v>184</v>
      </c>
      <c r="N472" t="s">
        <v>1496</v>
      </c>
      <c r="O472" t="s">
        <v>1498</v>
      </c>
      <c r="P472" t="s">
        <v>1501</v>
      </c>
    </row>
    <row r="473" spans="1:16" x14ac:dyDescent="0.3">
      <c r="A473">
        <v>472</v>
      </c>
      <c r="B473" t="s">
        <v>460</v>
      </c>
      <c r="C473">
        <v>1</v>
      </c>
      <c r="D473" s="1">
        <v>45627</v>
      </c>
      <c r="E473" s="1">
        <v>45629</v>
      </c>
      <c r="F473" t="s">
        <v>989</v>
      </c>
      <c r="G473" t="s">
        <v>1447</v>
      </c>
      <c r="H473" t="s">
        <v>1480</v>
      </c>
      <c r="I473">
        <v>1</v>
      </c>
      <c r="J473" s="2">
        <v>4260.03</v>
      </c>
      <c r="K473" s="3">
        <v>0</v>
      </c>
      <c r="L473" s="2">
        <v>4260.03</v>
      </c>
      <c r="M473" s="2">
        <v>730.88</v>
      </c>
      <c r="N473" t="s">
        <v>1496</v>
      </c>
      <c r="O473" t="s">
        <v>1498</v>
      </c>
      <c r="P473" t="s">
        <v>1501</v>
      </c>
    </row>
    <row r="474" spans="1:16" x14ac:dyDescent="0.3">
      <c r="A474">
        <v>473</v>
      </c>
      <c r="B474" t="s">
        <v>461</v>
      </c>
      <c r="C474">
        <v>2</v>
      </c>
      <c r="D474" s="1">
        <v>45627</v>
      </c>
      <c r="E474" s="1">
        <v>45630</v>
      </c>
      <c r="F474" t="s">
        <v>1225</v>
      </c>
      <c r="G474" t="s">
        <v>1454</v>
      </c>
      <c r="H474" t="s">
        <v>1480</v>
      </c>
      <c r="I474">
        <v>1</v>
      </c>
      <c r="J474" s="2">
        <v>51141.75</v>
      </c>
      <c r="K474" s="3">
        <v>0</v>
      </c>
      <c r="L474" s="2">
        <v>51141.75</v>
      </c>
      <c r="M474" s="2">
        <v>6922.44</v>
      </c>
      <c r="N474" t="s">
        <v>1497</v>
      </c>
      <c r="O474" t="s">
        <v>1499</v>
      </c>
      <c r="P474" t="s">
        <v>1501</v>
      </c>
    </row>
    <row r="475" spans="1:16" x14ac:dyDescent="0.3">
      <c r="A475">
        <v>474</v>
      </c>
      <c r="B475" t="s">
        <v>462</v>
      </c>
      <c r="C475">
        <v>1</v>
      </c>
      <c r="D475" s="1">
        <v>45630</v>
      </c>
      <c r="E475" s="1">
        <v>45632</v>
      </c>
      <c r="F475" t="s">
        <v>994</v>
      </c>
      <c r="G475" t="s">
        <v>1432</v>
      </c>
      <c r="H475" t="s">
        <v>1480</v>
      </c>
      <c r="I475">
        <v>1</v>
      </c>
      <c r="J475" s="2">
        <v>2490.0500000000002</v>
      </c>
      <c r="K475" s="3">
        <v>0.1</v>
      </c>
      <c r="L475" s="2">
        <v>2241.0500000000002</v>
      </c>
      <c r="M475" s="2">
        <v>331.75</v>
      </c>
      <c r="N475" t="s">
        <v>1496</v>
      </c>
      <c r="O475" t="s">
        <v>1499</v>
      </c>
      <c r="P475" t="s">
        <v>1501</v>
      </c>
    </row>
    <row r="476" spans="1:16" x14ac:dyDescent="0.3">
      <c r="A476">
        <v>475</v>
      </c>
      <c r="B476" t="s">
        <v>463</v>
      </c>
      <c r="C476">
        <v>1</v>
      </c>
      <c r="D476" s="1">
        <v>45630</v>
      </c>
      <c r="E476" s="1">
        <v>45631</v>
      </c>
      <c r="F476" t="s">
        <v>1226</v>
      </c>
      <c r="G476" t="s">
        <v>1472</v>
      </c>
      <c r="H476" t="s">
        <v>1485</v>
      </c>
      <c r="I476">
        <v>1</v>
      </c>
      <c r="J476" s="2">
        <v>16791.75</v>
      </c>
      <c r="K476" s="3">
        <v>0.15</v>
      </c>
      <c r="L476" s="2">
        <v>14272.99</v>
      </c>
      <c r="M476" s="2">
        <v>-1163.06</v>
      </c>
      <c r="N476" t="s">
        <v>1496</v>
      </c>
      <c r="O476" t="s">
        <v>1500</v>
      </c>
      <c r="P476" t="s">
        <v>1501</v>
      </c>
    </row>
    <row r="477" spans="1:16" x14ac:dyDescent="0.3">
      <c r="A477">
        <v>476</v>
      </c>
      <c r="B477" t="s">
        <v>464</v>
      </c>
      <c r="C477">
        <v>1</v>
      </c>
      <c r="D477" s="1">
        <v>45630</v>
      </c>
      <c r="E477" s="1">
        <v>45633</v>
      </c>
      <c r="F477" t="s">
        <v>1227</v>
      </c>
      <c r="G477" t="s">
        <v>1356</v>
      </c>
      <c r="H477" t="s">
        <v>1480</v>
      </c>
      <c r="I477">
        <v>1</v>
      </c>
      <c r="J477" s="2">
        <v>68671.53</v>
      </c>
      <c r="K477" s="3">
        <v>0.15</v>
      </c>
      <c r="L477" s="2">
        <v>58370.8</v>
      </c>
      <c r="M477" s="2">
        <v>401.86</v>
      </c>
      <c r="N477" t="s">
        <v>1496</v>
      </c>
      <c r="O477" t="s">
        <v>1499</v>
      </c>
      <c r="P477" t="s">
        <v>1501</v>
      </c>
    </row>
    <row r="478" spans="1:16" x14ac:dyDescent="0.3">
      <c r="A478">
        <v>477</v>
      </c>
      <c r="B478" t="s">
        <v>465</v>
      </c>
      <c r="C478">
        <v>1</v>
      </c>
      <c r="D478" s="1">
        <v>45632</v>
      </c>
      <c r="E478" s="1">
        <v>45635</v>
      </c>
      <c r="F478" t="s">
        <v>1228</v>
      </c>
      <c r="G478" t="s">
        <v>1410</v>
      </c>
      <c r="H478" t="s">
        <v>1480</v>
      </c>
      <c r="I478">
        <v>1</v>
      </c>
      <c r="J478" s="2">
        <v>1753.24</v>
      </c>
      <c r="K478" s="3">
        <v>0</v>
      </c>
      <c r="L478" s="2">
        <v>1753.24</v>
      </c>
      <c r="M478" s="2">
        <v>578.29999999999995</v>
      </c>
      <c r="N478" t="s">
        <v>1497</v>
      </c>
      <c r="O478" t="s">
        <v>1499</v>
      </c>
      <c r="P478" t="s">
        <v>1501</v>
      </c>
    </row>
    <row r="479" spans="1:16" x14ac:dyDescent="0.3">
      <c r="A479">
        <v>478</v>
      </c>
      <c r="B479" t="s">
        <v>466</v>
      </c>
      <c r="C479">
        <v>1</v>
      </c>
      <c r="D479" s="1">
        <v>45632</v>
      </c>
      <c r="E479" s="1">
        <v>45633</v>
      </c>
      <c r="F479" t="s">
        <v>1229</v>
      </c>
      <c r="G479" t="s">
        <v>1457</v>
      </c>
      <c r="H479" t="s">
        <v>1480</v>
      </c>
      <c r="I479">
        <v>1</v>
      </c>
      <c r="J479" s="2">
        <v>1423.62</v>
      </c>
      <c r="K479" s="3">
        <v>0</v>
      </c>
      <c r="L479" s="2">
        <v>1423.62</v>
      </c>
      <c r="M479" s="2">
        <v>201.63</v>
      </c>
      <c r="N479" t="s">
        <v>1494</v>
      </c>
      <c r="O479" t="s">
        <v>1499</v>
      </c>
      <c r="P479" t="s">
        <v>1501</v>
      </c>
    </row>
    <row r="480" spans="1:16" x14ac:dyDescent="0.3">
      <c r="A480">
        <v>479</v>
      </c>
      <c r="B480" t="s">
        <v>467</v>
      </c>
      <c r="C480">
        <v>1</v>
      </c>
      <c r="D480" s="1">
        <v>45633</v>
      </c>
      <c r="E480" s="1">
        <v>45635</v>
      </c>
      <c r="F480" t="s">
        <v>1155</v>
      </c>
      <c r="G480" t="s">
        <v>1462</v>
      </c>
      <c r="H480" t="s">
        <v>1480</v>
      </c>
      <c r="I480">
        <v>4</v>
      </c>
      <c r="J480" s="2">
        <v>31184.25</v>
      </c>
      <c r="K480" s="3">
        <v>0.05</v>
      </c>
      <c r="L480" s="2">
        <v>118500.15</v>
      </c>
      <c r="M480" s="2">
        <v>17735.75</v>
      </c>
      <c r="N480" t="s">
        <v>1496</v>
      </c>
      <c r="O480" t="s">
        <v>1498</v>
      </c>
      <c r="P480" t="s">
        <v>1501</v>
      </c>
    </row>
    <row r="481" spans="1:16" x14ac:dyDescent="0.3">
      <c r="A481">
        <v>480</v>
      </c>
      <c r="B481" t="s">
        <v>468</v>
      </c>
      <c r="C481">
        <v>1</v>
      </c>
      <c r="D481" s="1">
        <v>45634</v>
      </c>
      <c r="E481" s="1">
        <v>45634</v>
      </c>
      <c r="F481" t="s">
        <v>1187</v>
      </c>
      <c r="G481" t="s">
        <v>1334</v>
      </c>
      <c r="H481" t="s">
        <v>1489</v>
      </c>
      <c r="I481">
        <v>3</v>
      </c>
      <c r="J481" s="2">
        <v>1178.5899999999999</v>
      </c>
      <c r="K481" s="3">
        <v>0</v>
      </c>
      <c r="L481" s="2">
        <v>3535.77</v>
      </c>
      <c r="M481" s="2">
        <v>457.92</v>
      </c>
      <c r="N481" t="s">
        <v>1497</v>
      </c>
      <c r="O481" t="s">
        <v>1500</v>
      </c>
      <c r="P481" t="s">
        <v>1501</v>
      </c>
    </row>
    <row r="482" spans="1:16" x14ac:dyDescent="0.3">
      <c r="A482">
        <v>481</v>
      </c>
      <c r="B482" t="s">
        <v>469</v>
      </c>
      <c r="C482">
        <v>1</v>
      </c>
      <c r="D482" s="1">
        <v>45634</v>
      </c>
      <c r="E482" s="1">
        <v>45634</v>
      </c>
      <c r="F482" t="s">
        <v>967</v>
      </c>
      <c r="G482" t="s">
        <v>1404</v>
      </c>
      <c r="H482" t="s">
        <v>1489</v>
      </c>
      <c r="I482">
        <v>1</v>
      </c>
      <c r="J482" s="2">
        <v>44125.88</v>
      </c>
      <c r="K482" s="3">
        <v>0.25</v>
      </c>
      <c r="L482" s="2">
        <v>33094.410000000003</v>
      </c>
      <c r="M482" s="2">
        <v>-1220.28</v>
      </c>
      <c r="N482" t="s">
        <v>1497</v>
      </c>
      <c r="O482" t="s">
        <v>1500</v>
      </c>
      <c r="P482" t="s">
        <v>1501</v>
      </c>
    </row>
    <row r="483" spans="1:16" x14ac:dyDescent="0.3">
      <c r="A483">
        <v>482</v>
      </c>
      <c r="B483" t="s">
        <v>470</v>
      </c>
      <c r="C483">
        <v>2</v>
      </c>
      <c r="D483" s="1">
        <v>45635</v>
      </c>
      <c r="E483" s="1">
        <v>45636</v>
      </c>
      <c r="F483" t="s">
        <v>972</v>
      </c>
      <c r="G483" t="s">
        <v>1461</v>
      </c>
      <c r="H483" t="s">
        <v>1488</v>
      </c>
      <c r="I483">
        <v>1</v>
      </c>
      <c r="J483" s="2">
        <v>933.23</v>
      </c>
      <c r="K483" s="3">
        <v>0</v>
      </c>
      <c r="L483" s="2">
        <v>933.23</v>
      </c>
      <c r="M483" s="2">
        <v>62.65</v>
      </c>
      <c r="N483" t="s">
        <v>1496</v>
      </c>
      <c r="O483" t="s">
        <v>1498</v>
      </c>
      <c r="P483" t="s">
        <v>1501</v>
      </c>
    </row>
    <row r="484" spans="1:16" x14ac:dyDescent="0.3">
      <c r="A484">
        <v>483</v>
      </c>
      <c r="B484" t="s">
        <v>471</v>
      </c>
      <c r="C484">
        <v>1</v>
      </c>
      <c r="D484" s="1">
        <v>45636</v>
      </c>
      <c r="E484" s="1">
        <v>45636</v>
      </c>
      <c r="F484" t="s">
        <v>1230</v>
      </c>
      <c r="G484" t="s">
        <v>1405</v>
      </c>
      <c r="H484" t="s">
        <v>1491</v>
      </c>
      <c r="I484">
        <v>3</v>
      </c>
      <c r="J484" s="2">
        <v>57633.32</v>
      </c>
      <c r="K484" s="3">
        <v>0</v>
      </c>
      <c r="L484" s="2">
        <v>172899.96</v>
      </c>
      <c r="M484" s="2">
        <v>21601.47</v>
      </c>
      <c r="N484" t="s">
        <v>1494</v>
      </c>
      <c r="O484" t="s">
        <v>1499</v>
      </c>
      <c r="P484" t="s">
        <v>1501</v>
      </c>
    </row>
    <row r="485" spans="1:16" x14ac:dyDescent="0.3">
      <c r="A485">
        <v>484</v>
      </c>
      <c r="B485" t="s">
        <v>472</v>
      </c>
      <c r="C485">
        <v>1</v>
      </c>
      <c r="D485" s="1">
        <v>45637</v>
      </c>
      <c r="E485" s="1">
        <v>45639</v>
      </c>
      <c r="F485" t="s">
        <v>1231</v>
      </c>
      <c r="G485" t="s">
        <v>1360</v>
      </c>
      <c r="H485" t="s">
        <v>1480</v>
      </c>
      <c r="I485">
        <v>1</v>
      </c>
      <c r="J485" s="2">
        <v>1166.3499999999999</v>
      </c>
      <c r="K485" s="3">
        <v>0</v>
      </c>
      <c r="L485" s="2">
        <v>1166.3499999999999</v>
      </c>
      <c r="M485" s="2">
        <v>136.61000000000001</v>
      </c>
      <c r="N485" t="s">
        <v>1496</v>
      </c>
      <c r="O485" t="s">
        <v>1499</v>
      </c>
      <c r="P485" t="s">
        <v>1501</v>
      </c>
    </row>
    <row r="486" spans="1:16" x14ac:dyDescent="0.3">
      <c r="A486">
        <v>485</v>
      </c>
      <c r="B486" t="s">
        <v>473</v>
      </c>
      <c r="C486">
        <v>1</v>
      </c>
      <c r="D486" s="1">
        <v>45637</v>
      </c>
      <c r="E486" s="1">
        <v>45640</v>
      </c>
      <c r="F486" t="s">
        <v>1046</v>
      </c>
      <c r="G486" t="s">
        <v>1401</v>
      </c>
      <c r="H486" t="s">
        <v>1480</v>
      </c>
      <c r="I486">
        <v>1</v>
      </c>
      <c r="J486" s="2">
        <v>50900.49</v>
      </c>
      <c r="K486" s="3">
        <v>0</v>
      </c>
      <c r="L486" s="2">
        <v>50900.49</v>
      </c>
      <c r="M486" s="2">
        <v>7930.74</v>
      </c>
      <c r="N486" t="s">
        <v>1494</v>
      </c>
      <c r="O486" t="s">
        <v>1498</v>
      </c>
      <c r="P486" t="s">
        <v>1501</v>
      </c>
    </row>
    <row r="487" spans="1:16" x14ac:dyDescent="0.3">
      <c r="A487">
        <v>486</v>
      </c>
      <c r="B487" t="s">
        <v>474</v>
      </c>
      <c r="C487">
        <v>1</v>
      </c>
      <c r="D487" s="1">
        <v>45638</v>
      </c>
      <c r="E487" s="1">
        <v>45639</v>
      </c>
      <c r="F487" t="s">
        <v>1229</v>
      </c>
      <c r="G487" t="s">
        <v>1388</v>
      </c>
      <c r="H487" t="s">
        <v>1487</v>
      </c>
      <c r="I487">
        <v>1</v>
      </c>
      <c r="J487" s="2">
        <v>5746.05</v>
      </c>
      <c r="K487" s="3">
        <v>0</v>
      </c>
      <c r="L487" s="2">
        <v>5746.05</v>
      </c>
      <c r="M487" s="2">
        <v>1765.7</v>
      </c>
      <c r="N487" t="s">
        <v>1496</v>
      </c>
      <c r="O487" t="s">
        <v>1498</v>
      </c>
      <c r="P487" t="s">
        <v>1501</v>
      </c>
    </row>
    <row r="488" spans="1:16" x14ac:dyDescent="0.3">
      <c r="A488">
        <v>487</v>
      </c>
      <c r="B488" t="s">
        <v>475</v>
      </c>
      <c r="C488">
        <v>2</v>
      </c>
      <c r="D488" s="1">
        <v>45640</v>
      </c>
      <c r="E488" s="1">
        <v>45640</v>
      </c>
      <c r="F488" t="s">
        <v>1180</v>
      </c>
      <c r="G488" t="s">
        <v>1461</v>
      </c>
      <c r="H488" t="s">
        <v>1490</v>
      </c>
      <c r="I488">
        <v>1</v>
      </c>
      <c r="J488" s="2">
        <v>933.23</v>
      </c>
      <c r="K488" s="3">
        <v>0.1</v>
      </c>
      <c r="L488" s="2">
        <v>839.91</v>
      </c>
      <c r="M488" s="2">
        <v>-30.67</v>
      </c>
      <c r="N488" t="s">
        <v>1496</v>
      </c>
      <c r="O488" t="s">
        <v>1498</v>
      </c>
      <c r="P488" t="s">
        <v>1501</v>
      </c>
    </row>
    <row r="489" spans="1:16" x14ac:dyDescent="0.3">
      <c r="A489">
        <v>488</v>
      </c>
      <c r="B489" t="s">
        <v>476</v>
      </c>
      <c r="C489">
        <v>2</v>
      </c>
      <c r="D489" s="1">
        <v>45642</v>
      </c>
      <c r="E489" s="1">
        <v>45642</v>
      </c>
      <c r="F489" t="s">
        <v>1232</v>
      </c>
      <c r="G489" t="s">
        <v>1451</v>
      </c>
      <c r="H489" t="s">
        <v>1492</v>
      </c>
      <c r="I489">
        <v>1</v>
      </c>
      <c r="J489" s="2">
        <v>43188.76</v>
      </c>
      <c r="K489" s="3">
        <v>0</v>
      </c>
      <c r="L489" s="2">
        <v>43188.76</v>
      </c>
      <c r="M489" s="2">
        <v>10182.15</v>
      </c>
      <c r="N489" t="s">
        <v>1494</v>
      </c>
      <c r="O489" t="s">
        <v>1498</v>
      </c>
      <c r="P489" t="s">
        <v>1501</v>
      </c>
    </row>
    <row r="490" spans="1:16" x14ac:dyDescent="0.3">
      <c r="A490">
        <v>489</v>
      </c>
      <c r="B490" t="s">
        <v>477</v>
      </c>
      <c r="C490">
        <v>1</v>
      </c>
      <c r="D490" s="1">
        <v>45642</v>
      </c>
      <c r="E490" s="1">
        <v>45645</v>
      </c>
      <c r="F490" t="s">
        <v>1125</v>
      </c>
      <c r="G490" t="s">
        <v>1404</v>
      </c>
      <c r="H490" t="s">
        <v>1480</v>
      </c>
      <c r="I490">
        <v>1</v>
      </c>
      <c r="J490" s="2">
        <v>44125.88</v>
      </c>
      <c r="K490" s="3">
        <v>0.05</v>
      </c>
      <c r="L490" s="2">
        <v>41919.589999999997</v>
      </c>
      <c r="M490" s="2">
        <v>7604.9</v>
      </c>
      <c r="N490" t="s">
        <v>1496</v>
      </c>
      <c r="O490" t="s">
        <v>1498</v>
      </c>
      <c r="P490" t="s">
        <v>1501</v>
      </c>
    </row>
    <row r="491" spans="1:16" x14ac:dyDescent="0.3">
      <c r="A491">
        <v>490</v>
      </c>
      <c r="B491" t="s">
        <v>478</v>
      </c>
      <c r="C491">
        <v>1</v>
      </c>
      <c r="D491" s="1">
        <v>45644</v>
      </c>
      <c r="E491" s="1">
        <v>45644</v>
      </c>
      <c r="F491" t="s">
        <v>1233</v>
      </c>
      <c r="G491" t="s">
        <v>1468</v>
      </c>
      <c r="H491" t="s">
        <v>1489</v>
      </c>
      <c r="I491">
        <v>1</v>
      </c>
      <c r="J491" s="2">
        <v>3433.61</v>
      </c>
      <c r="K491" s="3">
        <v>0</v>
      </c>
      <c r="L491" s="2">
        <v>3433.61</v>
      </c>
      <c r="M491" s="2">
        <v>424.64</v>
      </c>
      <c r="N491" t="s">
        <v>1495</v>
      </c>
      <c r="O491" t="s">
        <v>1498</v>
      </c>
      <c r="P491" t="s">
        <v>1501</v>
      </c>
    </row>
    <row r="492" spans="1:16" x14ac:dyDescent="0.3">
      <c r="A492">
        <v>491</v>
      </c>
      <c r="B492" t="s">
        <v>479</v>
      </c>
      <c r="C492">
        <v>1</v>
      </c>
      <c r="D492" s="1">
        <v>45644</v>
      </c>
      <c r="E492" s="1">
        <v>45645</v>
      </c>
      <c r="F492" t="s">
        <v>1039</v>
      </c>
      <c r="G492" t="s">
        <v>1370</v>
      </c>
      <c r="H492" t="s">
        <v>1485</v>
      </c>
      <c r="I492">
        <v>3</v>
      </c>
      <c r="J492" s="2">
        <v>19480.22</v>
      </c>
      <c r="K492" s="3">
        <v>0</v>
      </c>
      <c r="L492" s="2">
        <v>58440.66</v>
      </c>
      <c r="M492" s="2">
        <v>5015.97</v>
      </c>
      <c r="N492" t="s">
        <v>1496</v>
      </c>
      <c r="O492" t="s">
        <v>1499</v>
      </c>
      <c r="P492" t="s">
        <v>1501</v>
      </c>
    </row>
    <row r="493" spans="1:16" x14ac:dyDescent="0.3">
      <c r="A493">
        <v>492</v>
      </c>
      <c r="B493" t="s">
        <v>480</v>
      </c>
      <c r="C493">
        <v>1</v>
      </c>
      <c r="D493" s="1">
        <v>45644</v>
      </c>
      <c r="E493" s="1">
        <v>45644</v>
      </c>
      <c r="F493" t="s">
        <v>1065</v>
      </c>
      <c r="G493" t="s">
        <v>1329</v>
      </c>
      <c r="H493" t="s">
        <v>1490</v>
      </c>
      <c r="I493">
        <v>2</v>
      </c>
      <c r="J493" s="2">
        <v>1065.95</v>
      </c>
      <c r="K493" s="3">
        <v>0</v>
      </c>
      <c r="L493" s="2">
        <v>2131.9</v>
      </c>
      <c r="M493" s="2">
        <v>761.54</v>
      </c>
      <c r="N493" t="s">
        <v>1496</v>
      </c>
      <c r="O493" t="s">
        <v>1498</v>
      </c>
      <c r="P493" t="s">
        <v>1501</v>
      </c>
    </row>
    <row r="494" spans="1:16" x14ac:dyDescent="0.3">
      <c r="A494">
        <v>493</v>
      </c>
      <c r="B494" t="s">
        <v>481</v>
      </c>
      <c r="C494">
        <v>1</v>
      </c>
      <c r="D494" s="1">
        <v>45646</v>
      </c>
      <c r="E494" s="1">
        <v>45648</v>
      </c>
      <c r="F494" t="s">
        <v>1163</v>
      </c>
      <c r="G494" t="s">
        <v>1418</v>
      </c>
      <c r="H494" t="s">
        <v>1480</v>
      </c>
      <c r="I494">
        <v>1</v>
      </c>
      <c r="J494" s="2">
        <v>30604.9</v>
      </c>
      <c r="K494" s="3">
        <v>0</v>
      </c>
      <c r="L494" s="2">
        <v>30604.9</v>
      </c>
      <c r="M494" s="2">
        <v>7928.17</v>
      </c>
      <c r="N494" t="s">
        <v>1496</v>
      </c>
      <c r="O494" t="s">
        <v>1499</v>
      </c>
      <c r="P494" t="s">
        <v>1501</v>
      </c>
    </row>
    <row r="495" spans="1:16" x14ac:dyDescent="0.3">
      <c r="A495">
        <v>494</v>
      </c>
      <c r="B495" t="s">
        <v>481</v>
      </c>
      <c r="C495">
        <v>2</v>
      </c>
      <c r="D495" s="1">
        <v>45646</v>
      </c>
      <c r="E495" s="1">
        <v>45648</v>
      </c>
      <c r="F495" t="s">
        <v>1163</v>
      </c>
      <c r="G495" t="s">
        <v>1470</v>
      </c>
      <c r="H495" t="s">
        <v>1480</v>
      </c>
      <c r="I495">
        <v>1</v>
      </c>
      <c r="J495" s="2">
        <v>4551.28</v>
      </c>
      <c r="K495" s="3">
        <v>0</v>
      </c>
      <c r="L495" s="2">
        <v>4551.28</v>
      </c>
      <c r="M495" s="2">
        <v>1881.11</v>
      </c>
      <c r="N495" t="s">
        <v>1496</v>
      </c>
      <c r="O495" t="s">
        <v>1499</v>
      </c>
      <c r="P495" t="s">
        <v>1501</v>
      </c>
    </row>
    <row r="496" spans="1:16" x14ac:dyDescent="0.3">
      <c r="A496">
        <v>495</v>
      </c>
      <c r="B496" t="s">
        <v>482</v>
      </c>
      <c r="C496">
        <v>1</v>
      </c>
      <c r="D496" s="1">
        <v>45646</v>
      </c>
      <c r="E496" s="1">
        <v>45647</v>
      </c>
      <c r="F496" t="s">
        <v>1234</v>
      </c>
      <c r="G496" t="s">
        <v>1348</v>
      </c>
      <c r="H496" t="s">
        <v>1491</v>
      </c>
      <c r="I496">
        <v>1</v>
      </c>
      <c r="J496" s="2">
        <v>921.12</v>
      </c>
      <c r="K496" s="3">
        <v>0.05</v>
      </c>
      <c r="L496" s="2">
        <v>875.06</v>
      </c>
      <c r="M496" s="2">
        <v>337.02</v>
      </c>
      <c r="N496" t="s">
        <v>1496</v>
      </c>
      <c r="O496" t="s">
        <v>1499</v>
      </c>
      <c r="P496" t="s">
        <v>1501</v>
      </c>
    </row>
    <row r="497" spans="1:16" x14ac:dyDescent="0.3">
      <c r="A497">
        <v>496</v>
      </c>
      <c r="B497" t="s">
        <v>483</v>
      </c>
      <c r="C497">
        <v>1</v>
      </c>
      <c r="D497" s="1">
        <v>45646</v>
      </c>
      <c r="E497" s="1">
        <v>45647</v>
      </c>
      <c r="F497" t="s">
        <v>1017</v>
      </c>
      <c r="G497" t="s">
        <v>1414</v>
      </c>
      <c r="H497" t="s">
        <v>1486</v>
      </c>
      <c r="I497">
        <v>2</v>
      </c>
      <c r="J497" s="2">
        <v>20329.61</v>
      </c>
      <c r="K497" s="3">
        <v>0</v>
      </c>
      <c r="L497" s="2">
        <v>40659.22</v>
      </c>
      <c r="M497" s="2">
        <v>9924.76</v>
      </c>
      <c r="N497" t="s">
        <v>1497</v>
      </c>
      <c r="O497" t="s">
        <v>1498</v>
      </c>
      <c r="P497" t="s">
        <v>1501</v>
      </c>
    </row>
    <row r="498" spans="1:16" x14ac:dyDescent="0.3">
      <c r="A498">
        <v>497</v>
      </c>
      <c r="B498" t="s">
        <v>484</v>
      </c>
      <c r="C498">
        <v>1</v>
      </c>
      <c r="D498" s="1">
        <v>45646</v>
      </c>
      <c r="E498" s="1">
        <v>45647</v>
      </c>
      <c r="F498" t="s">
        <v>1086</v>
      </c>
      <c r="G498" t="s">
        <v>1379</v>
      </c>
      <c r="H498" t="s">
        <v>1480</v>
      </c>
      <c r="I498">
        <v>1</v>
      </c>
      <c r="J498" s="2">
        <v>20939.349999999999</v>
      </c>
      <c r="K498" s="3">
        <v>0</v>
      </c>
      <c r="L498" s="2">
        <v>20939.349999999999</v>
      </c>
      <c r="M498" s="2">
        <v>5833.44</v>
      </c>
      <c r="N498" t="s">
        <v>1496</v>
      </c>
      <c r="O498" t="s">
        <v>1498</v>
      </c>
      <c r="P498" t="s">
        <v>1501</v>
      </c>
    </row>
    <row r="499" spans="1:16" x14ac:dyDescent="0.3">
      <c r="A499">
        <v>498</v>
      </c>
      <c r="B499" t="s">
        <v>485</v>
      </c>
      <c r="C499">
        <v>1</v>
      </c>
      <c r="D499" s="1">
        <v>45647</v>
      </c>
      <c r="E499" s="1">
        <v>45649</v>
      </c>
      <c r="F499" t="s">
        <v>1002</v>
      </c>
      <c r="G499" t="s">
        <v>1423</v>
      </c>
      <c r="H499" t="s">
        <v>1480</v>
      </c>
      <c r="I499">
        <v>1</v>
      </c>
      <c r="J499" s="2">
        <v>2319.64</v>
      </c>
      <c r="K499" s="3">
        <v>0</v>
      </c>
      <c r="L499" s="2">
        <v>2319.64</v>
      </c>
      <c r="M499" s="2">
        <v>822.13</v>
      </c>
      <c r="N499" t="s">
        <v>1495</v>
      </c>
      <c r="O499" t="s">
        <v>1499</v>
      </c>
      <c r="P499" t="s">
        <v>1501</v>
      </c>
    </row>
    <row r="500" spans="1:16" x14ac:dyDescent="0.3">
      <c r="A500">
        <v>499</v>
      </c>
      <c r="B500" t="s">
        <v>485</v>
      </c>
      <c r="C500">
        <v>2</v>
      </c>
      <c r="D500" s="1">
        <v>45647</v>
      </c>
      <c r="E500" s="1">
        <v>45649</v>
      </c>
      <c r="F500" t="s">
        <v>1002</v>
      </c>
      <c r="G500" t="s">
        <v>1333</v>
      </c>
      <c r="H500" t="s">
        <v>1480</v>
      </c>
      <c r="I500">
        <v>2</v>
      </c>
      <c r="J500" s="2">
        <v>16375.46</v>
      </c>
      <c r="K500" s="3">
        <v>0</v>
      </c>
      <c r="L500" s="2">
        <v>32750.92</v>
      </c>
      <c r="M500" s="2">
        <v>4148.62</v>
      </c>
      <c r="N500" t="s">
        <v>1495</v>
      </c>
      <c r="O500" t="s">
        <v>1499</v>
      </c>
      <c r="P500" t="s">
        <v>1501</v>
      </c>
    </row>
    <row r="501" spans="1:16" x14ac:dyDescent="0.3">
      <c r="A501">
        <v>500</v>
      </c>
      <c r="B501" t="s">
        <v>486</v>
      </c>
      <c r="C501">
        <v>1</v>
      </c>
      <c r="D501" s="1">
        <v>45647</v>
      </c>
      <c r="E501" s="1">
        <v>45650</v>
      </c>
      <c r="F501" t="s">
        <v>1004</v>
      </c>
      <c r="G501" t="s">
        <v>1392</v>
      </c>
      <c r="H501" t="s">
        <v>1480</v>
      </c>
      <c r="I501">
        <v>1</v>
      </c>
      <c r="J501" s="2">
        <v>17688.330000000002</v>
      </c>
      <c r="K501" s="3">
        <v>0.1</v>
      </c>
      <c r="L501" s="2">
        <v>15919.5</v>
      </c>
      <c r="M501" s="2">
        <v>1135.06</v>
      </c>
      <c r="N501" t="s">
        <v>1496</v>
      </c>
      <c r="O501" t="s">
        <v>1498</v>
      </c>
      <c r="P501" t="s">
        <v>1501</v>
      </c>
    </row>
    <row r="502" spans="1:16" x14ac:dyDescent="0.3">
      <c r="A502">
        <v>501</v>
      </c>
      <c r="B502" t="s">
        <v>487</v>
      </c>
      <c r="C502">
        <v>1</v>
      </c>
      <c r="D502" s="1">
        <v>45647</v>
      </c>
      <c r="E502" s="1">
        <v>45650</v>
      </c>
      <c r="F502" t="s">
        <v>1113</v>
      </c>
      <c r="G502" t="s">
        <v>1338</v>
      </c>
      <c r="H502" t="s">
        <v>1480</v>
      </c>
      <c r="I502">
        <v>1</v>
      </c>
      <c r="J502" s="2">
        <v>1151.02</v>
      </c>
      <c r="K502" s="3">
        <v>0</v>
      </c>
      <c r="L502" s="2">
        <v>1151.02</v>
      </c>
      <c r="M502" s="2">
        <v>149.55000000000001</v>
      </c>
      <c r="N502" t="s">
        <v>1493</v>
      </c>
      <c r="O502" t="s">
        <v>1499</v>
      </c>
      <c r="P502" t="s">
        <v>1501</v>
      </c>
    </row>
    <row r="503" spans="1:16" x14ac:dyDescent="0.3">
      <c r="A503">
        <v>502</v>
      </c>
      <c r="B503" t="s">
        <v>488</v>
      </c>
      <c r="C503">
        <v>1</v>
      </c>
      <c r="D503" s="1">
        <v>45647</v>
      </c>
      <c r="E503" s="1">
        <v>45647</v>
      </c>
      <c r="F503" t="s">
        <v>1094</v>
      </c>
      <c r="G503" t="s">
        <v>1433</v>
      </c>
      <c r="H503" t="s">
        <v>1492</v>
      </c>
      <c r="I503">
        <v>1</v>
      </c>
      <c r="J503" s="2">
        <v>2067.91</v>
      </c>
      <c r="K503" s="3">
        <v>0</v>
      </c>
      <c r="L503" s="2">
        <v>2067.91</v>
      </c>
      <c r="M503" s="2">
        <v>576.48</v>
      </c>
      <c r="N503" t="s">
        <v>1493</v>
      </c>
      <c r="O503" t="s">
        <v>1498</v>
      </c>
      <c r="P503" t="s">
        <v>1501</v>
      </c>
    </row>
    <row r="504" spans="1:16" x14ac:dyDescent="0.3">
      <c r="A504">
        <v>503</v>
      </c>
      <c r="B504" t="s">
        <v>488</v>
      </c>
      <c r="C504">
        <v>2</v>
      </c>
      <c r="D504" s="1">
        <v>45647</v>
      </c>
      <c r="E504" s="1">
        <v>45647</v>
      </c>
      <c r="F504" t="s">
        <v>1094</v>
      </c>
      <c r="G504" t="s">
        <v>1457</v>
      </c>
      <c r="H504" t="s">
        <v>1492</v>
      </c>
      <c r="I504">
        <v>1</v>
      </c>
      <c r="J504" s="2">
        <v>1423.62</v>
      </c>
      <c r="K504" s="3">
        <v>0</v>
      </c>
      <c r="L504" s="2">
        <v>1423.62</v>
      </c>
      <c r="M504" s="2">
        <v>201.63</v>
      </c>
      <c r="N504" t="s">
        <v>1493</v>
      </c>
      <c r="O504" t="s">
        <v>1498</v>
      </c>
      <c r="P504" t="s">
        <v>1501</v>
      </c>
    </row>
    <row r="505" spans="1:16" x14ac:dyDescent="0.3">
      <c r="A505">
        <v>504</v>
      </c>
      <c r="B505" t="s">
        <v>489</v>
      </c>
      <c r="C505">
        <v>2</v>
      </c>
      <c r="D505" s="1">
        <v>45648</v>
      </c>
      <c r="E505" s="1">
        <v>45649</v>
      </c>
      <c r="F505" t="s">
        <v>1203</v>
      </c>
      <c r="G505" t="s">
        <v>1450</v>
      </c>
      <c r="H505" t="s">
        <v>1486</v>
      </c>
      <c r="I505">
        <v>1</v>
      </c>
      <c r="J505" s="2">
        <v>7983.56</v>
      </c>
      <c r="K505" s="3">
        <v>0</v>
      </c>
      <c r="L505" s="2">
        <v>7983.56</v>
      </c>
      <c r="M505" s="2">
        <v>1968.35</v>
      </c>
      <c r="N505" t="s">
        <v>1496</v>
      </c>
      <c r="O505" t="s">
        <v>1498</v>
      </c>
      <c r="P505" t="s">
        <v>1501</v>
      </c>
    </row>
    <row r="506" spans="1:16" x14ac:dyDescent="0.3">
      <c r="A506">
        <v>505</v>
      </c>
      <c r="B506" t="s">
        <v>490</v>
      </c>
      <c r="C506">
        <v>1</v>
      </c>
      <c r="D506" s="1">
        <v>45648</v>
      </c>
      <c r="E506" s="1">
        <v>45651</v>
      </c>
      <c r="F506" t="s">
        <v>1235</v>
      </c>
      <c r="G506" t="s">
        <v>1359</v>
      </c>
      <c r="H506" t="s">
        <v>1480</v>
      </c>
      <c r="I506">
        <v>2</v>
      </c>
      <c r="J506" s="2">
        <v>5570.41</v>
      </c>
      <c r="K506" s="3">
        <v>0.1</v>
      </c>
      <c r="L506" s="2">
        <v>10026.74</v>
      </c>
      <c r="M506" s="2">
        <v>1726.52</v>
      </c>
      <c r="N506" t="s">
        <v>1495</v>
      </c>
      <c r="O506" t="s">
        <v>1499</v>
      </c>
      <c r="P506" t="s">
        <v>1501</v>
      </c>
    </row>
    <row r="507" spans="1:16" x14ac:dyDescent="0.3">
      <c r="A507">
        <v>506</v>
      </c>
      <c r="B507" t="s">
        <v>491</v>
      </c>
      <c r="C507">
        <v>1</v>
      </c>
      <c r="D507" s="1">
        <v>45648</v>
      </c>
      <c r="E507" s="1">
        <v>45651</v>
      </c>
      <c r="F507" t="s">
        <v>980</v>
      </c>
      <c r="G507" t="s">
        <v>1398</v>
      </c>
      <c r="H507" t="s">
        <v>1480</v>
      </c>
      <c r="I507">
        <v>1</v>
      </c>
      <c r="J507" s="2">
        <v>21441.39</v>
      </c>
      <c r="K507" s="3">
        <v>0</v>
      </c>
      <c r="L507" s="2">
        <v>21441.39</v>
      </c>
      <c r="M507" s="2">
        <v>4253.84</v>
      </c>
      <c r="N507" t="s">
        <v>1496</v>
      </c>
      <c r="O507" t="s">
        <v>1498</v>
      </c>
      <c r="P507" t="s">
        <v>1501</v>
      </c>
    </row>
    <row r="508" spans="1:16" x14ac:dyDescent="0.3">
      <c r="A508">
        <v>507</v>
      </c>
      <c r="B508" t="s">
        <v>492</v>
      </c>
      <c r="C508">
        <v>1</v>
      </c>
      <c r="D508" s="1">
        <v>45649</v>
      </c>
      <c r="E508" s="1">
        <v>45650</v>
      </c>
      <c r="F508" t="s">
        <v>972</v>
      </c>
      <c r="G508" t="s">
        <v>1374</v>
      </c>
      <c r="H508" t="s">
        <v>1483</v>
      </c>
      <c r="I508">
        <v>1</v>
      </c>
      <c r="J508" s="2">
        <v>1645.17</v>
      </c>
      <c r="K508" s="3">
        <v>0</v>
      </c>
      <c r="L508" s="2">
        <v>1645.17</v>
      </c>
      <c r="M508" s="2">
        <v>340.93</v>
      </c>
      <c r="N508" t="s">
        <v>1496</v>
      </c>
      <c r="O508" t="s">
        <v>1498</v>
      </c>
      <c r="P508" t="s">
        <v>1501</v>
      </c>
    </row>
    <row r="509" spans="1:16" x14ac:dyDescent="0.3">
      <c r="A509">
        <v>508</v>
      </c>
      <c r="B509" t="s">
        <v>493</v>
      </c>
      <c r="C509">
        <v>1</v>
      </c>
      <c r="D509" s="1">
        <v>45649</v>
      </c>
      <c r="E509" s="1">
        <v>45650</v>
      </c>
      <c r="F509" t="s">
        <v>1236</v>
      </c>
      <c r="G509" t="s">
        <v>1471</v>
      </c>
      <c r="H509" t="s">
        <v>1480</v>
      </c>
      <c r="I509">
        <v>2</v>
      </c>
      <c r="J509" s="2">
        <v>31099.68</v>
      </c>
      <c r="K509" s="3">
        <v>0</v>
      </c>
      <c r="L509" s="2">
        <v>62199.360000000001</v>
      </c>
      <c r="M509" s="2">
        <v>6851.34</v>
      </c>
      <c r="N509" t="s">
        <v>1494</v>
      </c>
      <c r="O509" t="s">
        <v>1498</v>
      </c>
      <c r="P509" t="s">
        <v>1501</v>
      </c>
    </row>
    <row r="510" spans="1:16" x14ac:dyDescent="0.3">
      <c r="A510">
        <v>509</v>
      </c>
      <c r="B510" t="s">
        <v>494</v>
      </c>
      <c r="C510">
        <v>1</v>
      </c>
      <c r="D510" s="1">
        <v>45649</v>
      </c>
      <c r="E510" s="1">
        <v>45652</v>
      </c>
      <c r="F510" t="s">
        <v>1237</v>
      </c>
      <c r="G510" t="s">
        <v>1455</v>
      </c>
      <c r="H510" t="s">
        <v>1480</v>
      </c>
      <c r="I510">
        <v>2</v>
      </c>
      <c r="J510" s="2">
        <v>50791.32</v>
      </c>
      <c r="K510" s="3">
        <v>0</v>
      </c>
      <c r="L510" s="2">
        <v>101582.64</v>
      </c>
      <c r="M510" s="2">
        <v>11802</v>
      </c>
      <c r="N510" t="s">
        <v>1493</v>
      </c>
      <c r="O510" t="s">
        <v>1498</v>
      </c>
      <c r="P510" t="s">
        <v>1501</v>
      </c>
    </row>
    <row r="511" spans="1:16" x14ac:dyDescent="0.3">
      <c r="A511">
        <v>510</v>
      </c>
      <c r="B511" t="s">
        <v>495</v>
      </c>
      <c r="C511">
        <v>2</v>
      </c>
      <c r="D511" s="1">
        <v>45650</v>
      </c>
      <c r="E511" s="1">
        <v>45651</v>
      </c>
      <c r="F511" t="s">
        <v>1095</v>
      </c>
      <c r="G511" t="s">
        <v>1410</v>
      </c>
      <c r="H511" t="s">
        <v>1490</v>
      </c>
      <c r="I511">
        <v>1</v>
      </c>
      <c r="J511" s="2">
        <v>1753.24</v>
      </c>
      <c r="K511" s="3">
        <v>0.05</v>
      </c>
      <c r="L511" s="2">
        <v>1665.58</v>
      </c>
      <c r="M511" s="2">
        <v>490.64</v>
      </c>
      <c r="N511" t="s">
        <v>1496</v>
      </c>
      <c r="O511" t="s">
        <v>1498</v>
      </c>
      <c r="P511" t="s">
        <v>1501</v>
      </c>
    </row>
    <row r="512" spans="1:16" x14ac:dyDescent="0.3">
      <c r="A512">
        <v>511</v>
      </c>
      <c r="B512" t="s">
        <v>496</v>
      </c>
      <c r="C512">
        <v>1</v>
      </c>
      <c r="D512" s="1">
        <v>45650</v>
      </c>
      <c r="E512" s="1">
        <v>45650</v>
      </c>
      <c r="F512" t="s">
        <v>1046</v>
      </c>
      <c r="G512" t="s">
        <v>1350</v>
      </c>
      <c r="H512" t="s">
        <v>1491</v>
      </c>
      <c r="I512">
        <v>3</v>
      </c>
      <c r="J512" s="2">
        <v>53290.400000000001</v>
      </c>
      <c r="K512" s="3">
        <v>0</v>
      </c>
      <c r="L512" s="2">
        <v>159871.20000000001</v>
      </c>
      <c r="M512" s="2">
        <v>21695.040000000001</v>
      </c>
      <c r="N512" t="s">
        <v>1496</v>
      </c>
      <c r="O512" t="s">
        <v>1498</v>
      </c>
      <c r="P512" t="s">
        <v>1501</v>
      </c>
    </row>
    <row r="513" spans="1:16" x14ac:dyDescent="0.3">
      <c r="A513">
        <v>512</v>
      </c>
      <c r="B513" t="s">
        <v>497</v>
      </c>
      <c r="C513">
        <v>1</v>
      </c>
      <c r="D513" s="1">
        <v>45652</v>
      </c>
      <c r="E513" s="1">
        <v>45655</v>
      </c>
      <c r="F513" t="s">
        <v>1066</v>
      </c>
      <c r="G513" t="s">
        <v>1435</v>
      </c>
      <c r="H513" t="s">
        <v>1480</v>
      </c>
      <c r="I513">
        <v>1</v>
      </c>
      <c r="J513" s="2">
        <v>62926.96</v>
      </c>
      <c r="K513" s="3">
        <v>0.15</v>
      </c>
      <c r="L513" s="2">
        <v>53487.92</v>
      </c>
      <c r="M513" s="2">
        <v>-224.56</v>
      </c>
      <c r="N513" t="s">
        <v>1495</v>
      </c>
      <c r="O513" t="s">
        <v>1499</v>
      </c>
      <c r="P513" t="s">
        <v>1501</v>
      </c>
    </row>
    <row r="514" spans="1:16" x14ac:dyDescent="0.3">
      <c r="A514">
        <v>513</v>
      </c>
      <c r="B514" t="s">
        <v>498</v>
      </c>
      <c r="C514">
        <v>2</v>
      </c>
      <c r="D514" s="1">
        <v>45653</v>
      </c>
      <c r="E514" s="1">
        <v>45655</v>
      </c>
      <c r="F514" t="s">
        <v>1238</v>
      </c>
      <c r="G514" t="s">
        <v>1389</v>
      </c>
      <c r="H514" t="s">
        <v>1480</v>
      </c>
      <c r="I514">
        <v>1</v>
      </c>
      <c r="J514" s="2">
        <v>676.97</v>
      </c>
      <c r="K514" s="3">
        <v>0</v>
      </c>
      <c r="L514" s="2">
        <v>676.97</v>
      </c>
      <c r="M514" s="2">
        <v>54.29</v>
      </c>
      <c r="N514" t="s">
        <v>1494</v>
      </c>
      <c r="O514" t="s">
        <v>1498</v>
      </c>
      <c r="P514" t="s">
        <v>1501</v>
      </c>
    </row>
    <row r="515" spans="1:16" x14ac:dyDescent="0.3">
      <c r="A515">
        <v>514</v>
      </c>
      <c r="B515" t="s">
        <v>499</v>
      </c>
      <c r="C515">
        <v>1</v>
      </c>
      <c r="D515" s="1">
        <v>45653</v>
      </c>
      <c r="F515" t="s">
        <v>1094</v>
      </c>
      <c r="G515" t="s">
        <v>1374</v>
      </c>
      <c r="H515" t="s">
        <v>1489</v>
      </c>
      <c r="I515">
        <v>1</v>
      </c>
      <c r="J515" s="2">
        <v>1645.17</v>
      </c>
      <c r="K515" s="3">
        <v>0.15</v>
      </c>
      <c r="L515" s="2">
        <v>1398.39</v>
      </c>
      <c r="M515" s="2">
        <v>94.15</v>
      </c>
      <c r="N515" t="s">
        <v>1496</v>
      </c>
      <c r="O515" t="s">
        <v>1498</v>
      </c>
      <c r="P515" t="s">
        <v>1503</v>
      </c>
    </row>
    <row r="516" spans="1:16" x14ac:dyDescent="0.3">
      <c r="A516">
        <v>515</v>
      </c>
      <c r="B516" t="s">
        <v>500</v>
      </c>
      <c r="C516">
        <v>1</v>
      </c>
      <c r="D516" s="1">
        <v>45654</v>
      </c>
      <c r="F516" t="s">
        <v>1239</v>
      </c>
      <c r="G516" t="s">
        <v>1358</v>
      </c>
      <c r="H516" t="s">
        <v>1480</v>
      </c>
      <c r="I516">
        <v>1</v>
      </c>
      <c r="J516" s="2">
        <v>37487.300000000003</v>
      </c>
      <c r="K516" s="3">
        <v>0</v>
      </c>
      <c r="L516" s="2">
        <v>37487.300000000003</v>
      </c>
      <c r="M516" s="2">
        <v>3603.55</v>
      </c>
      <c r="N516" t="s">
        <v>1496</v>
      </c>
      <c r="O516" t="s">
        <v>1499</v>
      </c>
      <c r="P516" t="s">
        <v>1503</v>
      </c>
    </row>
    <row r="517" spans="1:16" x14ac:dyDescent="0.3">
      <c r="A517">
        <v>516</v>
      </c>
      <c r="B517" t="s">
        <v>501</v>
      </c>
      <c r="C517">
        <v>2</v>
      </c>
      <c r="D517" s="1">
        <v>45655</v>
      </c>
      <c r="E517" s="1">
        <v>45655</v>
      </c>
      <c r="F517" t="s">
        <v>1019</v>
      </c>
      <c r="G517" t="s">
        <v>1471</v>
      </c>
      <c r="H517" t="s">
        <v>1478</v>
      </c>
      <c r="I517">
        <v>1</v>
      </c>
      <c r="J517" s="2">
        <v>31099.68</v>
      </c>
      <c r="K517" s="3">
        <v>0</v>
      </c>
      <c r="L517" s="2">
        <v>31099.68</v>
      </c>
      <c r="M517" s="2">
        <v>3425.67</v>
      </c>
      <c r="N517" t="s">
        <v>1496</v>
      </c>
      <c r="O517" t="s">
        <v>1498</v>
      </c>
      <c r="P517" t="s">
        <v>1501</v>
      </c>
    </row>
    <row r="518" spans="1:16" x14ac:dyDescent="0.3">
      <c r="A518">
        <v>517</v>
      </c>
      <c r="B518" t="s">
        <v>501</v>
      </c>
      <c r="C518">
        <v>3</v>
      </c>
      <c r="D518" s="1">
        <v>45655</v>
      </c>
      <c r="E518" s="1">
        <v>45655</v>
      </c>
      <c r="F518" t="s">
        <v>1019</v>
      </c>
      <c r="G518" t="s">
        <v>1466</v>
      </c>
      <c r="H518" t="s">
        <v>1478</v>
      </c>
      <c r="I518">
        <v>1</v>
      </c>
      <c r="J518" s="2">
        <v>800.48</v>
      </c>
      <c r="K518" s="3">
        <v>0.05</v>
      </c>
      <c r="L518" s="2">
        <v>760.46</v>
      </c>
      <c r="M518" s="2">
        <v>246.14</v>
      </c>
      <c r="N518" t="s">
        <v>1496</v>
      </c>
      <c r="O518" t="s">
        <v>1498</v>
      </c>
      <c r="P518" t="s">
        <v>1501</v>
      </c>
    </row>
    <row r="519" spans="1:16" x14ac:dyDescent="0.3">
      <c r="A519">
        <v>518</v>
      </c>
      <c r="B519" t="s">
        <v>502</v>
      </c>
      <c r="C519">
        <v>1</v>
      </c>
      <c r="D519" s="1">
        <v>45656</v>
      </c>
      <c r="E519" s="1">
        <v>45656</v>
      </c>
      <c r="F519" t="s">
        <v>1101</v>
      </c>
      <c r="G519" t="s">
        <v>1390</v>
      </c>
      <c r="H519" t="s">
        <v>1484</v>
      </c>
      <c r="I519">
        <v>1</v>
      </c>
      <c r="J519" s="2">
        <v>38147.39</v>
      </c>
      <c r="K519" s="3">
        <v>0</v>
      </c>
      <c r="L519" s="2">
        <v>38147.39</v>
      </c>
      <c r="M519" s="2">
        <v>10850.04</v>
      </c>
      <c r="N519" t="s">
        <v>1497</v>
      </c>
      <c r="O519" t="s">
        <v>1499</v>
      </c>
      <c r="P519" t="s">
        <v>1501</v>
      </c>
    </row>
    <row r="520" spans="1:16" x14ac:dyDescent="0.3">
      <c r="A520">
        <v>519</v>
      </c>
      <c r="B520" t="s">
        <v>503</v>
      </c>
      <c r="C520">
        <v>1</v>
      </c>
      <c r="D520" s="1">
        <v>45656</v>
      </c>
      <c r="E520" s="1">
        <v>45657</v>
      </c>
      <c r="F520" t="s">
        <v>1040</v>
      </c>
      <c r="G520" t="s">
        <v>1331</v>
      </c>
      <c r="H520" t="s">
        <v>1483</v>
      </c>
      <c r="I520">
        <v>1</v>
      </c>
      <c r="J520" s="2">
        <v>1520.12</v>
      </c>
      <c r="K520" s="3">
        <v>0</v>
      </c>
      <c r="L520" s="2">
        <v>1520.12</v>
      </c>
      <c r="M520" s="2">
        <v>547.69000000000005</v>
      </c>
      <c r="N520" t="s">
        <v>1494</v>
      </c>
      <c r="O520" t="s">
        <v>1498</v>
      </c>
      <c r="P520" t="s">
        <v>1501</v>
      </c>
    </row>
    <row r="521" spans="1:16" x14ac:dyDescent="0.3">
      <c r="A521">
        <v>520</v>
      </c>
      <c r="B521" t="s">
        <v>504</v>
      </c>
      <c r="C521">
        <v>2</v>
      </c>
      <c r="D521" s="1">
        <v>45657</v>
      </c>
      <c r="E521" s="1">
        <v>45658</v>
      </c>
      <c r="F521" t="s">
        <v>967</v>
      </c>
      <c r="G521" t="s">
        <v>1472</v>
      </c>
      <c r="H521" t="s">
        <v>1480</v>
      </c>
      <c r="I521">
        <v>2</v>
      </c>
      <c r="J521" s="2">
        <v>16791.75</v>
      </c>
      <c r="K521" s="3">
        <v>0</v>
      </c>
      <c r="L521" s="2">
        <v>33583.5</v>
      </c>
      <c r="M521" s="2">
        <v>2711.4</v>
      </c>
      <c r="N521" t="s">
        <v>1494</v>
      </c>
      <c r="O521" t="s">
        <v>1500</v>
      </c>
      <c r="P521" t="s">
        <v>1501</v>
      </c>
    </row>
    <row r="522" spans="1:16" x14ac:dyDescent="0.3">
      <c r="A522">
        <v>521</v>
      </c>
      <c r="B522" t="s">
        <v>505</v>
      </c>
      <c r="C522">
        <v>2</v>
      </c>
      <c r="D522" s="1">
        <v>45657</v>
      </c>
      <c r="E522" s="1">
        <v>45658</v>
      </c>
      <c r="F522" t="s">
        <v>1160</v>
      </c>
      <c r="G522" t="s">
        <v>1349</v>
      </c>
      <c r="H522" t="s">
        <v>1480</v>
      </c>
      <c r="I522">
        <v>1</v>
      </c>
      <c r="J522" s="2">
        <v>2650.66</v>
      </c>
      <c r="K522" s="3">
        <v>0.15</v>
      </c>
      <c r="L522" s="2">
        <v>2253.06</v>
      </c>
      <c r="M522" s="2">
        <v>463.43</v>
      </c>
      <c r="N522" t="s">
        <v>1497</v>
      </c>
      <c r="O522" t="s">
        <v>1499</v>
      </c>
      <c r="P522" t="s">
        <v>1501</v>
      </c>
    </row>
    <row r="523" spans="1:16" x14ac:dyDescent="0.3">
      <c r="A523">
        <v>522</v>
      </c>
      <c r="B523" t="s">
        <v>506</v>
      </c>
      <c r="C523">
        <v>1</v>
      </c>
      <c r="D523" s="1">
        <v>45657</v>
      </c>
      <c r="E523" s="1">
        <v>45659</v>
      </c>
      <c r="F523" t="s">
        <v>1132</v>
      </c>
      <c r="G523" t="s">
        <v>1447</v>
      </c>
      <c r="H523" t="s">
        <v>1480</v>
      </c>
      <c r="I523">
        <v>1</v>
      </c>
      <c r="J523" s="2">
        <v>4260.03</v>
      </c>
      <c r="K523" s="3">
        <v>0</v>
      </c>
      <c r="L523" s="2">
        <v>4260.03</v>
      </c>
      <c r="M523" s="2">
        <v>730.88</v>
      </c>
      <c r="N523" t="s">
        <v>1496</v>
      </c>
      <c r="O523" t="s">
        <v>1498</v>
      </c>
      <c r="P523" t="s">
        <v>1501</v>
      </c>
    </row>
    <row r="524" spans="1:16" x14ac:dyDescent="0.3">
      <c r="A524">
        <v>523</v>
      </c>
      <c r="B524" t="s">
        <v>507</v>
      </c>
      <c r="C524">
        <v>1</v>
      </c>
      <c r="D524" s="1">
        <v>45658</v>
      </c>
      <c r="E524" s="1">
        <v>45658</v>
      </c>
      <c r="F524" t="s">
        <v>1152</v>
      </c>
      <c r="G524" t="s">
        <v>1366</v>
      </c>
      <c r="H524" t="s">
        <v>1478</v>
      </c>
      <c r="I524">
        <v>4</v>
      </c>
      <c r="J524" s="2">
        <v>1397.64</v>
      </c>
      <c r="K524" s="3">
        <v>0.1</v>
      </c>
      <c r="L524" s="2">
        <v>5031.5</v>
      </c>
      <c r="M524" s="2">
        <v>-212.58</v>
      </c>
      <c r="N524" t="s">
        <v>1495</v>
      </c>
      <c r="O524" t="s">
        <v>1499</v>
      </c>
      <c r="P524" t="s">
        <v>1501</v>
      </c>
    </row>
    <row r="525" spans="1:16" x14ac:dyDescent="0.3">
      <c r="A525">
        <v>524</v>
      </c>
      <c r="B525" t="s">
        <v>508</v>
      </c>
      <c r="C525">
        <v>1</v>
      </c>
      <c r="D525" s="1">
        <v>45660</v>
      </c>
      <c r="E525" s="1">
        <v>45663</v>
      </c>
      <c r="F525" t="s">
        <v>1161</v>
      </c>
      <c r="G525" t="s">
        <v>1400</v>
      </c>
      <c r="H525" t="s">
        <v>1480</v>
      </c>
      <c r="I525">
        <v>1</v>
      </c>
      <c r="J525" s="2">
        <v>36178.629999999997</v>
      </c>
      <c r="K525" s="3">
        <v>0.05</v>
      </c>
      <c r="L525" s="2">
        <v>34369.699999999997</v>
      </c>
      <c r="M525" s="2">
        <v>4066.82</v>
      </c>
      <c r="N525" t="s">
        <v>1496</v>
      </c>
      <c r="O525" t="s">
        <v>1499</v>
      </c>
      <c r="P525" t="s">
        <v>1501</v>
      </c>
    </row>
    <row r="526" spans="1:16" x14ac:dyDescent="0.3">
      <c r="A526">
        <v>525</v>
      </c>
      <c r="B526" t="s">
        <v>509</v>
      </c>
      <c r="C526">
        <v>1</v>
      </c>
      <c r="D526" s="1">
        <v>45661</v>
      </c>
      <c r="E526" s="1">
        <v>45662</v>
      </c>
      <c r="F526" t="s">
        <v>1200</v>
      </c>
      <c r="G526" t="s">
        <v>1462</v>
      </c>
      <c r="H526" t="s">
        <v>1481</v>
      </c>
      <c r="I526">
        <v>2</v>
      </c>
      <c r="J526" s="2">
        <v>31184.25</v>
      </c>
      <c r="K526" s="3">
        <v>0</v>
      </c>
      <c r="L526" s="2">
        <v>62368.5</v>
      </c>
      <c r="M526" s="2">
        <v>11986.3</v>
      </c>
      <c r="N526" t="s">
        <v>1497</v>
      </c>
      <c r="O526" t="s">
        <v>1500</v>
      </c>
      <c r="P526" t="s">
        <v>1501</v>
      </c>
    </row>
    <row r="527" spans="1:16" x14ac:dyDescent="0.3">
      <c r="A527">
        <v>526</v>
      </c>
      <c r="B527" t="s">
        <v>509</v>
      </c>
      <c r="C527">
        <v>2</v>
      </c>
      <c r="D527" s="1">
        <v>45661</v>
      </c>
      <c r="E527" s="1">
        <v>45662</v>
      </c>
      <c r="F527" t="s">
        <v>1200</v>
      </c>
      <c r="G527" t="s">
        <v>1364</v>
      </c>
      <c r="H527" t="s">
        <v>1481</v>
      </c>
      <c r="I527">
        <v>2</v>
      </c>
      <c r="J527" s="2">
        <v>590.01</v>
      </c>
      <c r="K527" s="3">
        <v>0</v>
      </c>
      <c r="L527" s="2">
        <v>1180.02</v>
      </c>
      <c r="M527" s="2">
        <v>145.1</v>
      </c>
      <c r="N527" t="s">
        <v>1497</v>
      </c>
      <c r="O527" t="s">
        <v>1500</v>
      </c>
      <c r="P527" t="s">
        <v>1501</v>
      </c>
    </row>
    <row r="528" spans="1:16" x14ac:dyDescent="0.3">
      <c r="A528">
        <v>527</v>
      </c>
      <c r="B528" t="s">
        <v>510</v>
      </c>
      <c r="C528">
        <v>1</v>
      </c>
      <c r="D528" s="1">
        <v>45662</v>
      </c>
      <c r="F528" t="s">
        <v>1233</v>
      </c>
      <c r="G528" t="s">
        <v>1395</v>
      </c>
      <c r="H528" t="s">
        <v>1480</v>
      </c>
      <c r="I528">
        <v>1</v>
      </c>
      <c r="J528" s="2">
        <v>5383.63</v>
      </c>
      <c r="K528" s="3">
        <v>0</v>
      </c>
      <c r="L528" s="2">
        <v>5383.63</v>
      </c>
      <c r="M528" s="2">
        <v>1175.04</v>
      </c>
      <c r="N528" t="s">
        <v>1496</v>
      </c>
      <c r="O528" t="s">
        <v>1498</v>
      </c>
      <c r="P528" t="s">
        <v>1503</v>
      </c>
    </row>
    <row r="529" spans="1:16" x14ac:dyDescent="0.3">
      <c r="A529">
        <v>528</v>
      </c>
      <c r="B529" t="s">
        <v>511</v>
      </c>
      <c r="C529">
        <v>1</v>
      </c>
      <c r="D529" s="1">
        <v>45665</v>
      </c>
      <c r="E529" s="1">
        <v>45666</v>
      </c>
      <c r="F529" t="s">
        <v>1013</v>
      </c>
      <c r="G529" t="s">
        <v>1387</v>
      </c>
      <c r="H529" t="s">
        <v>1484</v>
      </c>
      <c r="I529">
        <v>1</v>
      </c>
      <c r="J529" s="2">
        <v>2184.2199999999998</v>
      </c>
      <c r="K529" s="3">
        <v>0</v>
      </c>
      <c r="L529" s="2">
        <v>2184.2199999999998</v>
      </c>
      <c r="M529" s="2">
        <v>542.11</v>
      </c>
      <c r="N529" t="s">
        <v>1493</v>
      </c>
      <c r="O529" t="s">
        <v>1499</v>
      </c>
      <c r="P529" t="s">
        <v>1502</v>
      </c>
    </row>
    <row r="530" spans="1:16" x14ac:dyDescent="0.3">
      <c r="A530">
        <v>529</v>
      </c>
      <c r="B530" t="s">
        <v>511</v>
      </c>
      <c r="C530">
        <v>3</v>
      </c>
      <c r="D530" s="1">
        <v>45665</v>
      </c>
      <c r="E530" s="1">
        <v>45666</v>
      </c>
      <c r="F530" t="s">
        <v>1013</v>
      </c>
      <c r="G530" t="s">
        <v>1352</v>
      </c>
      <c r="H530" t="s">
        <v>1484</v>
      </c>
      <c r="I530">
        <v>1</v>
      </c>
      <c r="J530" s="2">
        <v>3696.44</v>
      </c>
      <c r="K530" s="3">
        <v>0</v>
      </c>
      <c r="L530" s="2">
        <v>3696.44</v>
      </c>
      <c r="M530" s="2">
        <v>1613.88</v>
      </c>
      <c r="N530" t="s">
        <v>1493</v>
      </c>
      <c r="O530" t="s">
        <v>1499</v>
      </c>
      <c r="P530" t="s">
        <v>1502</v>
      </c>
    </row>
    <row r="531" spans="1:16" x14ac:dyDescent="0.3">
      <c r="A531">
        <v>530</v>
      </c>
      <c r="B531" t="s">
        <v>512</v>
      </c>
      <c r="C531">
        <v>1</v>
      </c>
      <c r="D531" s="1">
        <v>45665</v>
      </c>
      <c r="E531" s="1">
        <v>45665</v>
      </c>
      <c r="F531" t="s">
        <v>1029</v>
      </c>
      <c r="G531" t="s">
        <v>1363</v>
      </c>
      <c r="H531" t="s">
        <v>1478</v>
      </c>
      <c r="I531">
        <v>1</v>
      </c>
      <c r="J531" s="2">
        <v>23041.22</v>
      </c>
      <c r="K531" s="3">
        <v>0.05</v>
      </c>
      <c r="L531" s="2">
        <v>21889.16</v>
      </c>
      <c r="M531" s="2">
        <v>3812.68</v>
      </c>
      <c r="N531" t="s">
        <v>1497</v>
      </c>
      <c r="O531" t="s">
        <v>1499</v>
      </c>
      <c r="P531" t="s">
        <v>1501</v>
      </c>
    </row>
    <row r="532" spans="1:16" x14ac:dyDescent="0.3">
      <c r="A532">
        <v>531</v>
      </c>
      <c r="B532" t="s">
        <v>513</v>
      </c>
      <c r="C532">
        <v>1</v>
      </c>
      <c r="D532" s="1">
        <v>45666</v>
      </c>
      <c r="E532" s="1">
        <v>45668</v>
      </c>
      <c r="F532" t="s">
        <v>965</v>
      </c>
      <c r="G532" t="s">
        <v>1404</v>
      </c>
      <c r="H532" t="s">
        <v>1480</v>
      </c>
      <c r="I532">
        <v>1</v>
      </c>
      <c r="J532" s="2">
        <v>44125.88</v>
      </c>
      <c r="K532" s="3">
        <v>0</v>
      </c>
      <c r="L532" s="2">
        <v>44125.88</v>
      </c>
      <c r="M532" s="2">
        <v>9811.19</v>
      </c>
      <c r="N532" t="s">
        <v>1497</v>
      </c>
      <c r="O532" t="s">
        <v>1499</v>
      </c>
      <c r="P532" t="s">
        <v>1501</v>
      </c>
    </row>
    <row r="533" spans="1:16" x14ac:dyDescent="0.3">
      <c r="A533">
        <v>532</v>
      </c>
      <c r="B533" t="s">
        <v>514</v>
      </c>
      <c r="C533">
        <v>1</v>
      </c>
      <c r="D533" s="1">
        <v>45666</v>
      </c>
      <c r="E533" s="1">
        <v>45668</v>
      </c>
      <c r="F533" t="s">
        <v>1240</v>
      </c>
      <c r="G533" t="s">
        <v>1360</v>
      </c>
      <c r="H533" t="s">
        <v>1480</v>
      </c>
      <c r="I533">
        <v>2</v>
      </c>
      <c r="J533" s="2">
        <v>1166.3499999999999</v>
      </c>
      <c r="K533" s="3">
        <v>0</v>
      </c>
      <c r="L533" s="2">
        <v>2332.6999999999998</v>
      </c>
      <c r="M533" s="2">
        <v>273.22000000000003</v>
      </c>
      <c r="N533" t="s">
        <v>1493</v>
      </c>
      <c r="O533" t="s">
        <v>1499</v>
      </c>
      <c r="P533" t="s">
        <v>1501</v>
      </c>
    </row>
    <row r="534" spans="1:16" x14ac:dyDescent="0.3">
      <c r="A534">
        <v>533</v>
      </c>
      <c r="B534" t="s">
        <v>515</v>
      </c>
      <c r="C534">
        <v>1</v>
      </c>
      <c r="D534" s="1">
        <v>45667</v>
      </c>
      <c r="E534" s="1">
        <v>45667</v>
      </c>
      <c r="F534" t="s">
        <v>1204</v>
      </c>
      <c r="G534" t="s">
        <v>1382</v>
      </c>
      <c r="H534" t="s">
        <v>1486</v>
      </c>
      <c r="I534">
        <v>1</v>
      </c>
      <c r="J534" s="2">
        <v>561.82000000000005</v>
      </c>
      <c r="K534" s="3">
        <v>0.2</v>
      </c>
      <c r="L534" s="2">
        <v>449.46</v>
      </c>
      <c r="M534" s="2">
        <v>-66.599999999999994</v>
      </c>
      <c r="N534" t="s">
        <v>1493</v>
      </c>
      <c r="O534" t="s">
        <v>1498</v>
      </c>
      <c r="P534" t="s">
        <v>1501</v>
      </c>
    </row>
    <row r="535" spans="1:16" x14ac:dyDescent="0.3">
      <c r="A535">
        <v>534</v>
      </c>
      <c r="B535" t="s">
        <v>516</v>
      </c>
      <c r="C535">
        <v>1</v>
      </c>
      <c r="D535" s="1">
        <v>45668</v>
      </c>
      <c r="E535" s="1">
        <v>45668</v>
      </c>
      <c r="F535" t="s">
        <v>1241</v>
      </c>
      <c r="G535" t="s">
        <v>1448</v>
      </c>
      <c r="H535" t="s">
        <v>1492</v>
      </c>
      <c r="I535">
        <v>2</v>
      </c>
      <c r="J535" s="2">
        <v>579.75</v>
      </c>
      <c r="K535" s="3">
        <v>0.15</v>
      </c>
      <c r="L535" s="2">
        <v>985.57</v>
      </c>
      <c r="M535" s="2">
        <v>202.59</v>
      </c>
      <c r="N535" t="s">
        <v>1495</v>
      </c>
      <c r="O535" t="s">
        <v>1499</v>
      </c>
      <c r="P535" t="s">
        <v>1501</v>
      </c>
    </row>
    <row r="536" spans="1:16" x14ac:dyDescent="0.3">
      <c r="A536">
        <v>535</v>
      </c>
      <c r="B536" t="s">
        <v>517</v>
      </c>
      <c r="C536">
        <v>1</v>
      </c>
      <c r="D536" s="1">
        <v>45668</v>
      </c>
      <c r="E536" s="1">
        <v>45668</v>
      </c>
      <c r="F536" t="s">
        <v>1144</v>
      </c>
      <c r="G536" t="s">
        <v>1339</v>
      </c>
      <c r="H536" t="s">
        <v>1485</v>
      </c>
      <c r="I536">
        <v>1</v>
      </c>
      <c r="J536" s="2">
        <v>763.54</v>
      </c>
      <c r="K536" s="3">
        <v>0</v>
      </c>
      <c r="L536" s="2">
        <v>763.54</v>
      </c>
      <c r="M536" s="2">
        <v>240.98</v>
      </c>
      <c r="N536" t="s">
        <v>1496</v>
      </c>
      <c r="O536" t="s">
        <v>1498</v>
      </c>
      <c r="P536" t="s">
        <v>1501</v>
      </c>
    </row>
    <row r="537" spans="1:16" x14ac:dyDescent="0.3">
      <c r="A537">
        <v>536</v>
      </c>
      <c r="B537" t="s">
        <v>518</v>
      </c>
      <c r="C537">
        <v>1</v>
      </c>
      <c r="D537" s="1">
        <v>45670</v>
      </c>
      <c r="E537" s="1">
        <v>45673</v>
      </c>
      <c r="F537" t="s">
        <v>1139</v>
      </c>
      <c r="G537" t="s">
        <v>1397</v>
      </c>
      <c r="H537" t="s">
        <v>1480</v>
      </c>
      <c r="I537">
        <v>2</v>
      </c>
      <c r="J537" s="2">
        <v>42202.74</v>
      </c>
      <c r="K537" s="3">
        <v>0</v>
      </c>
      <c r="L537" s="2">
        <v>84405.48</v>
      </c>
      <c r="M537" s="2">
        <v>15575.52</v>
      </c>
      <c r="N537" t="s">
        <v>1496</v>
      </c>
      <c r="O537" t="s">
        <v>1499</v>
      </c>
      <c r="P537" t="s">
        <v>1501</v>
      </c>
    </row>
    <row r="538" spans="1:16" x14ac:dyDescent="0.3">
      <c r="A538">
        <v>537</v>
      </c>
      <c r="B538" t="s">
        <v>519</v>
      </c>
      <c r="C538">
        <v>1</v>
      </c>
      <c r="D538" s="1">
        <v>45672</v>
      </c>
      <c r="E538" s="1">
        <v>45675</v>
      </c>
      <c r="F538" t="s">
        <v>1242</v>
      </c>
      <c r="G538" t="s">
        <v>1413</v>
      </c>
      <c r="H538" t="s">
        <v>1480</v>
      </c>
      <c r="I538">
        <v>1</v>
      </c>
      <c r="J538" s="2">
        <v>771.89</v>
      </c>
      <c r="K538" s="3">
        <v>0</v>
      </c>
      <c r="L538" s="2">
        <v>771.89</v>
      </c>
      <c r="M538" s="2">
        <v>220.44</v>
      </c>
      <c r="N538" t="s">
        <v>1494</v>
      </c>
      <c r="O538" t="s">
        <v>1498</v>
      </c>
      <c r="P538" t="s">
        <v>1501</v>
      </c>
    </row>
    <row r="539" spans="1:16" x14ac:dyDescent="0.3">
      <c r="A539">
        <v>538</v>
      </c>
      <c r="B539" t="s">
        <v>520</v>
      </c>
      <c r="C539">
        <v>2</v>
      </c>
      <c r="D539" s="1">
        <v>45674</v>
      </c>
      <c r="E539" s="1">
        <v>45674</v>
      </c>
      <c r="F539" t="s">
        <v>1131</v>
      </c>
      <c r="G539" t="s">
        <v>1360</v>
      </c>
      <c r="H539" t="s">
        <v>1485</v>
      </c>
      <c r="I539">
        <v>1</v>
      </c>
      <c r="J539" s="2">
        <v>1166.3499999999999</v>
      </c>
      <c r="K539" s="3">
        <v>0</v>
      </c>
      <c r="L539" s="2">
        <v>1166.3499999999999</v>
      </c>
      <c r="M539" s="2">
        <v>136.61000000000001</v>
      </c>
      <c r="N539" t="s">
        <v>1496</v>
      </c>
      <c r="O539" t="s">
        <v>1498</v>
      </c>
      <c r="P539" t="s">
        <v>1501</v>
      </c>
    </row>
    <row r="540" spans="1:16" x14ac:dyDescent="0.3">
      <c r="A540">
        <v>539</v>
      </c>
      <c r="B540" t="s">
        <v>521</v>
      </c>
      <c r="C540">
        <v>1</v>
      </c>
      <c r="D540" s="1">
        <v>45674</v>
      </c>
      <c r="E540" s="1">
        <v>45675</v>
      </c>
      <c r="F540" t="s">
        <v>1114</v>
      </c>
      <c r="G540" t="s">
        <v>1467</v>
      </c>
      <c r="H540" t="s">
        <v>1483</v>
      </c>
      <c r="I540">
        <v>1</v>
      </c>
      <c r="J540" s="2">
        <v>16820.04</v>
      </c>
      <c r="K540" s="3">
        <v>0</v>
      </c>
      <c r="L540" s="2">
        <v>16820.04</v>
      </c>
      <c r="M540" s="2">
        <v>4191.17</v>
      </c>
      <c r="N540" t="s">
        <v>1496</v>
      </c>
      <c r="O540" t="s">
        <v>1498</v>
      </c>
      <c r="P540" t="s">
        <v>1501</v>
      </c>
    </row>
    <row r="541" spans="1:16" x14ac:dyDescent="0.3">
      <c r="A541">
        <v>540</v>
      </c>
      <c r="B541" t="s">
        <v>522</v>
      </c>
      <c r="C541">
        <v>2</v>
      </c>
      <c r="D541" s="1">
        <v>45683</v>
      </c>
      <c r="E541" s="1">
        <v>45683</v>
      </c>
      <c r="F541" t="s">
        <v>1149</v>
      </c>
      <c r="G541" t="s">
        <v>1433</v>
      </c>
      <c r="H541" t="s">
        <v>1492</v>
      </c>
      <c r="I541">
        <v>1</v>
      </c>
      <c r="J541" s="2">
        <v>2067.91</v>
      </c>
      <c r="K541" s="3">
        <v>0</v>
      </c>
      <c r="L541" s="2">
        <v>2067.91</v>
      </c>
      <c r="M541" s="2">
        <v>576.48</v>
      </c>
      <c r="N541" t="s">
        <v>1493</v>
      </c>
      <c r="O541" t="s">
        <v>1499</v>
      </c>
      <c r="P541" t="s">
        <v>1501</v>
      </c>
    </row>
    <row r="542" spans="1:16" x14ac:dyDescent="0.3">
      <c r="A542">
        <v>541</v>
      </c>
      <c r="B542" t="s">
        <v>523</v>
      </c>
      <c r="C542">
        <v>1</v>
      </c>
      <c r="D542" s="1">
        <v>45683</v>
      </c>
      <c r="E542" s="1">
        <v>45683</v>
      </c>
      <c r="F542" t="s">
        <v>1083</v>
      </c>
      <c r="G542" t="s">
        <v>1377</v>
      </c>
      <c r="H542" t="s">
        <v>1492</v>
      </c>
      <c r="I542">
        <v>1</v>
      </c>
      <c r="J542" s="2">
        <v>43870.05</v>
      </c>
      <c r="K542" s="3">
        <v>0.05</v>
      </c>
      <c r="L542" s="2">
        <v>41676.550000000003</v>
      </c>
      <c r="M542" s="2">
        <v>6301.39</v>
      </c>
      <c r="N542" t="s">
        <v>1495</v>
      </c>
      <c r="O542" t="s">
        <v>1498</v>
      </c>
      <c r="P542" t="s">
        <v>1501</v>
      </c>
    </row>
    <row r="543" spans="1:16" x14ac:dyDescent="0.3">
      <c r="A543">
        <v>542</v>
      </c>
      <c r="B543" t="s">
        <v>524</v>
      </c>
      <c r="C543">
        <v>1</v>
      </c>
      <c r="D543" s="1">
        <v>45683</v>
      </c>
      <c r="E543" s="1">
        <v>45685</v>
      </c>
      <c r="F543" t="s">
        <v>1069</v>
      </c>
      <c r="G543" t="s">
        <v>1404</v>
      </c>
      <c r="H543" t="s">
        <v>1480</v>
      </c>
      <c r="I543">
        <v>2</v>
      </c>
      <c r="J543" s="2">
        <v>44125.88</v>
      </c>
      <c r="K543" s="3">
        <v>0</v>
      </c>
      <c r="L543" s="2">
        <v>88251.76</v>
      </c>
      <c r="M543" s="2">
        <v>19622.38</v>
      </c>
      <c r="N543" t="s">
        <v>1496</v>
      </c>
      <c r="O543" t="s">
        <v>1498</v>
      </c>
      <c r="P543" t="s">
        <v>1501</v>
      </c>
    </row>
    <row r="544" spans="1:16" x14ac:dyDescent="0.3">
      <c r="A544">
        <v>543</v>
      </c>
      <c r="B544" t="s">
        <v>525</v>
      </c>
      <c r="C544">
        <v>1</v>
      </c>
      <c r="D544" s="1">
        <v>45685</v>
      </c>
      <c r="E544" s="1">
        <v>45688</v>
      </c>
      <c r="F544" t="s">
        <v>1083</v>
      </c>
      <c r="G544" t="s">
        <v>1384</v>
      </c>
      <c r="H544" t="s">
        <v>1480</v>
      </c>
      <c r="I544">
        <v>2</v>
      </c>
      <c r="J544" s="2">
        <v>35937.699999999997</v>
      </c>
      <c r="K544" s="3">
        <v>0.1</v>
      </c>
      <c r="L544" s="2">
        <v>64687.86</v>
      </c>
      <c r="M544" s="2">
        <v>14071.34</v>
      </c>
      <c r="N544" t="s">
        <v>1496</v>
      </c>
      <c r="O544" t="s">
        <v>1498</v>
      </c>
      <c r="P544" t="s">
        <v>1501</v>
      </c>
    </row>
    <row r="545" spans="1:16" x14ac:dyDescent="0.3">
      <c r="A545">
        <v>544</v>
      </c>
      <c r="B545" t="s">
        <v>526</v>
      </c>
      <c r="C545">
        <v>1</v>
      </c>
      <c r="D545" s="1">
        <v>45686</v>
      </c>
      <c r="E545" s="1">
        <v>45686</v>
      </c>
      <c r="F545" t="s">
        <v>965</v>
      </c>
      <c r="G545" t="s">
        <v>1399</v>
      </c>
      <c r="H545" t="s">
        <v>1490</v>
      </c>
      <c r="I545">
        <v>1</v>
      </c>
      <c r="J545" s="2">
        <v>711.86</v>
      </c>
      <c r="K545" s="3">
        <v>0.1</v>
      </c>
      <c r="L545" s="2">
        <v>640.66999999999996</v>
      </c>
      <c r="M545" s="2">
        <v>1.61</v>
      </c>
      <c r="N545" t="s">
        <v>1496</v>
      </c>
      <c r="O545" t="s">
        <v>1499</v>
      </c>
      <c r="P545" t="s">
        <v>1501</v>
      </c>
    </row>
    <row r="546" spans="1:16" x14ac:dyDescent="0.3">
      <c r="A546">
        <v>545</v>
      </c>
      <c r="B546" t="s">
        <v>527</v>
      </c>
      <c r="C546">
        <v>1</v>
      </c>
      <c r="D546" s="1">
        <v>45686</v>
      </c>
      <c r="E546" s="1">
        <v>45689</v>
      </c>
      <c r="F546" t="s">
        <v>1058</v>
      </c>
      <c r="G546" t="s">
        <v>1402</v>
      </c>
      <c r="H546" t="s">
        <v>1480</v>
      </c>
      <c r="I546">
        <v>1</v>
      </c>
      <c r="J546" s="2">
        <v>1419.44</v>
      </c>
      <c r="K546" s="3">
        <v>0.2</v>
      </c>
      <c r="L546" s="2">
        <v>1135.55</v>
      </c>
      <c r="M546" s="2">
        <v>-176.95</v>
      </c>
      <c r="N546" t="s">
        <v>1495</v>
      </c>
      <c r="O546" t="s">
        <v>1498</v>
      </c>
      <c r="P546" t="s">
        <v>1501</v>
      </c>
    </row>
    <row r="547" spans="1:16" x14ac:dyDescent="0.3">
      <c r="A547">
        <v>546</v>
      </c>
      <c r="B547" t="s">
        <v>528</v>
      </c>
      <c r="C547">
        <v>1</v>
      </c>
      <c r="D547" s="1">
        <v>45686</v>
      </c>
      <c r="E547" s="1">
        <v>45687</v>
      </c>
      <c r="F547" t="s">
        <v>987</v>
      </c>
      <c r="G547" t="s">
        <v>1457</v>
      </c>
      <c r="H547" t="s">
        <v>1480</v>
      </c>
      <c r="I547">
        <v>1</v>
      </c>
      <c r="J547" s="2">
        <v>1423.62</v>
      </c>
      <c r="K547" s="3">
        <v>0</v>
      </c>
      <c r="L547" s="2">
        <v>1423.62</v>
      </c>
      <c r="M547" s="2">
        <v>201.63</v>
      </c>
      <c r="N547" t="s">
        <v>1495</v>
      </c>
      <c r="O547" t="s">
        <v>1498</v>
      </c>
      <c r="P547" t="s">
        <v>1501</v>
      </c>
    </row>
    <row r="548" spans="1:16" x14ac:dyDescent="0.3">
      <c r="A548">
        <v>547</v>
      </c>
      <c r="B548" t="s">
        <v>529</v>
      </c>
      <c r="C548">
        <v>1</v>
      </c>
      <c r="D548" s="1">
        <v>45687</v>
      </c>
      <c r="F548" t="s">
        <v>1166</v>
      </c>
      <c r="G548" t="s">
        <v>1371</v>
      </c>
      <c r="H548" t="s">
        <v>1479</v>
      </c>
      <c r="I548">
        <v>2</v>
      </c>
      <c r="J548" s="2">
        <v>5245.11</v>
      </c>
      <c r="K548" s="3">
        <v>0</v>
      </c>
      <c r="L548" s="2">
        <v>10490.22</v>
      </c>
      <c r="M548" s="2">
        <v>3887.9</v>
      </c>
      <c r="N548" t="s">
        <v>1494</v>
      </c>
      <c r="O548" t="s">
        <v>1498</v>
      </c>
      <c r="P548" t="s">
        <v>1503</v>
      </c>
    </row>
    <row r="549" spans="1:16" x14ac:dyDescent="0.3">
      <c r="A549">
        <v>548</v>
      </c>
      <c r="B549" t="s">
        <v>530</v>
      </c>
      <c r="C549">
        <v>3</v>
      </c>
      <c r="D549" s="1">
        <v>45689</v>
      </c>
      <c r="E549" s="1">
        <v>45691</v>
      </c>
      <c r="F549" t="s">
        <v>1083</v>
      </c>
      <c r="G549" t="s">
        <v>1438</v>
      </c>
      <c r="H549" t="s">
        <v>1480</v>
      </c>
      <c r="I549">
        <v>1</v>
      </c>
      <c r="J549" s="2">
        <v>77432.27</v>
      </c>
      <c r="K549" s="3">
        <v>0</v>
      </c>
      <c r="L549" s="2">
        <v>77432.27</v>
      </c>
      <c r="M549" s="2">
        <v>8717.52</v>
      </c>
      <c r="N549" t="s">
        <v>1497</v>
      </c>
      <c r="O549" t="s">
        <v>1499</v>
      </c>
      <c r="P549" t="s">
        <v>1501</v>
      </c>
    </row>
    <row r="550" spans="1:16" x14ac:dyDescent="0.3">
      <c r="A550">
        <v>549</v>
      </c>
      <c r="B550" t="s">
        <v>531</v>
      </c>
      <c r="C550">
        <v>1</v>
      </c>
      <c r="D550" s="1">
        <v>45689</v>
      </c>
      <c r="E550" s="1">
        <v>45689</v>
      </c>
      <c r="F550" t="s">
        <v>1243</v>
      </c>
      <c r="G550" t="s">
        <v>1470</v>
      </c>
      <c r="H550" t="s">
        <v>1492</v>
      </c>
      <c r="I550">
        <v>1</v>
      </c>
      <c r="J550" s="2">
        <v>4551.28</v>
      </c>
      <c r="K550" s="3">
        <v>0.2</v>
      </c>
      <c r="L550" s="2">
        <v>3641.02</v>
      </c>
      <c r="M550" s="2">
        <v>970.85</v>
      </c>
      <c r="N550" t="s">
        <v>1497</v>
      </c>
      <c r="O550" t="s">
        <v>1499</v>
      </c>
      <c r="P550" t="s">
        <v>1501</v>
      </c>
    </row>
    <row r="551" spans="1:16" x14ac:dyDescent="0.3">
      <c r="A551">
        <v>550</v>
      </c>
      <c r="B551" t="s">
        <v>532</v>
      </c>
      <c r="C551">
        <v>1</v>
      </c>
      <c r="D551" s="1">
        <v>45690</v>
      </c>
      <c r="E551" s="1">
        <v>45691</v>
      </c>
      <c r="F551" t="s">
        <v>1009</v>
      </c>
      <c r="G551" t="s">
        <v>1442</v>
      </c>
      <c r="H551" t="s">
        <v>1481</v>
      </c>
      <c r="I551">
        <v>1</v>
      </c>
      <c r="J551" s="2">
        <v>603.28</v>
      </c>
      <c r="K551" s="3">
        <v>0.2</v>
      </c>
      <c r="L551" s="2">
        <v>482.62</v>
      </c>
      <c r="M551" s="2">
        <v>101.49</v>
      </c>
      <c r="N551" t="s">
        <v>1496</v>
      </c>
      <c r="O551" t="s">
        <v>1499</v>
      </c>
      <c r="P551" t="s">
        <v>1501</v>
      </c>
    </row>
    <row r="552" spans="1:16" x14ac:dyDescent="0.3">
      <c r="A552">
        <v>551</v>
      </c>
      <c r="B552" t="s">
        <v>532</v>
      </c>
      <c r="C552">
        <v>2</v>
      </c>
      <c r="D552" s="1">
        <v>45690</v>
      </c>
      <c r="E552" s="1">
        <v>45691</v>
      </c>
      <c r="F552" t="s">
        <v>1009</v>
      </c>
      <c r="G552" t="s">
        <v>1427</v>
      </c>
      <c r="H552" t="s">
        <v>1481</v>
      </c>
      <c r="I552">
        <v>1</v>
      </c>
      <c r="J552" s="2">
        <v>687.56</v>
      </c>
      <c r="K552" s="3">
        <v>0.05</v>
      </c>
      <c r="L552" s="2">
        <v>653.17999999999995</v>
      </c>
      <c r="M552" s="2">
        <v>200.75</v>
      </c>
      <c r="N552" t="s">
        <v>1496</v>
      </c>
      <c r="O552" t="s">
        <v>1499</v>
      </c>
      <c r="P552" t="s">
        <v>1501</v>
      </c>
    </row>
    <row r="553" spans="1:16" x14ac:dyDescent="0.3">
      <c r="A553">
        <v>552</v>
      </c>
      <c r="B553" t="s">
        <v>533</v>
      </c>
      <c r="C553">
        <v>1</v>
      </c>
      <c r="D553" s="1">
        <v>45690</v>
      </c>
      <c r="E553" s="1">
        <v>45691</v>
      </c>
      <c r="F553" t="s">
        <v>1044</v>
      </c>
      <c r="G553" t="s">
        <v>1344</v>
      </c>
      <c r="H553" t="s">
        <v>1479</v>
      </c>
      <c r="I553">
        <v>1</v>
      </c>
      <c r="J553" s="2">
        <v>555.59</v>
      </c>
      <c r="K553" s="3">
        <v>0</v>
      </c>
      <c r="L553" s="2">
        <v>555.59</v>
      </c>
      <c r="M553" s="2">
        <v>176.49</v>
      </c>
      <c r="N553" t="s">
        <v>1496</v>
      </c>
      <c r="O553" t="s">
        <v>1498</v>
      </c>
      <c r="P553" t="s">
        <v>1501</v>
      </c>
    </row>
    <row r="554" spans="1:16" x14ac:dyDescent="0.3">
      <c r="A554">
        <v>553</v>
      </c>
      <c r="B554" t="s">
        <v>534</v>
      </c>
      <c r="C554">
        <v>2</v>
      </c>
      <c r="D554" s="1">
        <v>45690</v>
      </c>
      <c r="E554" s="1">
        <v>45693</v>
      </c>
      <c r="F554" t="s">
        <v>1195</v>
      </c>
      <c r="G554" t="s">
        <v>1422</v>
      </c>
      <c r="H554" t="s">
        <v>1480</v>
      </c>
      <c r="I554">
        <v>1</v>
      </c>
      <c r="J554" s="2">
        <v>27508.38</v>
      </c>
      <c r="K554" s="3">
        <v>0</v>
      </c>
      <c r="L554" s="2">
        <v>27508.38</v>
      </c>
      <c r="M554" s="2">
        <v>4220.3500000000004</v>
      </c>
      <c r="N554" t="s">
        <v>1495</v>
      </c>
      <c r="O554" t="s">
        <v>1498</v>
      </c>
      <c r="P554" t="s">
        <v>1501</v>
      </c>
    </row>
    <row r="555" spans="1:16" x14ac:dyDescent="0.3">
      <c r="A555">
        <v>554</v>
      </c>
      <c r="B555" t="s">
        <v>535</v>
      </c>
      <c r="C555">
        <v>1</v>
      </c>
      <c r="D555" s="1">
        <v>45691</v>
      </c>
      <c r="E555" s="1">
        <v>45692</v>
      </c>
      <c r="F555" t="s">
        <v>1020</v>
      </c>
      <c r="G555" t="s">
        <v>1346</v>
      </c>
      <c r="H555" t="s">
        <v>1490</v>
      </c>
      <c r="I555">
        <v>1</v>
      </c>
      <c r="J555" s="2">
        <v>3324.39</v>
      </c>
      <c r="K555" s="3">
        <v>0</v>
      </c>
      <c r="L555" s="2">
        <v>3324.39</v>
      </c>
      <c r="M555" s="2">
        <v>1234.02</v>
      </c>
      <c r="N555" t="s">
        <v>1493</v>
      </c>
      <c r="O555" t="s">
        <v>1498</v>
      </c>
      <c r="P555" t="s">
        <v>1501</v>
      </c>
    </row>
    <row r="556" spans="1:16" x14ac:dyDescent="0.3">
      <c r="A556">
        <v>555</v>
      </c>
      <c r="B556" t="s">
        <v>536</v>
      </c>
      <c r="C556">
        <v>2</v>
      </c>
      <c r="D556" s="1">
        <v>45692</v>
      </c>
      <c r="E556" s="1">
        <v>45694</v>
      </c>
      <c r="F556" t="s">
        <v>1244</v>
      </c>
      <c r="G556" t="s">
        <v>1417</v>
      </c>
      <c r="H556" t="s">
        <v>1480</v>
      </c>
      <c r="I556">
        <v>1</v>
      </c>
      <c r="J556" s="2">
        <v>1497.68</v>
      </c>
      <c r="K556" s="3">
        <v>0</v>
      </c>
      <c r="L556" s="2">
        <v>1497.68</v>
      </c>
      <c r="M556" s="2">
        <v>174.58</v>
      </c>
      <c r="N556" t="s">
        <v>1494</v>
      </c>
      <c r="O556" t="s">
        <v>1498</v>
      </c>
      <c r="P556" t="s">
        <v>1501</v>
      </c>
    </row>
    <row r="557" spans="1:16" x14ac:dyDescent="0.3">
      <c r="A557">
        <v>556</v>
      </c>
      <c r="B557" t="s">
        <v>537</v>
      </c>
      <c r="C557">
        <v>1</v>
      </c>
      <c r="D557" s="1">
        <v>45692</v>
      </c>
      <c r="E557" s="1">
        <v>45693</v>
      </c>
      <c r="F557" t="s">
        <v>1245</v>
      </c>
      <c r="G557" t="s">
        <v>1441</v>
      </c>
      <c r="H557" t="s">
        <v>1480</v>
      </c>
      <c r="I557">
        <v>2</v>
      </c>
      <c r="J557" s="2">
        <v>6305.83</v>
      </c>
      <c r="K557" s="3">
        <v>0</v>
      </c>
      <c r="L557" s="2">
        <v>12611.66</v>
      </c>
      <c r="M557" s="2">
        <v>2849.6</v>
      </c>
      <c r="N557" t="s">
        <v>1496</v>
      </c>
      <c r="O557" t="s">
        <v>1498</v>
      </c>
      <c r="P557" t="s">
        <v>1501</v>
      </c>
    </row>
    <row r="558" spans="1:16" x14ac:dyDescent="0.3">
      <c r="A558">
        <v>557</v>
      </c>
      <c r="B558" t="s">
        <v>538</v>
      </c>
      <c r="C558">
        <v>2</v>
      </c>
      <c r="D558" s="1">
        <v>45692</v>
      </c>
      <c r="E558" s="1">
        <v>45693</v>
      </c>
      <c r="F558" t="s">
        <v>1041</v>
      </c>
      <c r="G558" t="s">
        <v>1366</v>
      </c>
      <c r="H558" t="s">
        <v>1483</v>
      </c>
      <c r="I558">
        <v>1</v>
      </c>
      <c r="J558" s="2">
        <v>1397.64</v>
      </c>
      <c r="K558" s="3">
        <v>0</v>
      </c>
      <c r="L558" s="2">
        <v>1397.64</v>
      </c>
      <c r="M558" s="2">
        <v>86.62</v>
      </c>
      <c r="N558" t="s">
        <v>1496</v>
      </c>
      <c r="O558" t="s">
        <v>1498</v>
      </c>
      <c r="P558" t="s">
        <v>1501</v>
      </c>
    </row>
    <row r="559" spans="1:16" x14ac:dyDescent="0.3">
      <c r="A559">
        <v>558</v>
      </c>
      <c r="B559" t="s">
        <v>539</v>
      </c>
      <c r="C559">
        <v>1</v>
      </c>
      <c r="D559" s="1">
        <v>45692</v>
      </c>
      <c r="E559" s="1">
        <v>45695</v>
      </c>
      <c r="F559" t="s">
        <v>1017</v>
      </c>
      <c r="G559" t="s">
        <v>1390</v>
      </c>
      <c r="H559" t="s">
        <v>1480</v>
      </c>
      <c r="I559">
        <v>1</v>
      </c>
      <c r="J559" s="2">
        <v>38147.39</v>
      </c>
      <c r="K559" s="3">
        <v>0</v>
      </c>
      <c r="L559" s="2">
        <v>38147.39</v>
      </c>
      <c r="M559" s="2">
        <v>10850.04</v>
      </c>
      <c r="N559" t="s">
        <v>1494</v>
      </c>
      <c r="O559" t="s">
        <v>1499</v>
      </c>
      <c r="P559" t="s">
        <v>1501</v>
      </c>
    </row>
    <row r="560" spans="1:16" x14ac:dyDescent="0.3">
      <c r="A560">
        <v>559</v>
      </c>
      <c r="B560" t="s">
        <v>540</v>
      </c>
      <c r="C560">
        <v>1</v>
      </c>
      <c r="D560" s="1">
        <v>45693</v>
      </c>
      <c r="E560" s="1">
        <v>45694</v>
      </c>
      <c r="F560" t="s">
        <v>1201</v>
      </c>
      <c r="G560" t="s">
        <v>1376</v>
      </c>
      <c r="H560" t="s">
        <v>1485</v>
      </c>
      <c r="I560">
        <v>1</v>
      </c>
      <c r="J560" s="2">
        <v>5444.12</v>
      </c>
      <c r="K560" s="3">
        <v>0</v>
      </c>
      <c r="L560" s="2">
        <v>5444.12</v>
      </c>
      <c r="M560" s="2">
        <v>2427.61</v>
      </c>
      <c r="N560" t="s">
        <v>1494</v>
      </c>
      <c r="O560" t="s">
        <v>1498</v>
      </c>
      <c r="P560" t="s">
        <v>1501</v>
      </c>
    </row>
    <row r="561" spans="1:16" x14ac:dyDescent="0.3">
      <c r="A561">
        <v>560</v>
      </c>
      <c r="B561" t="s">
        <v>541</v>
      </c>
      <c r="C561">
        <v>1</v>
      </c>
      <c r="D561" s="1">
        <v>45693</v>
      </c>
      <c r="E561" s="1">
        <v>45696</v>
      </c>
      <c r="F561" t="s">
        <v>1178</v>
      </c>
      <c r="G561" t="s">
        <v>1405</v>
      </c>
      <c r="H561" t="s">
        <v>1480</v>
      </c>
      <c r="I561">
        <v>1</v>
      </c>
      <c r="J561" s="2">
        <v>57633.32</v>
      </c>
      <c r="K561" s="3">
        <v>0</v>
      </c>
      <c r="L561" s="2">
        <v>57633.32</v>
      </c>
      <c r="M561" s="2">
        <v>7200.49</v>
      </c>
      <c r="N561" t="s">
        <v>1494</v>
      </c>
      <c r="O561" t="s">
        <v>1498</v>
      </c>
      <c r="P561" t="s">
        <v>1501</v>
      </c>
    </row>
    <row r="562" spans="1:16" x14ac:dyDescent="0.3">
      <c r="A562">
        <v>561</v>
      </c>
      <c r="B562" t="s">
        <v>542</v>
      </c>
      <c r="C562">
        <v>1</v>
      </c>
      <c r="D562" s="1">
        <v>45695</v>
      </c>
      <c r="E562" s="1">
        <v>45696</v>
      </c>
      <c r="F562" t="s">
        <v>1009</v>
      </c>
      <c r="G562" t="s">
        <v>1416</v>
      </c>
      <c r="H562" t="s">
        <v>1486</v>
      </c>
      <c r="I562">
        <v>1</v>
      </c>
      <c r="J562" s="2">
        <v>1404.87</v>
      </c>
      <c r="K562" s="3">
        <v>0</v>
      </c>
      <c r="L562" s="2">
        <v>1404.87</v>
      </c>
      <c r="M562" s="2">
        <v>179.87</v>
      </c>
      <c r="N562" t="s">
        <v>1496</v>
      </c>
      <c r="O562" t="s">
        <v>1498</v>
      </c>
      <c r="P562" t="s">
        <v>1501</v>
      </c>
    </row>
    <row r="563" spans="1:16" x14ac:dyDescent="0.3">
      <c r="A563">
        <v>562</v>
      </c>
      <c r="B563" t="s">
        <v>543</v>
      </c>
      <c r="C563">
        <v>3</v>
      </c>
      <c r="D563" s="1">
        <v>45695</v>
      </c>
      <c r="E563" s="1">
        <v>45697</v>
      </c>
      <c r="F563" t="s">
        <v>999</v>
      </c>
      <c r="G563" t="s">
        <v>1379</v>
      </c>
      <c r="H563" t="s">
        <v>1480</v>
      </c>
      <c r="I563">
        <v>1</v>
      </c>
      <c r="J563" s="2">
        <v>20939.349999999999</v>
      </c>
      <c r="K563" s="3">
        <v>0</v>
      </c>
      <c r="L563" s="2">
        <v>20939.349999999999</v>
      </c>
      <c r="M563" s="2">
        <v>5833.44</v>
      </c>
      <c r="N563" t="s">
        <v>1494</v>
      </c>
      <c r="O563" t="s">
        <v>1498</v>
      </c>
      <c r="P563" t="s">
        <v>1501</v>
      </c>
    </row>
    <row r="564" spans="1:16" x14ac:dyDescent="0.3">
      <c r="A564">
        <v>563</v>
      </c>
      <c r="B564" t="s">
        <v>544</v>
      </c>
      <c r="C564">
        <v>2</v>
      </c>
      <c r="D564" s="1">
        <v>45696</v>
      </c>
      <c r="F564" t="s">
        <v>1007</v>
      </c>
      <c r="G564" t="s">
        <v>1420</v>
      </c>
      <c r="H564" t="s">
        <v>1480</v>
      </c>
      <c r="I564">
        <v>1</v>
      </c>
      <c r="J564" s="2">
        <v>257.32</v>
      </c>
      <c r="K564" s="3">
        <v>0.1</v>
      </c>
      <c r="L564" s="2">
        <v>231.59</v>
      </c>
      <c r="M564" s="2">
        <v>-9.06</v>
      </c>
      <c r="N564" t="s">
        <v>1495</v>
      </c>
      <c r="O564" t="s">
        <v>1498</v>
      </c>
      <c r="P564" t="s">
        <v>1503</v>
      </c>
    </row>
    <row r="565" spans="1:16" x14ac:dyDescent="0.3">
      <c r="A565">
        <v>564</v>
      </c>
      <c r="B565" t="s">
        <v>545</v>
      </c>
      <c r="C565">
        <v>1</v>
      </c>
      <c r="D565" s="1">
        <v>45698</v>
      </c>
      <c r="E565" s="1">
        <v>45701</v>
      </c>
      <c r="F565" t="s">
        <v>1246</v>
      </c>
      <c r="G565" t="s">
        <v>1434</v>
      </c>
      <c r="H565" t="s">
        <v>1480</v>
      </c>
      <c r="I565">
        <v>1</v>
      </c>
      <c r="J565" s="2">
        <v>994.69</v>
      </c>
      <c r="K565" s="3">
        <v>0</v>
      </c>
      <c r="L565" s="2">
        <v>994.69</v>
      </c>
      <c r="M565" s="2">
        <v>91.37</v>
      </c>
      <c r="N565" t="s">
        <v>1497</v>
      </c>
      <c r="O565" t="s">
        <v>1498</v>
      </c>
      <c r="P565" t="s">
        <v>1501</v>
      </c>
    </row>
    <row r="566" spans="1:16" x14ac:dyDescent="0.3">
      <c r="A566">
        <v>565</v>
      </c>
      <c r="B566" t="s">
        <v>546</v>
      </c>
      <c r="C566">
        <v>3</v>
      </c>
      <c r="D566" s="1">
        <v>45698</v>
      </c>
      <c r="E566" s="1">
        <v>45699</v>
      </c>
      <c r="F566" t="s">
        <v>976</v>
      </c>
      <c r="G566" t="s">
        <v>1439</v>
      </c>
      <c r="H566" t="s">
        <v>1482</v>
      </c>
      <c r="I566">
        <v>1</v>
      </c>
      <c r="J566" s="2">
        <v>2679.96</v>
      </c>
      <c r="K566" s="3">
        <v>0</v>
      </c>
      <c r="L566" s="2">
        <v>2679.96</v>
      </c>
      <c r="M566" s="2">
        <v>600.58000000000004</v>
      </c>
      <c r="N566" t="s">
        <v>1496</v>
      </c>
      <c r="O566" t="s">
        <v>1498</v>
      </c>
      <c r="P566" t="s">
        <v>1501</v>
      </c>
    </row>
    <row r="567" spans="1:16" x14ac:dyDescent="0.3">
      <c r="A567">
        <v>566</v>
      </c>
      <c r="B567" t="s">
        <v>547</v>
      </c>
      <c r="C567">
        <v>1</v>
      </c>
      <c r="D567" s="1">
        <v>45699</v>
      </c>
      <c r="E567" s="1">
        <v>45699</v>
      </c>
      <c r="F567" t="s">
        <v>1247</v>
      </c>
      <c r="G567" t="s">
        <v>1418</v>
      </c>
      <c r="H567" t="s">
        <v>1491</v>
      </c>
      <c r="I567">
        <v>2</v>
      </c>
      <c r="J567" s="2">
        <v>30604.9</v>
      </c>
      <c r="K567" s="3">
        <v>0</v>
      </c>
      <c r="L567" s="2">
        <v>61209.8</v>
      </c>
      <c r="M567" s="2">
        <v>15856.34</v>
      </c>
      <c r="N567" t="s">
        <v>1496</v>
      </c>
      <c r="O567" t="s">
        <v>1498</v>
      </c>
      <c r="P567" t="s">
        <v>1501</v>
      </c>
    </row>
    <row r="568" spans="1:16" x14ac:dyDescent="0.3">
      <c r="A568">
        <v>567</v>
      </c>
      <c r="B568" t="s">
        <v>548</v>
      </c>
      <c r="C568">
        <v>2</v>
      </c>
      <c r="D568" s="1">
        <v>45699</v>
      </c>
      <c r="E568" s="1">
        <v>45700</v>
      </c>
      <c r="F568" t="s">
        <v>1050</v>
      </c>
      <c r="G568" t="s">
        <v>1422</v>
      </c>
      <c r="H568" t="s">
        <v>1486</v>
      </c>
      <c r="I568">
        <v>2</v>
      </c>
      <c r="J568" s="2">
        <v>27508.38</v>
      </c>
      <c r="K568" s="3">
        <v>0.15</v>
      </c>
      <c r="L568" s="2">
        <v>46764.25</v>
      </c>
      <c r="M568" s="2">
        <v>188.19</v>
      </c>
      <c r="N568" t="s">
        <v>1496</v>
      </c>
      <c r="O568" t="s">
        <v>1500</v>
      </c>
      <c r="P568" t="s">
        <v>1501</v>
      </c>
    </row>
    <row r="569" spans="1:16" x14ac:dyDescent="0.3">
      <c r="A569">
        <v>568</v>
      </c>
      <c r="B569" t="s">
        <v>549</v>
      </c>
      <c r="C569">
        <v>1</v>
      </c>
      <c r="D569" s="1">
        <v>45699</v>
      </c>
      <c r="E569" s="1">
        <v>45701</v>
      </c>
      <c r="F569" t="s">
        <v>998</v>
      </c>
      <c r="G569" t="s">
        <v>1329</v>
      </c>
      <c r="H569" t="s">
        <v>1480</v>
      </c>
      <c r="I569">
        <v>1</v>
      </c>
      <c r="J569" s="2">
        <v>1065.95</v>
      </c>
      <c r="K569" s="3">
        <v>0</v>
      </c>
      <c r="L569" s="2">
        <v>1065.95</v>
      </c>
      <c r="M569" s="2">
        <v>380.77</v>
      </c>
      <c r="N569" t="s">
        <v>1496</v>
      </c>
      <c r="O569" t="s">
        <v>1498</v>
      </c>
      <c r="P569" t="s">
        <v>1501</v>
      </c>
    </row>
    <row r="570" spans="1:16" x14ac:dyDescent="0.3">
      <c r="A570">
        <v>569</v>
      </c>
      <c r="B570" t="s">
        <v>550</v>
      </c>
      <c r="C570">
        <v>1</v>
      </c>
      <c r="D570" s="1">
        <v>45699</v>
      </c>
      <c r="E570" s="1">
        <v>45700</v>
      </c>
      <c r="F570" t="s">
        <v>1059</v>
      </c>
      <c r="G570" t="s">
        <v>1372</v>
      </c>
      <c r="H570" t="s">
        <v>1490</v>
      </c>
      <c r="I570">
        <v>1</v>
      </c>
      <c r="J570" s="2">
        <v>22695.17</v>
      </c>
      <c r="K570" s="3">
        <v>0</v>
      </c>
      <c r="L570" s="2">
        <v>22695.17</v>
      </c>
      <c r="M570" s="2">
        <v>3536.01</v>
      </c>
      <c r="N570" t="s">
        <v>1497</v>
      </c>
      <c r="O570" t="s">
        <v>1498</v>
      </c>
      <c r="P570" t="s">
        <v>1501</v>
      </c>
    </row>
    <row r="571" spans="1:16" x14ac:dyDescent="0.3">
      <c r="A571">
        <v>570</v>
      </c>
      <c r="B571" t="s">
        <v>551</v>
      </c>
      <c r="C571">
        <v>2</v>
      </c>
      <c r="D571" s="1">
        <v>45701</v>
      </c>
      <c r="E571" s="1">
        <v>45702</v>
      </c>
      <c r="F571" t="s">
        <v>1248</v>
      </c>
      <c r="G571" t="s">
        <v>1438</v>
      </c>
      <c r="H571" t="s">
        <v>1483</v>
      </c>
      <c r="I571">
        <v>1</v>
      </c>
      <c r="J571" s="2">
        <v>77432.27</v>
      </c>
      <c r="K571" s="3">
        <v>0</v>
      </c>
      <c r="L571" s="2">
        <v>77432.27</v>
      </c>
      <c r="M571" s="2">
        <v>8717.52</v>
      </c>
      <c r="N571" t="s">
        <v>1496</v>
      </c>
      <c r="O571" t="s">
        <v>1498</v>
      </c>
      <c r="P571" t="s">
        <v>1501</v>
      </c>
    </row>
    <row r="572" spans="1:16" x14ac:dyDescent="0.3">
      <c r="A572">
        <v>571</v>
      </c>
      <c r="B572" t="s">
        <v>552</v>
      </c>
      <c r="C572">
        <v>1</v>
      </c>
      <c r="D572" s="1">
        <v>45702</v>
      </c>
      <c r="E572" s="1">
        <v>45703</v>
      </c>
      <c r="F572" t="s">
        <v>1249</v>
      </c>
      <c r="G572" t="s">
        <v>1354</v>
      </c>
      <c r="H572" t="s">
        <v>1478</v>
      </c>
      <c r="I572">
        <v>1</v>
      </c>
      <c r="J572" s="2">
        <v>45654.38</v>
      </c>
      <c r="K572" s="3">
        <v>0</v>
      </c>
      <c r="L572" s="2">
        <v>45654.38</v>
      </c>
      <c r="M572" s="2">
        <v>12954.5</v>
      </c>
      <c r="N572" t="s">
        <v>1494</v>
      </c>
      <c r="O572" t="s">
        <v>1498</v>
      </c>
      <c r="P572" t="s">
        <v>1501</v>
      </c>
    </row>
    <row r="573" spans="1:16" x14ac:dyDescent="0.3">
      <c r="A573">
        <v>572</v>
      </c>
      <c r="B573" t="s">
        <v>553</v>
      </c>
      <c r="C573">
        <v>2</v>
      </c>
      <c r="D573" s="1">
        <v>45703</v>
      </c>
      <c r="E573" s="1">
        <v>45703</v>
      </c>
      <c r="F573" t="s">
        <v>1250</v>
      </c>
      <c r="G573" t="s">
        <v>1354</v>
      </c>
      <c r="H573" t="s">
        <v>1489</v>
      </c>
      <c r="I573">
        <v>1</v>
      </c>
      <c r="J573" s="2">
        <v>45654.38</v>
      </c>
      <c r="K573" s="3">
        <v>0</v>
      </c>
      <c r="L573" s="2">
        <v>45654.38</v>
      </c>
      <c r="M573" s="2">
        <v>12954.5</v>
      </c>
      <c r="N573" t="s">
        <v>1497</v>
      </c>
      <c r="O573" t="s">
        <v>1498</v>
      </c>
      <c r="P573" t="s">
        <v>1501</v>
      </c>
    </row>
    <row r="574" spans="1:16" x14ac:dyDescent="0.3">
      <c r="A574">
        <v>573</v>
      </c>
      <c r="B574" t="s">
        <v>554</v>
      </c>
      <c r="C574">
        <v>1</v>
      </c>
      <c r="D574" s="1">
        <v>45703</v>
      </c>
      <c r="E574" s="1">
        <v>45706</v>
      </c>
      <c r="F574" t="s">
        <v>1251</v>
      </c>
      <c r="G574" t="s">
        <v>1331</v>
      </c>
      <c r="H574" t="s">
        <v>1480</v>
      </c>
      <c r="I574">
        <v>3</v>
      </c>
      <c r="J574" s="2">
        <v>1520.12</v>
      </c>
      <c r="K574" s="3">
        <v>0.25</v>
      </c>
      <c r="L574" s="2">
        <v>3420.27</v>
      </c>
      <c r="M574" s="2">
        <v>502.98</v>
      </c>
      <c r="O574" t="s">
        <v>1500</v>
      </c>
      <c r="P574" t="s">
        <v>1501</v>
      </c>
    </row>
    <row r="575" spans="1:16" x14ac:dyDescent="0.3">
      <c r="A575">
        <v>574</v>
      </c>
      <c r="B575" t="s">
        <v>555</v>
      </c>
      <c r="C575">
        <v>2</v>
      </c>
      <c r="D575" s="1">
        <v>45703</v>
      </c>
      <c r="E575" s="1">
        <v>45706</v>
      </c>
      <c r="F575" t="s">
        <v>1061</v>
      </c>
      <c r="G575" t="s">
        <v>1447</v>
      </c>
      <c r="H575" t="s">
        <v>1480</v>
      </c>
      <c r="I575">
        <v>1</v>
      </c>
      <c r="J575" s="2">
        <v>4260.03</v>
      </c>
      <c r="K575" s="3">
        <v>0</v>
      </c>
      <c r="L575" s="2">
        <v>4260.03</v>
      </c>
      <c r="M575" s="2">
        <v>730.88</v>
      </c>
      <c r="N575" t="s">
        <v>1496</v>
      </c>
      <c r="O575" t="s">
        <v>1498</v>
      </c>
      <c r="P575" t="s">
        <v>1501</v>
      </c>
    </row>
    <row r="576" spans="1:16" x14ac:dyDescent="0.3">
      <c r="A576">
        <v>575</v>
      </c>
      <c r="B576" t="s">
        <v>556</v>
      </c>
      <c r="C576">
        <v>1</v>
      </c>
      <c r="D576" s="1">
        <v>45704</v>
      </c>
      <c r="E576" s="1">
        <v>45705</v>
      </c>
      <c r="F576" t="s">
        <v>1039</v>
      </c>
      <c r="G576" t="s">
        <v>1395</v>
      </c>
      <c r="H576" t="s">
        <v>1480</v>
      </c>
      <c r="I576">
        <v>1</v>
      </c>
      <c r="J576" s="2">
        <v>5383.63</v>
      </c>
      <c r="K576" s="3">
        <v>0</v>
      </c>
      <c r="L576" s="2">
        <v>5383.63</v>
      </c>
      <c r="M576" s="2">
        <v>1175.04</v>
      </c>
      <c r="N576" t="s">
        <v>1494</v>
      </c>
      <c r="O576" t="s">
        <v>1498</v>
      </c>
      <c r="P576" t="s">
        <v>1501</v>
      </c>
    </row>
    <row r="577" spans="1:16" x14ac:dyDescent="0.3">
      <c r="A577">
        <v>576</v>
      </c>
      <c r="B577" t="s">
        <v>557</v>
      </c>
      <c r="C577">
        <v>1</v>
      </c>
      <c r="D577" s="1">
        <v>45704</v>
      </c>
      <c r="E577" s="1">
        <v>45706</v>
      </c>
      <c r="F577" t="s">
        <v>1252</v>
      </c>
      <c r="G577" t="s">
        <v>1454</v>
      </c>
      <c r="H577" t="s">
        <v>1480</v>
      </c>
      <c r="I577">
        <v>2</v>
      </c>
      <c r="J577" s="2">
        <v>51141.75</v>
      </c>
      <c r="K577" s="3">
        <v>0.2</v>
      </c>
      <c r="L577" s="2">
        <v>81826.8</v>
      </c>
      <c r="M577" s="2">
        <v>-6611.82</v>
      </c>
      <c r="N577" t="s">
        <v>1495</v>
      </c>
      <c r="O577" t="s">
        <v>1499</v>
      </c>
      <c r="P577" t="s">
        <v>1501</v>
      </c>
    </row>
    <row r="578" spans="1:16" x14ac:dyDescent="0.3">
      <c r="A578">
        <v>577</v>
      </c>
      <c r="B578" t="s">
        <v>558</v>
      </c>
      <c r="C578">
        <v>1</v>
      </c>
      <c r="D578" s="1">
        <v>45705</v>
      </c>
      <c r="E578" s="1">
        <v>45705</v>
      </c>
      <c r="F578" t="s">
        <v>1253</v>
      </c>
      <c r="G578" t="s">
        <v>1389</v>
      </c>
      <c r="H578" t="s">
        <v>1482</v>
      </c>
      <c r="I578">
        <v>1</v>
      </c>
      <c r="J578" s="2">
        <v>676.97</v>
      </c>
      <c r="K578" s="3">
        <v>0.1</v>
      </c>
      <c r="L578" s="2">
        <v>609.27</v>
      </c>
      <c r="M578" s="2">
        <v>-13.41</v>
      </c>
      <c r="N578" t="s">
        <v>1496</v>
      </c>
      <c r="O578" t="s">
        <v>1498</v>
      </c>
      <c r="P578" t="s">
        <v>1501</v>
      </c>
    </row>
    <row r="579" spans="1:16" x14ac:dyDescent="0.3">
      <c r="A579">
        <v>578</v>
      </c>
      <c r="B579" t="s">
        <v>559</v>
      </c>
      <c r="C579">
        <v>2</v>
      </c>
      <c r="D579" s="1">
        <v>45705</v>
      </c>
      <c r="E579" s="1">
        <v>45708</v>
      </c>
      <c r="F579" t="s">
        <v>1254</v>
      </c>
      <c r="G579" t="s">
        <v>1353</v>
      </c>
      <c r="H579" t="s">
        <v>1480</v>
      </c>
      <c r="I579">
        <v>1</v>
      </c>
      <c r="J579" s="2">
        <v>370.27</v>
      </c>
      <c r="K579" s="3">
        <v>0</v>
      </c>
      <c r="L579" s="2">
        <v>370.27</v>
      </c>
      <c r="M579" s="2">
        <v>131.58000000000001</v>
      </c>
      <c r="N579" t="s">
        <v>1495</v>
      </c>
      <c r="O579" t="s">
        <v>1498</v>
      </c>
      <c r="P579" t="s">
        <v>1501</v>
      </c>
    </row>
    <row r="580" spans="1:16" x14ac:dyDescent="0.3">
      <c r="A580">
        <v>579</v>
      </c>
      <c r="B580" t="s">
        <v>560</v>
      </c>
      <c r="C580">
        <v>1</v>
      </c>
      <c r="D580" s="1">
        <v>45706</v>
      </c>
      <c r="E580" s="1">
        <v>45707</v>
      </c>
      <c r="F580" t="s">
        <v>973</v>
      </c>
      <c r="G580" t="s">
        <v>1417</v>
      </c>
      <c r="H580" t="s">
        <v>1480</v>
      </c>
      <c r="I580">
        <v>4</v>
      </c>
      <c r="J580" s="2">
        <v>1497.68</v>
      </c>
      <c r="K580" s="3">
        <v>0</v>
      </c>
      <c r="L580" s="2">
        <v>5990.72</v>
      </c>
      <c r="M580" s="2">
        <v>698.32</v>
      </c>
      <c r="N580" t="s">
        <v>1494</v>
      </c>
      <c r="O580" t="s">
        <v>1498</v>
      </c>
      <c r="P580" t="s">
        <v>1501</v>
      </c>
    </row>
    <row r="581" spans="1:16" x14ac:dyDescent="0.3">
      <c r="A581">
        <v>580</v>
      </c>
      <c r="B581" t="s">
        <v>561</v>
      </c>
      <c r="C581">
        <v>1</v>
      </c>
      <c r="D581" s="1">
        <v>45707</v>
      </c>
      <c r="E581" s="1">
        <v>45708</v>
      </c>
      <c r="F581" t="s">
        <v>967</v>
      </c>
      <c r="G581" t="s">
        <v>1441</v>
      </c>
      <c r="H581" t="s">
        <v>1480</v>
      </c>
      <c r="I581">
        <v>1</v>
      </c>
      <c r="J581" s="2">
        <v>6305.83</v>
      </c>
      <c r="K581" s="3">
        <v>0</v>
      </c>
      <c r="L581" s="2">
        <v>6305.83</v>
      </c>
      <c r="M581" s="2">
        <v>1424.8</v>
      </c>
      <c r="N581" t="s">
        <v>1497</v>
      </c>
      <c r="O581" t="s">
        <v>1500</v>
      </c>
      <c r="P581" t="s">
        <v>1501</v>
      </c>
    </row>
    <row r="582" spans="1:16" x14ac:dyDescent="0.3">
      <c r="A582">
        <v>581</v>
      </c>
      <c r="B582" t="s">
        <v>562</v>
      </c>
      <c r="C582">
        <v>1</v>
      </c>
      <c r="D582" s="1">
        <v>45707</v>
      </c>
      <c r="E582" s="1">
        <v>45708</v>
      </c>
      <c r="F582" t="s">
        <v>1255</v>
      </c>
      <c r="G582" t="s">
        <v>1458</v>
      </c>
      <c r="H582" t="s">
        <v>1482</v>
      </c>
      <c r="I582">
        <v>1</v>
      </c>
      <c r="J582" s="2">
        <v>6241.95</v>
      </c>
      <c r="K582" s="3">
        <v>0</v>
      </c>
      <c r="L582" s="2">
        <v>6241.95</v>
      </c>
      <c r="M582" s="2">
        <v>1620.83</v>
      </c>
      <c r="N582" t="s">
        <v>1496</v>
      </c>
      <c r="O582" t="s">
        <v>1498</v>
      </c>
      <c r="P582" t="s">
        <v>1501</v>
      </c>
    </row>
    <row r="583" spans="1:16" x14ac:dyDescent="0.3">
      <c r="A583">
        <v>582</v>
      </c>
      <c r="B583" t="s">
        <v>563</v>
      </c>
      <c r="C583">
        <v>2</v>
      </c>
      <c r="D583" s="1">
        <v>45707</v>
      </c>
      <c r="E583" s="1">
        <v>45710</v>
      </c>
      <c r="F583" t="s">
        <v>1052</v>
      </c>
      <c r="G583" t="s">
        <v>1461</v>
      </c>
      <c r="H583" t="s">
        <v>1480</v>
      </c>
      <c r="I583">
        <v>1</v>
      </c>
      <c r="J583" s="2">
        <v>933.23</v>
      </c>
      <c r="K583" s="3">
        <v>0</v>
      </c>
      <c r="L583" s="2">
        <v>933.23</v>
      </c>
      <c r="M583" s="2">
        <v>62.65</v>
      </c>
      <c r="N583" t="s">
        <v>1495</v>
      </c>
      <c r="O583" t="s">
        <v>1498</v>
      </c>
      <c r="P583" t="s">
        <v>1501</v>
      </c>
    </row>
    <row r="584" spans="1:16" x14ac:dyDescent="0.3">
      <c r="A584">
        <v>583</v>
      </c>
      <c r="B584" t="s">
        <v>564</v>
      </c>
      <c r="C584">
        <v>1</v>
      </c>
      <c r="D584" s="1">
        <v>45709</v>
      </c>
      <c r="F584" t="s">
        <v>1112</v>
      </c>
      <c r="G584" t="s">
        <v>1359</v>
      </c>
      <c r="H584" t="s">
        <v>1486</v>
      </c>
      <c r="I584">
        <v>1</v>
      </c>
      <c r="J584" s="2">
        <v>5570.41</v>
      </c>
      <c r="K584" s="3">
        <v>0</v>
      </c>
      <c r="L584" s="2">
        <v>5570.41</v>
      </c>
      <c r="M584" s="2">
        <v>1420.3</v>
      </c>
      <c r="N584" t="s">
        <v>1494</v>
      </c>
      <c r="O584" t="s">
        <v>1499</v>
      </c>
      <c r="P584" t="s">
        <v>1503</v>
      </c>
    </row>
    <row r="585" spans="1:16" x14ac:dyDescent="0.3">
      <c r="A585">
        <v>584</v>
      </c>
      <c r="B585" t="s">
        <v>565</v>
      </c>
      <c r="C585">
        <v>1</v>
      </c>
      <c r="D585" s="1">
        <v>45709</v>
      </c>
      <c r="E585" s="1">
        <v>45712</v>
      </c>
      <c r="F585" t="s">
        <v>1086</v>
      </c>
      <c r="G585" t="s">
        <v>1368</v>
      </c>
      <c r="H585" t="s">
        <v>1480</v>
      </c>
      <c r="I585">
        <v>1</v>
      </c>
      <c r="J585" s="2">
        <v>1640.09</v>
      </c>
      <c r="K585" s="3">
        <v>0</v>
      </c>
      <c r="L585" s="2">
        <v>1640.09</v>
      </c>
      <c r="M585" s="2">
        <v>324.18</v>
      </c>
      <c r="N585" t="s">
        <v>1494</v>
      </c>
      <c r="O585" t="s">
        <v>1498</v>
      </c>
      <c r="P585" t="s">
        <v>1501</v>
      </c>
    </row>
    <row r="586" spans="1:16" x14ac:dyDescent="0.3">
      <c r="A586">
        <v>585</v>
      </c>
      <c r="B586" t="s">
        <v>566</v>
      </c>
      <c r="C586">
        <v>1</v>
      </c>
      <c r="D586" s="1">
        <v>45709</v>
      </c>
      <c r="E586" s="1">
        <v>45710</v>
      </c>
      <c r="F586" t="s">
        <v>1256</v>
      </c>
      <c r="G586" t="s">
        <v>1391</v>
      </c>
      <c r="H586" t="s">
        <v>1492</v>
      </c>
      <c r="I586">
        <v>3</v>
      </c>
      <c r="J586" s="2">
        <v>1624.5</v>
      </c>
      <c r="K586" s="3">
        <v>0</v>
      </c>
      <c r="L586" s="2">
        <v>4873.5</v>
      </c>
      <c r="M586" s="2">
        <v>1610.64</v>
      </c>
      <c r="N586" t="s">
        <v>1496</v>
      </c>
      <c r="O586" t="s">
        <v>1498</v>
      </c>
      <c r="P586" t="s">
        <v>1502</v>
      </c>
    </row>
    <row r="587" spans="1:16" x14ac:dyDescent="0.3">
      <c r="A587">
        <v>586</v>
      </c>
      <c r="B587" t="s">
        <v>567</v>
      </c>
      <c r="C587">
        <v>2</v>
      </c>
      <c r="D587" s="1">
        <v>45711</v>
      </c>
      <c r="E587" s="1">
        <v>45712</v>
      </c>
      <c r="F587" t="s">
        <v>1001</v>
      </c>
      <c r="G587" t="s">
        <v>1402</v>
      </c>
      <c r="H587" t="s">
        <v>1480</v>
      </c>
      <c r="I587">
        <v>1</v>
      </c>
      <c r="J587" s="2">
        <v>1419.44</v>
      </c>
      <c r="K587" s="3">
        <v>0</v>
      </c>
      <c r="L587" s="2">
        <v>1419.44</v>
      </c>
      <c r="M587" s="2">
        <v>106.94</v>
      </c>
      <c r="N587" t="s">
        <v>1496</v>
      </c>
      <c r="O587" t="s">
        <v>1498</v>
      </c>
      <c r="P587" t="s">
        <v>1501</v>
      </c>
    </row>
    <row r="588" spans="1:16" x14ac:dyDescent="0.3">
      <c r="A588">
        <v>587</v>
      </c>
      <c r="B588" t="s">
        <v>568</v>
      </c>
      <c r="C588">
        <v>3</v>
      </c>
      <c r="D588" s="1">
        <v>45711</v>
      </c>
      <c r="E588" s="1">
        <v>45711</v>
      </c>
      <c r="F588" t="s">
        <v>1099</v>
      </c>
      <c r="G588" t="s">
        <v>1344</v>
      </c>
      <c r="H588" t="s">
        <v>1478</v>
      </c>
      <c r="I588">
        <v>1</v>
      </c>
      <c r="J588" s="2">
        <v>555.59</v>
      </c>
      <c r="K588" s="3">
        <v>0.15</v>
      </c>
      <c r="L588" s="2">
        <v>472.25</v>
      </c>
      <c r="M588" s="2">
        <v>93.15</v>
      </c>
      <c r="N588" t="s">
        <v>1496</v>
      </c>
      <c r="O588" t="s">
        <v>1498</v>
      </c>
      <c r="P588" t="s">
        <v>1501</v>
      </c>
    </row>
    <row r="589" spans="1:16" x14ac:dyDescent="0.3">
      <c r="A589">
        <v>588</v>
      </c>
      <c r="B589" t="s">
        <v>569</v>
      </c>
      <c r="C589">
        <v>1</v>
      </c>
      <c r="D589" s="1">
        <v>45713</v>
      </c>
      <c r="E589" s="1">
        <v>45716</v>
      </c>
      <c r="F589" t="s">
        <v>1116</v>
      </c>
      <c r="G589" t="s">
        <v>1333</v>
      </c>
      <c r="H589" t="s">
        <v>1480</v>
      </c>
      <c r="I589">
        <v>4</v>
      </c>
      <c r="J589" s="2">
        <v>16375.46</v>
      </c>
      <c r="K589" s="3">
        <v>0</v>
      </c>
      <c r="L589" s="2">
        <v>65501.84</v>
      </c>
      <c r="M589" s="2">
        <v>8297.24</v>
      </c>
      <c r="N589" t="s">
        <v>1493</v>
      </c>
      <c r="O589" t="s">
        <v>1498</v>
      </c>
      <c r="P589" t="s">
        <v>1501</v>
      </c>
    </row>
    <row r="590" spans="1:16" x14ac:dyDescent="0.3">
      <c r="A590">
        <v>589</v>
      </c>
      <c r="B590" t="s">
        <v>570</v>
      </c>
      <c r="C590">
        <v>1</v>
      </c>
      <c r="D590" s="1">
        <v>45713</v>
      </c>
      <c r="E590" s="1">
        <v>45716</v>
      </c>
      <c r="F590" t="s">
        <v>1089</v>
      </c>
      <c r="G590" t="s">
        <v>1424</v>
      </c>
      <c r="H590" t="s">
        <v>1480</v>
      </c>
      <c r="I590">
        <v>1</v>
      </c>
      <c r="J590" s="2">
        <v>31609.79</v>
      </c>
      <c r="K590" s="3">
        <v>0</v>
      </c>
      <c r="L590" s="2">
        <v>31609.79</v>
      </c>
      <c r="M590" s="2">
        <v>3440.18</v>
      </c>
      <c r="N590" t="s">
        <v>1496</v>
      </c>
      <c r="O590" t="s">
        <v>1498</v>
      </c>
      <c r="P590" t="s">
        <v>1501</v>
      </c>
    </row>
    <row r="591" spans="1:16" x14ac:dyDescent="0.3">
      <c r="A591">
        <v>590</v>
      </c>
      <c r="B591" t="s">
        <v>571</v>
      </c>
      <c r="C591">
        <v>1</v>
      </c>
      <c r="D591" s="1">
        <v>45714</v>
      </c>
      <c r="E591" s="1">
        <v>45715</v>
      </c>
      <c r="F591" t="s">
        <v>1235</v>
      </c>
      <c r="G591" t="s">
        <v>1340</v>
      </c>
      <c r="H591" t="s">
        <v>1485</v>
      </c>
      <c r="I591">
        <v>1</v>
      </c>
      <c r="J591" s="2">
        <v>5570.6</v>
      </c>
      <c r="K591" s="3">
        <v>0</v>
      </c>
      <c r="L591" s="2">
        <v>5570.6</v>
      </c>
      <c r="M591" s="2">
        <v>1503.07</v>
      </c>
      <c r="N591" t="s">
        <v>1494</v>
      </c>
      <c r="O591" t="s">
        <v>1499</v>
      </c>
      <c r="P591" t="s">
        <v>1501</v>
      </c>
    </row>
    <row r="592" spans="1:16" x14ac:dyDescent="0.3">
      <c r="A592">
        <v>591</v>
      </c>
      <c r="B592" t="s">
        <v>572</v>
      </c>
      <c r="C592">
        <v>1</v>
      </c>
      <c r="D592" s="1">
        <v>45717</v>
      </c>
      <c r="E592" s="1">
        <v>45718</v>
      </c>
      <c r="F592" t="s">
        <v>1206</v>
      </c>
      <c r="G592" t="s">
        <v>1386</v>
      </c>
      <c r="H592" t="s">
        <v>1480</v>
      </c>
      <c r="I592">
        <v>1</v>
      </c>
      <c r="J592" s="2">
        <v>1094.7</v>
      </c>
      <c r="K592" s="3">
        <v>0</v>
      </c>
      <c r="L592" s="2">
        <v>1094.7</v>
      </c>
      <c r="M592" s="2">
        <v>63.98</v>
      </c>
      <c r="N592" t="s">
        <v>1496</v>
      </c>
      <c r="O592" t="s">
        <v>1498</v>
      </c>
      <c r="P592" t="s">
        <v>1501</v>
      </c>
    </row>
    <row r="593" spans="1:16" x14ac:dyDescent="0.3">
      <c r="A593">
        <v>592</v>
      </c>
      <c r="B593" t="s">
        <v>573</v>
      </c>
      <c r="C593">
        <v>1</v>
      </c>
      <c r="D593" s="1">
        <v>45717</v>
      </c>
      <c r="E593" s="1">
        <v>45718</v>
      </c>
      <c r="F593" t="s">
        <v>1221</v>
      </c>
      <c r="G593" t="s">
        <v>1338</v>
      </c>
      <c r="H593" t="s">
        <v>1480</v>
      </c>
      <c r="I593">
        <v>1</v>
      </c>
      <c r="J593" s="2">
        <v>1151.02</v>
      </c>
      <c r="K593" s="3">
        <v>0</v>
      </c>
      <c r="L593" s="2">
        <v>1151.02</v>
      </c>
      <c r="M593" s="2">
        <v>149.55000000000001</v>
      </c>
      <c r="N593" t="s">
        <v>1496</v>
      </c>
      <c r="O593" t="s">
        <v>1499</v>
      </c>
      <c r="P593" t="s">
        <v>1501</v>
      </c>
    </row>
    <row r="594" spans="1:16" x14ac:dyDescent="0.3">
      <c r="A594">
        <v>593</v>
      </c>
      <c r="B594" t="s">
        <v>574</v>
      </c>
      <c r="C594">
        <v>3</v>
      </c>
      <c r="D594" s="1">
        <v>45720</v>
      </c>
      <c r="E594" s="1">
        <v>45721</v>
      </c>
      <c r="F594" t="s">
        <v>1016</v>
      </c>
      <c r="G594" t="s">
        <v>1399</v>
      </c>
      <c r="H594" t="s">
        <v>1480</v>
      </c>
      <c r="I594">
        <v>3</v>
      </c>
      <c r="J594" s="2">
        <v>711.86</v>
      </c>
      <c r="K594" s="3">
        <v>0</v>
      </c>
      <c r="L594" s="2">
        <v>2135.58</v>
      </c>
      <c r="M594" s="2">
        <v>218.4</v>
      </c>
      <c r="N594" t="s">
        <v>1496</v>
      </c>
      <c r="O594" t="s">
        <v>1498</v>
      </c>
      <c r="P594" t="s">
        <v>1501</v>
      </c>
    </row>
    <row r="595" spans="1:16" x14ac:dyDescent="0.3">
      <c r="A595">
        <v>594</v>
      </c>
      <c r="B595" t="s">
        <v>575</v>
      </c>
      <c r="C595">
        <v>1</v>
      </c>
      <c r="D595" s="1">
        <v>45720</v>
      </c>
      <c r="E595" s="1">
        <v>45721</v>
      </c>
      <c r="F595" t="s">
        <v>1257</v>
      </c>
      <c r="G595" t="s">
        <v>1351</v>
      </c>
      <c r="H595" t="s">
        <v>1480</v>
      </c>
      <c r="I595">
        <v>1</v>
      </c>
      <c r="J595" s="2">
        <v>5049.71</v>
      </c>
      <c r="K595" s="3">
        <v>0</v>
      </c>
      <c r="L595" s="2">
        <v>5049.71</v>
      </c>
      <c r="M595" s="2">
        <v>1314.91</v>
      </c>
      <c r="N595" t="s">
        <v>1494</v>
      </c>
      <c r="O595" t="s">
        <v>1498</v>
      </c>
      <c r="P595" t="s">
        <v>1501</v>
      </c>
    </row>
    <row r="596" spans="1:16" x14ac:dyDescent="0.3">
      <c r="A596">
        <v>595</v>
      </c>
      <c r="B596" t="s">
        <v>576</v>
      </c>
      <c r="C596">
        <v>1</v>
      </c>
      <c r="D596" s="1">
        <v>45722</v>
      </c>
      <c r="E596" s="1">
        <v>45723</v>
      </c>
      <c r="F596" t="s">
        <v>1035</v>
      </c>
      <c r="G596" t="s">
        <v>1458</v>
      </c>
      <c r="H596" t="s">
        <v>1480</v>
      </c>
      <c r="I596">
        <v>1</v>
      </c>
      <c r="J596" s="2">
        <v>6241.95</v>
      </c>
      <c r="K596" s="3">
        <v>0.15</v>
      </c>
      <c r="L596" s="2">
        <v>5305.66</v>
      </c>
      <c r="M596" s="2">
        <v>684.54</v>
      </c>
      <c r="N596" t="s">
        <v>1495</v>
      </c>
      <c r="O596" t="s">
        <v>1499</v>
      </c>
      <c r="P596" t="s">
        <v>1501</v>
      </c>
    </row>
    <row r="597" spans="1:16" x14ac:dyDescent="0.3">
      <c r="A597">
        <v>596</v>
      </c>
      <c r="B597" t="s">
        <v>577</v>
      </c>
      <c r="C597">
        <v>1</v>
      </c>
      <c r="D597" s="1">
        <v>45722</v>
      </c>
      <c r="E597" s="1">
        <v>45724</v>
      </c>
      <c r="F597" t="s">
        <v>1185</v>
      </c>
      <c r="G597" t="s">
        <v>1338</v>
      </c>
      <c r="H597" t="s">
        <v>1480</v>
      </c>
      <c r="I597">
        <v>1</v>
      </c>
      <c r="J597" s="2">
        <v>1151.02</v>
      </c>
      <c r="K597" s="3">
        <v>0</v>
      </c>
      <c r="L597" s="2">
        <v>1151.02</v>
      </c>
      <c r="M597" s="2">
        <v>149.55000000000001</v>
      </c>
      <c r="N597" t="s">
        <v>1497</v>
      </c>
      <c r="O597" t="s">
        <v>1499</v>
      </c>
      <c r="P597" t="s">
        <v>1501</v>
      </c>
    </row>
    <row r="598" spans="1:16" x14ac:dyDescent="0.3">
      <c r="A598">
        <v>597</v>
      </c>
      <c r="B598" t="s">
        <v>578</v>
      </c>
      <c r="C598">
        <v>1</v>
      </c>
      <c r="D598" s="1">
        <v>45723</v>
      </c>
      <c r="E598" s="1">
        <v>45726</v>
      </c>
      <c r="F598" t="s">
        <v>972</v>
      </c>
      <c r="G598" t="s">
        <v>1465</v>
      </c>
      <c r="H598" t="s">
        <v>1480</v>
      </c>
      <c r="I598">
        <v>1</v>
      </c>
      <c r="J598" s="2">
        <v>2687.95</v>
      </c>
      <c r="K598" s="3">
        <v>0.1</v>
      </c>
      <c r="L598" s="2">
        <v>2419.15</v>
      </c>
      <c r="M598" s="2">
        <v>922.62</v>
      </c>
      <c r="N598" t="s">
        <v>1496</v>
      </c>
      <c r="O598" t="s">
        <v>1498</v>
      </c>
      <c r="P598" t="s">
        <v>1501</v>
      </c>
    </row>
    <row r="599" spans="1:16" x14ac:dyDescent="0.3">
      <c r="A599">
        <v>598</v>
      </c>
      <c r="B599" t="s">
        <v>579</v>
      </c>
      <c r="C599">
        <v>2</v>
      </c>
      <c r="D599" s="1">
        <v>45723</v>
      </c>
      <c r="E599" s="1">
        <v>45725</v>
      </c>
      <c r="F599" t="s">
        <v>1024</v>
      </c>
      <c r="G599" t="s">
        <v>1347</v>
      </c>
      <c r="H599" t="s">
        <v>1480</v>
      </c>
      <c r="I599">
        <v>2</v>
      </c>
      <c r="J599" s="2">
        <v>56707.06</v>
      </c>
      <c r="K599" s="3">
        <v>0</v>
      </c>
      <c r="L599" s="2">
        <v>113414.12</v>
      </c>
      <c r="M599" s="2">
        <v>17927.7</v>
      </c>
      <c r="N599" t="s">
        <v>1495</v>
      </c>
      <c r="O599" t="s">
        <v>1498</v>
      </c>
      <c r="P599" t="s">
        <v>1501</v>
      </c>
    </row>
    <row r="600" spans="1:16" x14ac:dyDescent="0.3">
      <c r="A600">
        <v>599</v>
      </c>
      <c r="B600" t="s">
        <v>580</v>
      </c>
      <c r="C600">
        <v>1</v>
      </c>
      <c r="D600" s="1">
        <v>45724</v>
      </c>
      <c r="E600" s="1">
        <v>45727</v>
      </c>
      <c r="F600" t="s">
        <v>1188</v>
      </c>
      <c r="G600" t="s">
        <v>1348</v>
      </c>
      <c r="H600" t="s">
        <v>1480</v>
      </c>
      <c r="I600">
        <v>1</v>
      </c>
      <c r="J600" s="2">
        <v>921.12</v>
      </c>
      <c r="K600" s="3">
        <v>0</v>
      </c>
      <c r="L600" s="2">
        <v>921.12</v>
      </c>
      <c r="M600" s="2">
        <v>383.08</v>
      </c>
      <c r="N600" t="s">
        <v>1495</v>
      </c>
      <c r="O600" t="s">
        <v>1498</v>
      </c>
      <c r="P600" t="s">
        <v>1501</v>
      </c>
    </row>
    <row r="601" spans="1:16" x14ac:dyDescent="0.3">
      <c r="A601">
        <v>600</v>
      </c>
      <c r="B601" t="s">
        <v>581</v>
      </c>
      <c r="C601">
        <v>1</v>
      </c>
      <c r="D601" s="1">
        <v>45726</v>
      </c>
      <c r="E601" s="1">
        <v>45727</v>
      </c>
      <c r="F601" t="s">
        <v>1156</v>
      </c>
      <c r="G601" t="s">
        <v>1330</v>
      </c>
      <c r="H601" t="s">
        <v>1480</v>
      </c>
      <c r="I601">
        <v>1</v>
      </c>
      <c r="J601" s="2">
        <v>2393.8200000000002</v>
      </c>
      <c r="K601" s="3">
        <v>0</v>
      </c>
      <c r="L601" s="2">
        <v>2393.8200000000002</v>
      </c>
      <c r="M601" s="2">
        <v>773.87</v>
      </c>
      <c r="N601" t="s">
        <v>1494</v>
      </c>
      <c r="O601" t="s">
        <v>1499</v>
      </c>
      <c r="P601" t="s">
        <v>1501</v>
      </c>
    </row>
    <row r="602" spans="1:16" x14ac:dyDescent="0.3">
      <c r="A602">
        <v>601</v>
      </c>
      <c r="B602" t="s">
        <v>582</v>
      </c>
      <c r="C602">
        <v>1</v>
      </c>
      <c r="D602" s="1">
        <v>45727</v>
      </c>
      <c r="E602" s="1">
        <v>45730</v>
      </c>
      <c r="F602" t="s">
        <v>984</v>
      </c>
      <c r="G602" t="s">
        <v>1467</v>
      </c>
      <c r="H602" t="s">
        <v>1480</v>
      </c>
      <c r="I602">
        <v>1</v>
      </c>
      <c r="J602" s="2">
        <v>16820.04</v>
      </c>
      <c r="K602" s="3">
        <v>0.05</v>
      </c>
      <c r="L602" s="2">
        <v>15979.04</v>
      </c>
      <c r="M602" s="2">
        <v>3350.17</v>
      </c>
      <c r="N602" t="s">
        <v>1496</v>
      </c>
      <c r="O602" t="s">
        <v>1500</v>
      </c>
      <c r="P602" t="s">
        <v>1501</v>
      </c>
    </row>
    <row r="603" spans="1:16" x14ac:dyDescent="0.3">
      <c r="A603">
        <v>602</v>
      </c>
      <c r="B603" t="s">
        <v>583</v>
      </c>
      <c r="C603">
        <v>1</v>
      </c>
      <c r="D603" s="1">
        <v>45728</v>
      </c>
      <c r="E603" s="1">
        <v>45728</v>
      </c>
      <c r="F603" t="s">
        <v>965</v>
      </c>
      <c r="G603" t="s">
        <v>1437</v>
      </c>
      <c r="H603" t="s">
        <v>1482</v>
      </c>
      <c r="I603">
        <v>1</v>
      </c>
      <c r="J603" s="2">
        <v>53802.83</v>
      </c>
      <c r="K603" s="3">
        <v>0.1</v>
      </c>
      <c r="L603" s="2">
        <v>48422.55</v>
      </c>
      <c r="M603" s="2">
        <v>1458.58</v>
      </c>
      <c r="N603" t="s">
        <v>1496</v>
      </c>
      <c r="O603" t="s">
        <v>1498</v>
      </c>
      <c r="P603" t="s">
        <v>1501</v>
      </c>
    </row>
    <row r="604" spans="1:16" x14ac:dyDescent="0.3">
      <c r="A604">
        <v>603</v>
      </c>
      <c r="B604" t="s">
        <v>584</v>
      </c>
      <c r="C604">
        <v>1</v>
      </c>
      <c r="D604" s="1">
        <v>45729</v>
      </c>
      <c r="E604" s="1">
        <v>45731</v>
      </c>
      <c r="F604" t="s">
        <v>1075</v>
      </c>
      <c r="G604" t="s">
        <v>1458</v>
      </c>
      <c r="H604" t="s">
        <v>1480</v>
      </c>
      <c r="I604">
        <v>2</v>
      </c>
      <c r="J604" s="2">
        <v>6241.95</v>
      </c>
      <c r="K604" s="3">
        <v>0</v>
      </c>
      <c r="L604" s="2">
        <v>12483.9</v>
      </c>
      <c r="M604" s="2">
        <v>3241.66</v>
      </c>
      <c r="N604" t="s">
        <v>1494</v>
      </c>
      <c r="O604" t="s">
        <v>1499</v>
      </c>
      <c r="P604" t="s">
        <v>1501</v>
      </c>
    </row>
    <row r="605" spans="1:16" x14ac:dyDescent="0.3">
      <c r="A605">
        <v>604</v>
      </c>
      <c r="B605" t="s">
        <v>585</v>
      </c>
      <c r="C605">
        <v>1</v>
      </c>
      <c r="D605" s="1">
        <v>45730</v>
      </c>
      <c r="E605" s="1">
        <v>45732</v>
      </c>
      <c r="F605" t="s">
        <v>1132</v>
      </c>
      <c r="G605" t="s">
        <v>1365</v>
      </c>
      <c r="H605" t="s">
        <v>1480</v>
      </c>
      <c r="I605">
        <v>1</v>
      </c>
      <c r="J605" s="2">
        <v>1749.13</v>
      </c>
      <c r="K605" s="3">
        <v>0</v>
      </c>
      <c r="L605" s="2">
        <v>1749.13</v>
      </c>
      <c r="M605" s="2">
        <v>642.97</v>
      </c>
      <c r="N605" t="s">
        <v>1496</v>
      </c>
      <c r="O605" t="s">
        <v>1500</v>
      </c>
      <c r="P605" t="s">
        <v>1501</v>
      </c>
    </row>
    <row r="606" spans="1:16" x14ac:dyDescent="0.3">
      <c r="A606">
        <v>605</v>
      </c>
      <c r="B606" t="s">
        <v>586</v>
      </c>
      <c r="C606">
        <v>1</v>
      </c>
      <c r="D606" s="1">
        <v>45731</v>
      </c>
      <c r="F606" t="s">
        <v>1258</v>
      </c>
      <c r="G606" t="s">
        <v>1381</v>
      </c>
      <c r="H606" t="s">
        <v>1480</v>
      </c>
      <c r="I606">
        <v>3</v>
      </c>
      <c r="J606" s="2">
        <v>4870.55</v>
      </c>
      <c r="K606" s="3">
        <v>0</v>
      </c>
      <c r="L606" s="2">
        <v>14611.65</v>
      </c>
      <c r="M606" s="2">
        <v>5930.79</v>
      </c>
      <c r="N606" t="s">
        <v>1496</v>
      </c>
      <c r="O606" t="s">
        <v>1499</v>
      </c>
      <c r="P606" t="s">
        <v>1503</v>
      </c>
    </row>
    <row r="607" spans="1:16" x14ac:dyDescent="0.3">
      <c r="A607">
        <v>606</v>
      </c>
      <c r="B607" t="s">
        <v>587</v>
      </c>
      <c r="C607">
        <v>1</v>
      </c>
      <c r="D607" s="1">
        <v>45731</v>
      </c>
      <c r="E607" s="1">
        <v>45733</v>
      </c>
      <c r="F607" t="s">
        <v>1118</v>
      </c>
      <c r="G607" t="s">
        <v>1329</v>
      </c>
      <c r="H607" t="s">
        <v>1480</v>
      </c>
      <c r="I607">
        <v>1</v>
      </c>
      <c r="J607" s="2">
        <v>1065.95</v>
      </c>
      <c r="K607" s="3">
        <v>0</v>
      </c>
      <c r="L607" s="2">
        <v>1065.95</v>
      </c>
      <c r="M607" s="2">
        <v>380.77</v>
      </c>
      <c r="N607" t="s">
        <v>1494</v>
      </c>
      <c r="O607" t="s">
        <v>1499</v>
      </c>
      <c r="P607" t="s">
        <v>1501</v>
      </c>
    </row>
    <row r="608" spans="1:16" x14ac:dyDescent="0.3">
      <c r="A608">
        <v>607</v>
      </c>
      <c r="B608" t="s">
        <v>588</v>
      </c>
      <c r="C608">
        <v>2</v>
      </c>
      <c r="D608" s="1">
        <v>45733</v>
      </c>
      <c r="E608" s="1">
        <v>45733</v>
      </c>
      <c r="F608" t="s">
        <v>1143</v>
      </c>
      <c r="G608" t="s">
        <v>1473</v>
      </c>
      <c r="H608" t="s">
        <v>1486</v>
      </c>
      <c r="I608">
        <v>1</v>
      </c>
      <c r="J608" s="2">
        <v>9143.2999999999993</v>
      </c>
      <c r="K608" s="3">
        <v>0.15</v>
      </c>
      <c r="L608" s="2">
        <v>7771.8</v>
      </c>
      <c r="M608" s="2">
        <v>609.45000000000005</v>
      </c>
      <c r="N608" t="s">
        <v>1494</v>
      </c>
      <c r="O608" t="s">
        <v>1498</v>
      </c>
      <c r="P608" t="s">
        <v>1502</v>
      </c>
    </row>
    <row r="609" spans="1:16" x14ac:dyDescent="0.3">
      <c r="A609">
        <v>608</v>
      </c>
      <c r="B609" t="s">
        <v>589</v>
      </c>
      <c r="C609">
        <v>1</v>
      </c>
      <c r="D609" s="1">
        <v>45734</v>
      </c>
      <c r="E609" s="1">
        <v>45734</v>
      </c>
      <c r="F609" t="s">
        <v>1031</v>
      </c>
      <c r="G609" t="s">
        <v>1474</v>
      </c>
      <c r="H609" t="s">
        <v>1492</v>
      </c>
      <c r="I609">
        <v>1</v>
      </c>
      <c r="J609" s="2">
        <v>12355.9</v>
      </c>
      <c r="K609" s="3">
        <v>0</v>
      </c>
      <c r="L609" s="2">
        <v>12355.9</v>
      </c>
      <c r="M609" s="2">
        <v>2795.37</v>
      </c>
      <c r="N609" t="s">
        <v>1494</v>
      </c>
      <c r="O609" t="s">
        <v>1499</v>
      </c>
      <c r="P609" t="s">
        <v>1501</v>
      </c>
    </row>
    <row r="610" spans="1:16" x14ac:dyDescent="0.3">
      <c r="A610">
        <v>609</v>
      </c>
      <c r="B610" t="s">
        <v>590</v>
      </c>
      <c r="C610">
        <v>1</v>
      </c>
      <c r="D610" s="1">
        <v>45734</v>
      </c>
      <c r="E610" s="1">
        <v>45737</v>
      </c>
      <c r="F610" t="s">
        <v>965</v>
      </c>
      <c r="G610" t="s">
        <v>1371</v>
      </c>
      <c r="H610" t="s">
        <v>1480</v>
      </c>
      <c r="I610">
        <v>1</v>
      </c>
      <c r="J610" s="2">
        <v>5245.11</v>
      </c>
      <c r="K610" s="3">
        <v>0.25</v>
      </c>
      <c r="L610" s="2">
        <v>3933.83</v>
      </c>
      <c r="M610" s="2">
        <v>632.66999999999996</v>
      </c>
      <c r="N610" t="s">
        <v>1495</v>
      </c>
      <c r="O610" t="s">
        <v>1499</v>
      </c>
      <c r="P610" t="s">
        <v>1501</v>
      </c>
    </row>
    <row r="611" spans="1:16" x14ac:dyDescent="0.3">
      <c r="A611">
        <v>610</v>
      </c>
      <c r="B611" t="s">
        <v>591</v>
      </c>
      <c r="C611">
        <v>1</v>
      </c>
      <c r="D611" s="1">
        <v>45734</v>
      </c>
      <c r="E611" s="1">
        <v>45736</v>
      </c>
      <c r="F611" t="s">
        <v>1259</v>
      </c>
      <c r="G611" t="s">
        <v>1384</v>
      </c>
      <c r="H611" t="s">
        <v>1480</v>
      </c>
      <c r="I611">
        <v>1</v>
      </c>
      <c r="J611" s="2">
        <v>35937.699999999997</v>
      </c>
      <c r="K611" s="3">
        <v>0</v>
      </c>
      <c r="L611" s="2">
        <v>35937.699999999997</v>
      </c>
      <c r="M611" s="2">
        <v>10629.44</v>
      </c>
      <c r="N611" t="s">
        <v>1495</v>
      </c>
      <c r="O611" t="s">
        <v>1498</v>
      </c>
      <c r="P611" t="s">
        <v>1501</v>
      </c>
    </row>
    <row r="612" spans="1:16" x14ac:dyDescent="0.3">
      <c r="A612">
        <v>611</v>
      </c>
      <c r="B612" t="s">
        <v>592</v>
      </c>
      <c r="C612">
        <v>2</v>
      </c>
      <c r="D612" s="1">
        <v>45735</v>
      </c>
      <c r="E612" s="1">
        <v>45735</v>
      </c>
      <c r="F612" t="s">
        <v>1008</v>
      </c>
      <c r="G612" t="s">
        <v>1361</v>
      </c>
      <c r="H612" t="s">
        <v>1479</v>
      </c>
      <c r="I612">
        <v>1</v>
      </c>
      <c r="J612" s="2">
        <v>4840.8599999999997</v>
      </c>
      <c r="K612" s="3">
        <v>0.05</v>
      </c>
      <c r="L612" s="2">
        <v>4598.82</v>
      </c>
      <c r="M612" s="2">
        <v>1193.4100000000001</v>
      </c>
      <c r="N612" t="s">
        <v>1496</v>
      </c>
      <c r="O612" t="s">
        <v>1498</v>
      </c>
      <c r="P612" t="s">
        <v>1501</v>
      </c>
    </row>
    <row r="613" spans="1:16" x14ac:dyDescent="0.3">
      <c r="A613">
        <v>612</v>
      </c>
      <c r="B613" t="s">
        <v>593</v>
      </c>
      <c r="C613">
        <v>1</v>
      </c>
      <c r="D613" s="1">
        <v>45736</v>
      </c>
      <c r="E613" s="1">
        <v>45736</v>
      </c>
      <c r="F613" t="s">
        <v>1260</v>
      </c>
      <c r="G613" t="s">
        <v>1342</v>
      </c>
      <c r="H613" t="s">
        <v>1490</v>
      </c>
      <c r="I613">
        <v>1</v>
      </c>
      <c r="J613" s="2">
        <v>18924.84</v>
      </c>
      <c r="K613" s="3">
        <v>0</v>
      </c>
      <c r="L613" s="2">
        <v>18924.84</v>
      </c>
      <c r="M613" s="2">
        <v>2781.6</v>
      </c>
      <c r="N613" t="s">
        <v>1494</v>
      </c>
      <c r="O613" t="s">
        <v>1498</v>
      </c>
      <c r="P613" t="s">
        <v>1501</v>
      </c>
    </row>
    <row r="614" spans="1:16" x14ac:dyDescent="0.3">
      <c r="A614">
        <v>613</v>
      </c>
      <c r="B614" t="s">
        <v>594</v>
      </c>
      <c r="C614">
        <v>1</v>
      </c>
      <c r="D614" s="1">
        <v>45736</v>
      </c>
      <c r="F614" t="s">
        <v>1261</v>
      </c>
      <c r="G614" t="s">
        <v>1453</v>
      </c>
      <c r="H614" t="s">
        <v>1480</v>
      </c>
      <c r="I614">
        <v>2</v>
      </c>
      <c r="J614" s="2">
        <v>507.34</v>
      </c>
      <c r="K614" s="3">
        <v>0</v>
      </c>
      <c r="L614" s="2">
        <v>1014.68</v>
      </c>
      <c r="M614" s="2">
        <v>387.74</v>
      </c>
      <c r="N614" t="s">
        <v>1496</v>
      </c>
      <c r="O614" t="s">
        <v>1498</v>
      </c>
      <c r="P614" t="s">
        <v>1503</v>
      </c>
    </row>
    <row r="615" spans="1:16" x14ac:dyDescent="0.3">
      <c r="A615">
        <v>614</v>
      </c>
      <c r="B615" t="s">
        <v>595</v>
      </c>
      <c r="C615">
        <v>1</v>
      </c>
      <c r="D615" s="1">
        <v>45738</v>
      </c>
      <c r="E615" s="1">
        <v>45738</v>
      </c>
      <c r="F615" t="s">
        <v>1262</v>
      </c>
      <c r="G615" t="s">
        <v>1453</v>
      </c>
      <c r="H615" t="s">
        <v>1481</v>
      </c>
      <c r="I615">
        <v>1</v>
      </c>
      <c r="J615" s="2">
        <v>507.34</v>
      </c>
      <c r="K615" s="3">
        <v>0.25</v>
      </c>
      <c r="L615" s="2">
        <v>380.5</v>
      </c>
      <c r="M615" s="2">
        <v>67.03</v>
      </c>
      <c r="N615" t="s">
        <v>1494</v>
      </c>
      <c r="O615" t="s">
        <v>1498</v>
      </c>
      <c r="P615" t="s">
        <v>1501</v>
      </c>
    </row>
    <row r="616" spans="1:16" x14ac:dyDescent="0.3">
      <c r="A616">
        <v>615</v>
      </c>
      <c r="B616" t="s">
        <v>596</v>
      </c>
      <c r="C616">
        <v>2</v>
      </c>
      <c r="D616" s="1">
        <v>45738</v>
      </c>
      <c r="E616" s="1">
        <v>45741</v>
      </c>
      <c r="F616" t="s">
        <v>1079</v>
      </c>
      <c r="G616" t="s">
        <v>1475</v>
      </c>
      <c r="H616" t="s">
        <v>1480</v>
      </c>
      <c r="I616">
        <v>1</v>
      </c>
      <c r="J616" s="2">
        <v>1132.19</v>
      </c>
      <c r="K616" s="3">
        <v>0</v>
      </c>
      <c r="L616" s="2">
        <v>1132.19</v>
      </c>
      <c r="M616" s="2">
        <v>469.78</v>
      </c>
      <c r="N616" t="s">
        <v>1494</v>
      </c>
      <c r="O616" t="s">
        <v>1498</v>
      </c>
      <c r="P616" t="s">
        <v>1501</v>
      </c>
    </row>
    <row r="617" spans="1:16" x14ac:dyDescent="0.3">
      <c r="A617">
        <v>616</v>
      </c>
      <c r="B617" t="s">
        <v>596</v>
      </c>
      <c r="C617">
        <v>3</v>
      </c>
      <c r="D617" s="1">
        <v>45738</v>
      </c>
      <c r="E617" s="1">
        <v>45741</v>
      </c>
      <c r="F617" t="s">
        <v>1079</v>
      </c>
      <c r="G617" t="s">
        <v>1395</v>
      </c>
      <c r="H617" t="s">
        <v>1480</v>
      </c>
      <c r="I617">
        <v>2</v>
      </c>
      <c r="J617" s="2">
        <v>5383.63</v>
      </c>
      <c r="K617" s="3">
        <v>0</v>
      </c>
      <c r="L617" s="2">
        <v>10767.26</v>
      </c>
      <c r="M617" s="2">
        <v>2350.08</v>
      </c>
      <c r="N617" t="s">
        <v>1494</v>
      </c>
      <c r="O617" t="s">
        <v>1498</v>
      </c>
      <c r="P617" t="s">
        <v>1501</v>
      </c>
    </row>
    <row r="618" spans="1:16" x14ac:dyDescent="0.3">
      <c r="A618">
        <v>617</v>
      </c>
      <c r="B618" t="s">
        <v>597</v>
      </c>
      <c r="C618">
        <v>1</v>
      </c>
      <c r="D618" s="1">
        <v>45738</v>
      </c>
      <c r="E618" s="1">
        <v>45741</v>
      </c>
      <c r="F618" t="s">
        <v>1256</v>
      </c>
      <c r="G618" t="s">
        <v>1471</v>
      </c>
      <c r="H618" t="s">
        <v>1480</v>
      </c>
      <c r="I618">
        <v>2</v>
      </c>
      <c r="J618" s="2">
        <v>31099.68</v>
      </c>
      <c r="K618" s="3">
        <v>0</v>
      </c>
      <c r="L618" s="2">
        <v>62199.360000000001</v>
      </c>
      <c r="M618" s="2">
        <v>6851.34</v>
      </c>
      <c r="N618" t="s">
        <v>1494</v>
      </c>
      <c r="O618" t="s">
        <v>1498</v>
      </c>
      <c r="P618" t="s">
        <v>1501</v>
      </c>
    </row>
    <row r="619" spans="1:16" x14ac:dyDescent="0.3">
      <c r="A619">
        <v>618</v>
      </c>
      <c r="B619" t="s">
        <v>598</v>
      </c>
      <c r="C619">
        <v>1</v>
      </c>
      <c r="D619" s="1">
        <v>45740</v>
      </c>
      <c r="E619" s="1">
        <v>45741</v>
      </c>
      <c r="F619" t="s">
        <v>1263</v>
      </c>
      <c r="G619" t="s">
        <v>1367</v>
      </c>
      <c r="H619" t="s">
        <v>1478</v>
      </c>
      <c r="I619">
        <v>2</v>
      </c>
      <c r="J619" s="2">
        <v>27891.1</v>
      </c>
      <c r="K619" s="3">
        <v>0</v>
      </c>
      <c r="L619" s="2">
        <v>55782.2</v>
      </c>
      <c r="M619" s="2">
        <v>15685.08</v>
      </c>
      <c r="N619" t="s">
        <v>1496</v>
      </c>
      <c r="O619" t="s">
        <v>1499</v>
      </c>
      <c r="P619" t="s">
        <v>1501</v>
      </c>
    </row>
    <row r="620" spans="1:16" x14ac:dyDescent="0.3">
      <c r="A620">
        <v>619</v>
      </c>
      <c r="B620" t="s">
        <v>599</v>
      </c>
      <c r="C620">
        <v>1</v>
      </c>
      <c r="D620" s="1">
        <v>45740</v>
      </c>
      <c r="E620" s="1">
        <v>45740</v>
      </c>
      <c r="F620" t="s">
        <v>1145</v>
      </c>
      <c r="G620" t="s">
        <v>1333</v>
      </c>
      <c r="H620" t="s">
        <v>1492</v>
      </c>
      <c r="I620">
        <v>1</v>
      </c>
      <c r="J620" s="2">
        <v>16375.46</v>
      </c>
      <c r="K620" s="3">
        <v>0.15</v>
      </c>
      <c r="L620" s="2">
        <v>13919.14</v>
      </c>
      <c r="M620" s="2">
        <v>-382.01</v>
      </c>
      <c r="N620" t="s">
        <v>1494</v>
      </c>
      <c r="O620" t="s">
        <v>1499</v>
      </c>
      <c r="P620" t="s">
        <v>1501</v>
      </c>
    </row>
    <row r="621" spans="1:16" x14ac:dyDescent="0.3">
      <c r="A621">
        <v>620</v>
      </c>
      <c r="B621" t="s">
        <v>600</v>
      </c>
      <c r="C621">
        <v>1</v>
      </c>
      <c r="D621" s="1">
        <v>45741</v>
      </c>
      <c r="E621" s="1">
        <v>45742</v>
      </c>
      <c r="F621" t="s">
        <v>1264</v>
      </c>
      <c r="G621" t="s">
        <v>1413</v>
      </c>
      <c r="H621" t="s">
        <v>1488</v>
      </c>
      <c r="I621">
        <v>1</v>
      </c>
      <c r="J621" s="2">
        <v>771.89</v>
      </c>
      <c r="K621" s="3">
        <v>0</v>
      </c>
      <c r="L621" s="2">
        <v>771.89</v>
      </c>
      <c r="M621" s="2">
        <v>220.44</v>
      </c>
      <c r="N621" t="s">
        <v>1493</v>
      </c>
      <c r="O621" t="s">
        <v>1498</v>
      </c>
      <c r="P621" t="s">
        <v>1501</v>
      </c>
    </row>
    <row r="622" spans="1:16" x14ac:dyDescent="0.3">
      <c r="A622">
        <v>621</v>
      </c>
      <c r="B622" t="s">
        <v>601</v>
      </c>
      <c r="C622">
        <v>1</v>
      </c>
      <c r="D622" s="1">
        <v>45741</v>
      </c>
      <c r="E622" s="1">
        <v>45743</v>
      </c>
      <c r="F622" t="s">
        <v>1154</v>
      </c>
      <c r="G622" t="s">
        <v>1418</v>
      </c>
      <c r="H622" t="s">
        <v>1480</v>
      </c>
      <c r="I622">
        <v>1</v>
      </c>
      <c r="J622" s="2">
        <v>30604.9</v>
      </c>
      <c r="K622" s="3">
        <v>0</v>
      </c>
      <c r="L622" s="2">
        <v>30604.9</v>
      </c>
      <c r="M622" s="2">
        <v>7928.17</v>
      </c>
      <c r="N622" t="s">
        <v>1496</v>
      </c>
      <c r="O622" t="s">
        <v>1499</v>
      </c>
      <c r="P622" t="s">
        <v>1501</v>
      </c>
    </row>
    <row r="623" spans="1:16" x14ac:dyDescent="0.3">
      <c r="A623">
        <v>622</v>
      </c>
      <c r="B623" t="s">
        <v>601</v>
      </c>
      <c r="C623">
        <v>2</v>
      </c>
      <c r="D623" s="1">
        <v>45741</v>
      </c>
      <c r="E623" s="1">
        <v>45743</v>
      </c>
      <c r="F623" t="s">
        <v>1154</v>
      </c>
      <c r="G623" t="s">
        <v>1341</v>
      </c>
      <c r="H623" t="s">
        <v>1480</v>
      </c>
      <c r="I623">
        <v>1</v>
      </c>
      <c r="J623" s="2">
        <v>1648.45</v>
      </c>
      <c r="K623" s="3">
        <v>0</v>
      </c>
      <c r="L623" s="2">
        <v>1648.45</v>
      </c>
      <c r="M623" s="2">
        <v>494.33</v>
      </c>
      <c r="N623" t="s">
        <v>1496</v>
      </c>
      <c r="O623" t="s">
        <v>1499</v>
      </c>
      <c r="P623" t="s">
        <v>1501</v>
      </c>
    </row>
    <row r="624" spans="1:16" x14ac:dyDescent="0.3">
      <c r="A624">
        <v>623</v>
      </c>
      <c r="B624" t="s">
        <v>602</v>
      </c>
      <c r="C624">
        <v>1</v>
      </c>
      <c r="D624" s="1">
        <v>45741</v>
      </c>
      <c r="E624" s="1">
        <v>45741</v>
      </c>
      <c r="F624" t="s">
        <v>981</v>
      </c>
      <c r="G624" t="s">
        <v>1402</v>
      </c>
      <c r="H624" t="s">
        <v>1485</v>
      </c>
      <c r="I624">
        <v>2</v>
      </c>
      <c r="J624" s="2">
        <v>1419.44</v>
      </c>
      <c r="K624" s="3">
        <v>0</v>
      </c>
      <c r="L624" s="2">
        <v>2838.88</v>
      </c>
      <c r="M624" s="2">
        <v>213.88</v>
      </c>
      <c r="N624" t="s">
        <v>1493</v>
      </c>
      <c r="O624" t="s">
        <v>1498</v>
      </c>
      <c r="P624" t="s">
        <v>1501</v>
      </c>
    </row>
    <row r="625" spans="1:16" x14ac:dyDescent="0.3">
      <c r="A625">
        <v>624</v>
      </c>
      <c r="B625" t="s">
        <v>603</v>
      </c>
      <c r="C625">
        <v>1</v>
      </c>
      <c r="D625" s="1">
        <v>45743</v>
      </c>
      <c r="F625" t="s">
        <v>1209</v>
      </c>
      <c r="G625" t="s">
        <v>1371</v>
      </c>
      <c r="H625" t="s">
        <v>1490</v>
      </c>
      <c r="I625">
        <v>1</v>
      </c>
      <c r="J625" s="2">
        <v>5245.11</v>
      </c>
      <c r="K625" s="3">
        <v>0</v>
      </c>
      <c r="L625" s="2">
        <v>5245.11</v>
      </c>
      <c r="M625" s="2">
        <v>1943.95</v>
      </c>
      <c r="N625" t="s">
        <v>1494</v>
      </c>
      <c r="O625" t="s">
        <v>1499</v>
      </c>
      <c r="P625" t="s">
        <v>1503</v>
      </c>
    </row>
    <row r="626" spans="1:16" x14ac:dyDescent="0.3">
      <c r="A626">
        <v>625</v>
      </c>
      <c r="B626" t="s">
        <v>604</v>
      </c>
      <c r="C626">
        <v>2</v>
      </c>
      <c r="D626" s="1">
        <v>45744</v>
      </c>
      <c r="E626" s="1">
        <v>45745</v>
      </c>
      <c r="F626" t="s">
        <v>1265</v>
      </c>
      <c r="G626" t="s">
        <v>1366</v>
      </c>
      <c r="H626" t="s">
        <v>1490</v>
      </c>
      <c r="I626">
        <v>1</v>
      </c>
      <c r="J626" s="2">
        <v>1397.64</v>
      </c>
      <c r="K626" s="3">
        <v>0.1</v>
      </c>
      <c r="L626" s="2">
        <v>1257.8800000000001</v>
      </c>
      <c r="M626" s="2">
        <v>-53.14</v>
      </c>
      <c r="N626" t="s">
        <v>1494</v>
      </c>
      <c r="O626" t="s">
        <v>1498</v>
      </c>
      <c r="P626" t="s">
        <v>1501</v>
      </c>
    </row>
    <row r="627" spans="1:16" x14ac:dyDescent="0.3">
      <c r="A627">
        <v>626</v>
      </c>
      <c r="B627" t="s">
        <v>605</v>
      </c>
      <c r="C627">
        <v>1</v>
      </c>
      <c r="D627" s="1">
        <v>45744</v>
      </c>
      <c r="E627" s="1">
        <v>45744</v>
      </c>
      <c r="F627" t="s">
        <v>972</v>
      </c>
      <c r="G627" t="s">
        <v>1418</v>
      </c>
      <c r="H627" t="s">
        <v>1483</v>
      </c>
      <c r="I627">
        <v>1</v>
      </c>
      <c r="J627" s="2">
        <v>30604.9</v>
      </c>
      <c r="K627" s="3">
        <v>0.05</v>
      </c>
      <c r="L627" s="2">
        <v>29074.65</v>
      </c>
      <c r="M627" s="2">
        <v>6397.92</v>
      </c>
      <c r="N627" t="s">
        <v>1493</v>
      </c>
      <c r="O627" t="s">
        <v>1498</v>
      </c>
      <c r="P627" t="s">
        <v>1501</v>
      </c>
    </row>
    <row r="628" spans="1:16" x14ac:dyDescent="0.3">
      <c r="A628">
        <v>627</v>
      </c>
      <c r="B628" t="s">
        <v>606</v>
      </c>
      <c r="C628">
        <v>1</v>
      </c>
      <c r="D628" s="1">
        <v>45745</v>
      </c>
      <c r="F628" t="s">
        <v>1266</v>
      </c>
      <c r="G628" t="s">
        <v>1357</v>
      </c>
      <c r="H628" t="s">
        <v>1479</v>
      </c>
      <c r="I628">
        <v>2</v>
      </c>
      <c r="J628" s="2">
        <v>986.91</v>
      </c>
      <c r="K628" s="3">
        <v>0.2</v>
      </c>
      <c r="L628" s="2">
        <v>1579.06</v>
      </c>
      <c r="M628" s="2">
        <v>-137.30000000000001</v>
      </c>
      <c r="N628" t="s">
        <v>1495</v>
      </c>
      <c r="O628" t="s">
        <v>1498</v>
      </c>
      <c r="P628" t="s">
        <v>1503</v>
      </c>
    </row>
    <row r="629" spans="1:16" x14ac:dyDescent="0.3">
      <c r="A629">
        <v>628</v>
      </c>
      <c r="B629" t="s">
        <v>607</v>
      </c>
      <c r="C629">
        <v>1</v>
      </c>
      <c r="D629" s="1">
        <v>45747</v>
      </c>
      <c r="E629" s="1">
        <v>45748</v>
      </c>
      <c r="F629" t="s">
        <v>980</v>
      </c>
      <c r="G629" t="s">
        <v>1341</v>
      </c>
      <c r="H629" t="s">
        <v>1487</v>
      </c>
      <c r="I629">
        <v>1</v>
      </c>
      <c r="J629" s="2">
        <v>1648.45</v>
      </c>
      <c r="K629" s="3">
        <v>0</v>
      </c>
      <c r="L629" s="2">
        <v>1648.45</v>
      </c>
      <c r="M629" s="2">
        <v>494.33</v>
      </c>
      <c r="N629" t="s">
        <v>1494</v>
      </c>
      <c r="O629" t="s">
        <v>1498</v>
      </c>
      <c r="P629" t="s">
        <v>1501</v>
      </c>
    </row>
    <row r="630" spans="1:16" x14ac:dyDescent="0.3">
      <c r="A630">
        <v>629</v>
      </c>
      <c r="B630" t="s">
        <v>608</v>
      </c>
      <c r="C630">
        <v>1</v>
      </c>
      <c r="D630" s="1">
        <v>45747</v>
      </c>
      <c r="E630" s="1">
        <v>45750</v>
      </c>
      <c r="F630" t="s">
        <v>1079</v>
      </c>
      <c r="G630" t="s">
        <v>1380</v>
      </c>
      <c r="H630" t="s">
        <v>1480</v>
      </c>
      <c r="I630">
        <v>2</v>
      </c>
      <c r="J630" s="2">
        <v>694.66</v>
      </c>
      <c r="K630" s="3">
        <v>0</v>
      </c>
      <c r="L630" s="2">
        <v>1389.32</v>
      </c>
      <c r="M630" s="2">
        <v>184.14</v>
      </c>
      <c r="N630" t="s">
        <v>1496</v>
      </c>
      <c r="O630" t="s">
        <v>1499</v>
      </c>
      <c r="P630" t="s">
        <v>1501</v>
      </c>
    </row>
    <row r="631" spans="1:16" x14ac:dyDescent="0.3">
      <c r="A631">
        <v>630</v>
      </c>
      <c r="B631" t="s">
        <v>609</v>
      </c>
      <c r="C631">
        <v>2</v>
      </c>
      <c r="D631" s="1">
        <v>45749</v>
      </c>
      <c r="E631" s="1">
        <v>45749</v>
      </c>
      <c r="F631" t="s">
        <v>1066</v>
      </c>
      <c r="G631" t="s">
        <v>1475</v>
      </c>
      <c r="H631" t="s">
        <v>1481</v>
      </c>
      <c r="I631">
        <v>3</v>
      </c>
      <c r="J631" s="2">
        <v>1132.19</v>
      </c>
      <c r="K631" s="3">
        <v>0</v>
      </c>
      <c r="L631" s="2">
        <v>3396.57</v>
      </c>
      <c r="M631" s="2">
        <v>1409.34</v>
      </c>
      <c r="N631" t="s">
        <v>1497</v>
      </c>
      <c r="O631" t="s">
        <v>1498</v>
      </c>
      <c r="P631" t="s">
        <v>1501</v>
      </c>
    </row>
    <row r="632" spans="1:16" x14ac:dyDescent="0.3">
      <c r="A632">
        <v>631</v>
      </c>
      <c r="B632" t="s">
        <v>610</v>
      </c>
      <c r="C632">
        <v>1</v>
      </c>
      <c r="D632" s="1">
        <v>45750</v>
      </c>
      <c r="E632" s="1">
        <v>45750</v>
      </c>
      <c r="F632" t="s">
        <v>1189</v>
      </c>
      <c r="G632" t="s">
        <v>1419</v>
      </c>
      <c r="H632" t="s">
        <v>1488</v>
      </c>
      <c r="I632">
        <v>1</v>
      </c>
      <c r="J632" s="2">
        <v>29006.55</v>
      </c>
      <c r="K632" s="3">
        <v>0</v>
      </c>
      <c r="L632" s="2">
        <v>29006.55</v>
      </c>
      <c r="M632" s="2">
        <v>5136.18</v>
      </c>
      <c r="N632" t="s">
        <v>1495</v>
      </c>
      <c r="O632" t="s">
        <v>1499</v>
      </c>
      <c r="P632" t="s">
        <v>1501</v>
      </c>
    </row>
    <row r="633" spans="1:16" x14ac:dyDescent="0.3">
      <c r="A633">
        <v>632</v>
      </c>
      <c r="B633" t="s">
        <v>611</v>
      </c>
      <c r="C633">
        <v>1</v>
      </c>
      <c r="D633" s="1">
        <v>45750</v>
      </c>
      <c r="E633" s="1">
        <v>45751</v>
      </c>
      <c r="F633" t="s">
        <v>1029</v>
      </c>
      <c r="G633" t="s">
        <v>1412</v>
      </c>
      <c r="H633" t="s">
        <v>1480</v>
      </c>
      <c r="I633">
        <v>1</v>
      </c>
      <c r="J633" s="2">
        <v>78073.17</v>
      </c>
      <c r="K633" s="3">
        <v>0</v>
      </c>
      <c r="L633" s="2">
        <v>78073.17</v>
      </c>
      <c r="M633" s="2">
        <v>12188.31</v>
      </c>
      <c r="N633" t="s">
        <v>1494</v>
      </c>
      <c r="O633" t="s">
        <v>1498</v>
      </c>
      <c r="P633" t="s">
        <v>1501</v>
      </c>
    </row>
    <row r="634" spans="1:16" x14ac:dyDescent="0.3">
      <c r="A634">
        <v>633</v>
      </c>
      <c r="B634" t="s">
        <v>612</v>
      </c>
      <c r="C634">
        <v>1</v>
      </c>
      <c r="D634" s="1">
        <v>45751</v>
      </c>
      <c r="E634" s="1">
        <v>45754</v>
      </c>
      <c r="F634" t="s">
        <v>1267</v>
      </c>
      <c r="G634" t="s">
        <v>1392</v>
      </c>
      <c r="H634" t="s">
        <v>1480</v>
      </c>
      <c r="I634">
        <v>1</v>
      </c>
      <c r="J634" s="2">
        <v>17688.330000000002</v>
      </c>
      <c r="K634" s="3">
        <v>0</v>
      </c>
      <c r="L634" s="2">
        <v>17688.330000000002</v>
      </c>
      <c r="M634" s="2">
        <v>2903.89</v>
      </c>
      <c r="N634" t="s">
        <v>1495</v>
      </c>
      <c r="O634" t="s">
        <v>1499</v>
      </c>
      <c r="P634" t="s">
        <v>1501</v>
      </c>
    </row>
    <row r="635" spans="1:16" x14ac:dyDescent="0.3">
      <c r="A635">
        <v>634</v>
      </c>
      <c r="B635" t="s">
        <v>613</v>
      </c>
      <c r="C635">
        <v>1</v>
      </c>
      <c r="D635" s="1">
        <v>45751</v>
      </c>
      <c r="E635" s="1">
        <v>45751</v>
      </c>
      <c r="F635" t="s">
        <v>1079</v>
      </c>
      <c r="G635" t="s">
        <v>1473</v>
      </c>
      <c r="H635" t="s">
        <v>1482</v>
      </c>
      <c r="I635">
        <v>1</v>
      </c>
      <c r="J635" s="2">
        <v>9143.2999999999993</v>
      </c>
      <c r="K635" s="3">
        <v>0.05</v>
      </c>
      <c r="L635" s="2">
        <v>8686.1299999999992</v>
      </c>
      <c r="M635" s="2">
        <v>1523.78</v>
      </c>
      <c r="N635" t="s">
        <v>1495</v>
      </c>
      <c r="O635" t="s">
        <v>1498</v>
      </c>
      <c r="P635" t="s">
        <v>1501</v>
      </c>
    </row>
    <row r="636" spans="1:16" x14ac:dyDescent="0.3">
      <c r="A636">
        <v>635</v>
      </c>
      <c r="B636" t="s">
        <v>614</v>
      </c>
      <c r="C636">
        <v>1</v>
      </c>
      <c r="D636" s="1">
        <v>45751</v>
      </c>
      <c r="E636" s="1">
        <v>45753</v>
      </c>
      <c r="F636" t="s">
        <v>1053</v>
      </c>
      <c r="G636" t="s">
        <v>1408</v>
      </c>
      <c r="H636" t="s">
        <v>1480</v>
      </c>
      <c r="I636">
        <v>1</v>
      </c>
      <c r="J636" s="2">
        <v>3284.39</v>
      </c>
      <c r="K636" s="3">
        <v>0</v>
      </c>
      <c r="L636" s="2">
        <v>3284.39</v>
      </c>
      <c r="M636" s="2">
        <v>887.88</v>
      </c>
      <c r="N636" t="s">
        <v>1494</v>
      </c>
      <c r="O636" t="s">
        <v>1499</v>
      </c>
      <c r="P636" t="s">
        <v>1501</v>
      </c>
    </row>
    <row r="637" spans="1:16" x14ac:dyDescent="0.3">
      <c r="A637">
        <v>636</v>
      </c>
      <c r="B637" t="s">
        <v>615</v>
      </c>
      <c r="C637">
        <v>1</v>
      </c>
      <c r="D637" s="1">
        <v>45751</v>
      </c>
      <c r="E637" s="1">
        <v>45751</v>
      </c>
      <c r="F637" t="s">
        <v>1268</v>
      </c>
      <c r="G637" t="s">
        <v>1449</v>
      </c>
      <c r="H637" t="s">
        <v>1478</v>
      </c>
      <c r="I637">
        <v>2</v>
      </c>
      <c r="J637" s="2">
        <v>22795.96</v>
      </c>
      <c r="K637" s="3">
        <v>0</v>
      </c>
      <c r="L637" s="2">
        <v>45591.92</v>
      </c>
      <c r="M637" s="2">
        <v>10194.620000000001</v>
      </c>
      <c r="N637" t="s">
        <v>1494</v>
      </c>
      <c r="O637" t="s">
        <v>1500</v>
      </c>
      <c r="P637" t="s">
        <v>1501</v>
      </c>
    </row>
    <row r="638" spans="1:16" x14ac:dyDescent="0.3">
      <c r="A638">
        <v>637</v>
      </c>
      <c r="B638" t="s">
        <v>616</v>
      </c>
      <c r="C638">
        <v>1</v>
      </c>
      <c r="D638" s="1">
        <v>45752</v>
      </c>
      <c r="E638" s="1">
        <v>45752</v>
      </c>
      <c r="F638" t="s">
        <v>1269</v>
      </c>
      <c r="G638" t="s">
        <v>1342</v>
      </c>
      <c r="H638" t="s">
        <v>1489</v>
      </c>
      <c r="I638">
        <v>2</v>
      </c>
      <c r="J638" s="2">
        <v>18924.84</v>
      </c>
      <c r="K638" s="3">
        <v>0.15</v>
      </c>
      <c r="L638" s="2">
        <v>32172.23</v>
      </c>
      <c r="M638" s="2">
        <v>-114.25</v>
      </c>
      <c r="N638" t="s">
        <v>1494</v>
      </c>
      <c r="O638" t="s">
        <v>1498</v>
      </c>
      <c r="P638" t="s">
        <v>1501</v>
      </c>
    </row>
    <row r="639" spans="1:16" x14ac:dyDescent="0.3">
      <c r="A639">
        <v>638</v>
      </c>
      <c r="B639" t="s">
        <v>617</v>
      </c>
      <c r="C639">
        <v>1</v>
      </c>
      <c r="D639" s="1">
        <v>45752</v>
      </c>
      <c r="E639" s="1">
        <v>45753</v>
      </c>
      <c r="F639" t="s">
        <v>1075</v>
      </c>
      <c r="G639" t="s">
        <v>1383</v>
      </c>
      <c r="H639" t="s">
        <v>1480</v>
      </c>
      <c r="I639">
        <v>1</v>
      </c>
      <c r="J639" s="2">
        <v>17693.080000000002</v>
      </c>
      <c r="K639" s="3">
        <v>0.05</v>
      </c>
      <c r="L639" s="2">
        <v>16808.43</v>
      </c>
      <c r="M639" s="2">
        <v>2661.39</v>
      </c>
      <c r="N639" t="s">
        <v>1493</v>
      </c>
      <c r="O639" t="s">
        <v>1498</v>
      </c>
      <c r="P639" t="s">
        <v>1501</v>
      </c>
    </row>
    <row r="640" spans="1:16" x14ac:dyDescent="0.3">
      <c r="A640">
        <v>639</v>
      </c>
      <c r="B640" t="s">
        <v>618</v>
      </c>
      <c r="C640">
        <v>1</v>
      </c>
      <c r="D640" s="1">
        <v>45753</v>
      </c>
      <c r="E640" s="1">
        <v>45754</v>
      </c>
      <c r="F640" t="s">
        <v>1270</v>
      </c>
      <c r="G640" t="s">
        <v>1404</v>
      </c>
      <c r="H640" t="s">
        <v>1485</v>
      </c>
      <c r="I640">
        <v>1</v>
      </c>
      <c r="J640" s="2">
        <v>44125.88</v>
      </c>
      <c r="K640" s="3">
        <v>0</v>
      </c>
      <c r="L640" s="2">
        <v>44125.88</v>
      </c>
      <c r="M640" s="2">
        <v>9811.19</v>
      </c>
      <c r="N640" t="s">
        <v>1494</v>
      </c>
      <c r="O640" t="s">
        <v>1498</v>
      </c>
      <c r="P640" t="s">
        <v>1501</v>
      </c>
    </row>
    <row r="641" spans="1:16" x14ac:dyDescent="0.3">
      <c r="A641">
        <v>640</v>
      </c>
      <c r="B641" t="s">
        <v>619</v>
      </c>
      <c r="C641">
        <v>1</v>
      </c>
      <c r="D641" s="1">
        <v>45753</v>
      </c>
      <c r="E641" s="1">
        <v>45756</v>
      </c>
      <c r="F641" t="s">
        <v>1072</v>
      </c>
      <c r="G641" t="s">
        <v>1337</v>
      </c>
      <c r="H641" t="s">
        <v>1480</v>
      </c>
      <c r="I641">
        <v>1</v>
      </c>
      <c r="J641" s="2">
        <v>12042.96</v>
      </c>
      <c r="K641" s="3">
        <v>0</v>
      </c>
      <c r="L641" s="2">
        <v>12042.96</v>
      </c>
      <c r="M641" s="2">
        <v>1101.3599999999999</v>
      </c>
      <c r="N641" t="s">
        <v>1496</v>
      </c>
      <c r="O641" t="s">
        <v>1499</v>
      </c>
      <c r="P641" t="s">
        <v>1501</v>
      </c>
    </row>
    <row r="642" spans="1:16" x14ac:dyDescent="0.3">
      <c r="A642">
        <v>641</v>
      </c>
      <c r="B642" t="s">
        <v>620</v>
      </c>
      <c r="C642">
        <v>1</v>
      </c>
      <c r="D642" s="1">
        <v>45754</v>
      </c>
      <c r="E642" s="1">
        <v>45754</v>
      </c>
      <c r="F642" t="s">
        <v>1109</v>
      </c>
      <c r="G642" t="s">
        <v>1355</v>
      </c>
      <c r="H642" t="s">
        <v>1487</v>
      </c>
      <c r="I642">
        <v>2</v>
      </c>
      <c r="J642" s="2">
        <v>38093.910000000003</v>
      </c>
      <c r="K642" s="3">
        <v>0</v>
      </c>
      <c r="L642" s="2">
        <v>76187.820000000007</v>
      </c>
      <c r="M642" s="2">
        <v>7538.56</v>
      </c>
      <c r="N642" t="s">
        <v>1496</v>
      </c>
      <c r="O642" t="s">
        <v>1498</v>
      </c>
      <c r="P642" t="s">
        <v>1501</v>
      </c>
    </row>
    <row r="643" spans="1:16" x14ac:dyDescent="0.3">
      <c r="A643">
        <v>642</v>
      </c>
      <c r="B643" t="s">
        <v>621</v>
      </c>
      <c r="C643">
        <v>1</v>
      </c>
      <c r="D643" s="1">
        <v>45755</v>
      </c>
      <c r="E643" s="1">
        <v>45756</v>
      </c>
      <c r="F643" t="s">
        <v>991</v>
      </c>
      <c r="G643" t="s">
        <v>1436</v>
      </c>
      <c r="H643" t="s">
        <v>1478</v>
      </c>
      <c r="I643">
        <v>1</v>
      </c>
      <c r="J643" s="2">
        <v>546.80999999999995</v>
      </c>
      <c r="K643" s="3">
        <v>0</v>
      </c>
      <c r="L643" s="2">
        <v>546.80999999999995</v>
      </c>
      <c r="M643" s="2">
        <v>156.55000000000001</v>
      </c>
      <c r="N643" t="s">
        <v>1494</v>
      </c>
      <c r="O643" t="s">
        <v>1499</v>
      </c>
      <c r="P643" t="s">
        <v>1501</v>
      </c>
    </row>
    <row r="644" spans="1:16" x14ac:dyDescent="0.3">
      <c r="A644">
        <v>643</v>
      </c>
      <c r="B644" t="s">
        <v>622</v>
      </c>
      <c r="C644">
        <v>1</v>
      </c>
      <c r="D644" s="1">
        <v>45756</v>
      </c>
      <c r="E644" s="1">
        <v>45758</v>
      </c>
      <c r="F644" t="s">
        <v>1271</v>
      </c>
      <c r="G644" t="s">
        <v>1349</v>
      </c>
      <c r="H644" t="s">
        <v>1480</v>
      </c>
      <c r="I644">
        <v>1</v>
      </c>
      <c r="J644" s="2">
        <v>2650.66</v>
      </c>
      <c r="K644" s="3">
        <v>0.1</v>
      </c>
      <c r="L644" s="2">
        <v>2385.59</v>
      </c>
      <c r="M644" s="2">
        <v>595.96</v>
      </c>
      <c r="N644" t="s">
        <v>1493</v>
      </c>
      <c r="O644" t="s">
        <v>1498</v>
      </c>
      <c r="P644" t="s">
        <v>1501</v>
      </c>
    </row>
    <row r="645" spans="1:16" x14ac:dyDescent="0.3">
      <c r="A645">
        <v>644</v>
      </c>
      <c r="B645" t="s">
        <v>623</v>
      </c>
      <c r="C645">
        <v>2</v>
      </c>
      <c r="D645" s="1">
        <v>45757</v>
      </c>
      <c r="E645" s="1">
        <v>45757</v>
      </c>
      <c r="F645" t="s">
        <v>1113</v>
      </c>
      <c r="G645" t="s">
        <v>1452</v>
      </c>
      <c r="H645" t="s">
        <v>1482</v>
      </c>
      <c r="I645">
        <v>1</v>
      </c>
      <c r="J645" s="2">
        <v>74213.429999999993</v>
      </c>
      <c r="K645" s="3">
        <v>0</v>
      </c>
      <c r="L645" s="2">
        <v>74213.429999999993</v>
      </c>
      <c r="M645" s="2">
        <v>10715.42</v>
      </c>
      <c r="N645" t="s">
        <v>1496</v>
      </c>
      <c r="O645" t="s">
        <v>1498</v>
      </c>
      <c r="P645" t="s">
        <v>1501</v>
      </c>
    </row>
    <row r="646" spans="1:16" x14ac:dyDescent="0.3">
      <c r="A646">
        <v>645</v>
      </c>
      <c r="B646" t="s">
        <v>624</v>
      </c>
      <c r="C646">
        <v>1</v>
      </c>
      <c r="D646" s="1">
        <v>45759</v>
      </c>
      <c r="E646" s="1">
        <v>45761</v>
      </c>
      <c r="F646" t="s">
        <v>1005</v>
      </c>
      <c r="G646" t="s">
        <v>1421</v>
      </c>
      <c r="H646" t="s">
        <v>1480</v>
      </c>
      <c r="I646">
        <v>1</v>
      </c>
      <c r="J646" s="2">
        <v>227.54</v>
      </c>
      <c r="K646" s="3">
        <v>0</v>
      </c>
      <c r="L646" s="2">
        <v>227.54</v>
      </c>
      <c r="M646" s="2">
        <v>33.200000000000003</v>
      </c>
      <c r="N646" t="s">
        <v>1497</v>
      </c>
      <c r="O646" t="s">
        <v>1498</v>
      </c>
      <c r="P646" t="s">
        <v>1501</v>
      </c>
    </row>
    <row r="647" spans="1:16" x14ac:dyDescent="0.3">
      <c r="A647">
        <v>646</v>
      </c>
      <c r="B647" t="s">
        <v>625</v>
      </c>
      <c r="C647">
        <v>3</v>
      </c>
      <c r="D647" s="1">
        <v>45760</v>
      </c>
      <c r="E647" s="1">
        <v>45761</v>
      </c>
      <c r="F647" t="s">
        <v>1272</v>
      </c>
      <c r="G647" t="s">
        <v>1350</v>
      </c>
      <c r="H647" t="s">
        <v>1480</v>
      </c>
      <c r="I647">
        <v>1</v>
      </c>
      <c r="J647" s="2">
        <v>53290.400000000001</v>
      </c>
      <c r="K647" s="3">
        <v>0</v>
      </c>
      <c r="L647" s="2">
        <v>53290.400000000001</v>
      </c>
      <c r="M647" s="2">
        <v>7231.68</v>
      </c>
      <c r="N647" t="s">
        <v>1496</v>
      </c>
      <c r="O647" t="s">
        <v>1498</v>
      </c>
      <c r="P647" t="s">
        <v>1501</v>
      </c>
    </row>
    <row r="648" spans="1:16" x14ac:dyDescent="0.3">
      <c r="A648">
        <v>647</v>
      </c>
      <c r="B648" t="s">
        <v>626</v>
      </c>
      <c r="C648">
        <v>1</v>
      </c>
      <c r="D648" s="1">
        <v>45763</v>
      </c>
      <c r="E648" s="1">
        <v>45764</v>
      </c>
      <c r="F648" t="s">
        <v>1230</v>
      </c>
      <c r="G648" t="s">
        <v>1402</v>
      </c>
      <c r="H648" t="s">
        <v>1491</v>
      </c>
      <c r="I648">
        <v>1</v>
      </c>
      <c r="J648" s="2">
        <v>1419.44</v>
      </c>
      <c r="K648" s="3">
        <v>0.15</v>
      </c>
      <c r="L648" s="2">
        <v>1206.52</v>
      </c>
      <c r="M648" s="2">
        <v>-105.98</v>
      </c>
      <c r="N648" t="s">
        <v>1495</v>
      </c>
      <c r="O648" t="s">
        <v>1499</v>
      </c>
      <c r="P648" t="s">
        <v>1501</v>
      </c>
    </row>
    <row r="649" spans="1:16" x14ac:dyDescent="0.3">
      <c r="A649">
        <v>648</v>
      </c>
      <c r="B649" t="s">
        <v>627</v>
      </c>
      <c r="C649">
        <v>1</v>
      </c>
      <c r="D649" s="1">
        <v>45763</v>
      </c>
      <c r="E649" s="1">
        <v>45765</v>
      </c>
      <c r="F649" t="s">
        <v>1005</v>
      </c>
      <c r="G649" t="s">
        <v>1365</v>
      </c>
      <c r="H649" t="s">
        <v>1480</v>
      </c>
      <c r="I649">
        <v>1</v>
      </c>
      <c r="J649" s="2">
        <v>1749.13</v>
      </c>
      <c r="K649" s="3">
        <v>0</v>
      </c>
      <c r="L649" s="2">
        <v>1749.13</v>
      </c>
      <c r="M649" s="2">
        <v>642.97</v>
      </c>
      <c r="N649" t="s">
        <v>1493</v>
      </c>
      <c r="O649" t="s">
        <v>1498</v>
      </c>
      <c r="P649" t="s">
        <v>1501</v>
      </c>
    </row>
    <row r="650" spans="1:16" x14ac:dyDescent="0.3">
      <c r="A650">
        <v>649</v>
      </c>
      <c r="B650" t="s">
        <v>628</v>
      </c>
      <c r="C650">
        <v>1</v>
      </c>
      <c r="D650" s="1">
        <v>45765</v>
      </c>
      <c r="E650" s="1">
        <v>45766</v>
      </c>
      <c r="F650" t="s">
        <v>1202</v>
      </c>
      <c r="G650" t="s">
        <v>1437</v>
      </c>
      <c r="H650" t="s">
        <v>1480</v>
      </c>
      <c r="I650">
        <v>2</v>
      </c>
      <c r="J650" s="2">
        <v>53802.83</v>
      </c>
      <c r="K650" s="3">
        <v>0</v>
      </c>
      <c r="L650" s="2">
        <v>107605.66</v>
      </c>
      <c r="M650" s="2">
        <v>13677.72</v>
      </c>
      <c r="N650" t="s">
        <v>1496</v>
      </c>
      <c r="O650" t="s">
        <v>1498</v>
      </c>
      <c r="P650" t="s">
        <v>1501</v>
      </c>
    </row>
    <row r="651" spans="1:16" x14ac:dyDescent="0.3">
      <c r="A651">
        <v>650</v>
      </c>
      <c r="B651" t="s">
        <v>629</v>
      </c>
      <c r="C651">
        <v>1</v>
      </c>
      <c r="D651" s="1">
        <v>45766</v>
      </c>
      <c r="E651" s="1">
        <v>45767</v>
      </c>
      <c r="F651" t="s">
        <v>1100</v>
      </c>
      <c r="G651" t="s">
        <v>1444</v>
      </c>
      <c r="H651" t="s">
        <v>1481</v>
      </c>
      <c r="I651">
        <v>1</v>
      </c>
      <c r="J651" s="2">
        <v>1054.31</v>
      </c>
      <c r="K651" s="3">
        <v>0.1</v>
      </c>
      <c r="L651" s="2">
        <v>948.88</v>
      </c>
      <c r="M651" s="2">
        <v>205.41</v>
      </c>
      <c r="O651" t="s">
        <v>1499</v>
      </c>
      <c r="P651" t="s">
        <v>1501</v>
      </c>
    </row>
    <row r="652" spans="1:16" x14ac:dyDescent="0.3">
      <c r="A652">
        <v>651</v>
      </c>
      <c r="B652" t="s">
        <v>630</v>
      </c>
      <c r="C652">
        <v>1</v>
      </c>
      <c r="D652" s="1">
        <v>45766</v>
      </c>
      <c r="E652" s="1">
        <v>45768</v>
      </c>
      <c r="F652" t="s">
        <v>1273</v>
      </c>
      <c r="G652" t="s">
        <v>1358</v>
      </c>
      <c r="H652" t="s">
        <v>1480</v>
      </c>
      <c r="I652">
        <v>2</v>
      </c>
      <c r="J652" s="2">
        <v>37487.300000000003</v>
      </c>
      <c r="K652" s="3">
        <v>0</v>
      </c>
      <c r="L652" s="2">
        <v>74974.600000000006</v>
      </c>
      <c r="M652" s="2">
        <v>7207.1</v>
      </c>
      <c r="N652" t="s">
        <v>1496</v>
      </c>
      <c r="O652" t="s">
        <v>1500</v>
      </c>
      <c r="P652" t="s">
        <v>1501</v>
      </c>
    </row>
    <row r="653" spans="1:16" x14ac:dyDescent="0.3">
      <c r="A653">
        <v>652</v>
      </c>
      <c r="B653" t="s">
        <v>631</v>
      </c>
      <c r="C653">
        <v>1</v>
      </c>
      <c r="D653" s="1">
        <v>45767</v>
      </c>
      <c r="E653" s="1">
        <v>45770</v>
      </c>
      <c r="F653" t="s">
        <v>1101</v>
      </c>
      <c r="G653" t="s">
        <v>1372</v>
      </c>
      <c r="H653" t="s">
        <v>1480</v>
      </c>
      <c r="I653">
        <v>1</v>
      </c>
      <c r="J653" s="2">
        <v>22695.17</v>
      </c>
      <c r="K653" s="3">
        <v>0</v>
      </c>
      <c r="L653" s="2">
        <v>22695.17</v>
      </c>
      <c r="M653" s="2">
        <v>3536.01</v>
      </c>
      <c r="O653" t="s">
        <v>1499</v>
      </c>
      <c r="P653" t="s">
        <v>1501</v>
      </c>
    </row>
    <row r="654" spans="1:16" x14ac:dyDescent="0.3">
      <c r="A654">
        <v>653</v>
      </c>
      <c r="B654" t="s">
        <v>632</v>
      </c>
      <c r="C654">
        <v>1</v>
      </c>
      <c r="D654" s="1">
        <v>45768</v>
      </c>
      <c r="E654" s="1">
        <v>45771</v>
      </c>
      <c r="F654" t="s">
        <v>1274</v>
      </c>
      <c r="G654" t="s">
        <v>1372</v>
      </c>
      <c r="H654" t="s">
        <v>1480</v>
      </c>
      <c r="I654">
        <v>1</v>
      </c>
      <c r="J654" s="2">
        <v>22695.17</v>
      </c>
      <c r="K654" s="3">
        <v>0</v>
      </c>
      <c r="L654" s="2">
        <v>22695.17</v>
      </c>
      <c r="M654" s="2">
        <v>3536.01</v>
      </c>
      <c r="N654" t="s">
        <v>1496</v>
      </c>
      <c r="O654" t="s">
        <v>1499</v>
      </c>
      <c r="P654" t="s">
        <v>1501</v>
      </c>
    </row>
    <row r="655" spans="1:16" x14ac:dyDescent="0.3">
      <c r="A655">
        <v>654</v>
      </c>
      <c r="B655" t="s">
        <v>633</v>
      </c>
      <c r="C655">
        <v>2</v>
      </c>
      <c r="D655" s="1">
        <v>45770</v>
      </c>
      <c r="E655" s="1">
        <v>45772</v>
      </c>
      <c r="F655" t="s">
        <v>1210</v>
      </c>
      <c r="G655" t="s">
        <v>1435</v>
      </c>
      <c r="H655" t="s">
        <v>1480</v>
      </c>
      <c r="I655">
        <v>1</v>
      </c>
      <c r="J655" s="2">
        <v>62926.96</v>
      </c>
      <c r="K655" s="3">
        <v>0.1</v>
      </c>
      <c r="L655" s="2">
        <v>56634.26</v>
      </c>
      <c r="M655" s="2">
        <v>2921.78</v>
      </c>
      <c r="N655" t="s">
        <v>1494</v>
      </c>
      <c r="O655" t="s">
        <v>1498</v>
      </c>
      <c r="P655" t="s">
        <v>1502</v>
      </c>
    </row>
    <row r="656" spans="1:16" x14ac:dyDescent="0.3">
      <c r="A656">
        <v>655</v>
      </c>
      <c r="B656" t="s">
        <v>634</v>
      </c>
      <c r="C656">
        <v>1</v>
      </c>
      <c r="D656" s="1">
        <v>45770</v>
      </c>
      <c r="E656" s="1">
        <v>45770</v>
      </c>
      <c r="F656" t="s">
        <v>1096</v>
      </c>
      <c r="G656" t="s">
        <v>1354</v>
      </c>
      <c r="H656" t="s">
        <v>1487</v>
      </c>
      <c r="I656">
        <v>1</v>
      </c>
      <c r="J656" s="2">
        <v>45654.38</v>
      </c>
      <c r="K656" s="3">
        <v>0</v>
      </c>
      <c r="L656" s="2">
        <v>45654.38</v>
      </c>
      <c r="M656" s="2">
        <v>12954.5</v>
      </c>
      <c r="N656" t="s">
        <v>1495</v>
      </c>
      <c r="O656" t="s">
        <v>1498</v>
      </c>
      <c r="P656" t="s">
        <v>1501</v>
      </c>
    </row>
    <row r="657" spans="1:16" x14ac:dyDescent="0.3">
      <c r="A657">
        <v>656</v>
      </c>
      <c r="B657" t="s">
        <v>635</v>
      </c>
      <c r="C657">
        <v>1</v>
      </c>
      <c r="D657" s="1">
        <v>45770</v>
      </c>
      <c r="E657" s="1">
        <v>45772</v>
      </c>
      <c r="F657" t="s">
        <v>1119</v>
      </c>
      <c r="G657" t="s">
        <v>1330</v>
      </c>
      <c r="H657" t="s">
        <v>1480</v>
      </c>
      <c r="I657">
        <v>1</v>
      </c>
      <c r="J657" s="2">
        <v>2393.8200000000002</v>
      </c>
      <c r="K657" s="3">
        <v>0</v>
      </c>
      <c r="L657" s="2">
        <v>2393.8200000000002</v>
      </c>
      <c r="M657" s="2">
        <v>773.87</v>
      </c>
      <c r="N657" t="s">
        <v>1495</v>
      </c>
      <c r="O657" t="s">
        <v>1498</v>
      </c>
      <c r="P657" t="s">
        <v>1501</v>
      </c>
    </row>
    <row r="658" spans="1:16" x14ac:dyDescent="0.3">
      <c r="A658">
        <v>657</v>
      </c>
      <c r="B658" t="s">
        <v>636</v>
      </c>
      <c r="C658">
        <v>1</v>
      </c>
      <c r="D658" s="1">
        <v>45770</v>
      </c>
      <c r="E658" s="1">
        <v>45771</v>
      </c>
      <c r="F658" t="s">
        <v>1236</v>
      </c>
      <c r="G658" t="s">
        <v>1362</v>
      </c>
      <c r="H658" t="s">
        <v>1480</v>
      </c>
      <c r="I658">
        <v>1</v>
      </c>
      <c r="J658" s="2">
        <v>375.5</v>
      </c>
      <c r="K658" s="3">
        <v>0.1</v>
      </c>
      <c r="L658" s="2">
        <v>337.95</v>
      </c>
      <c r="M658" s="2">
        <v>108.6</v>
      </c>
      <c r="N658" t="s">
        <v>1495</v>
      </c>
      <c r="O658" t="s">
        <v>1499</v>
      </c>
      <c r="P658" t="s">
        <v>1501</v>
      </c>
    </row>
    <row r="659" spans="1:16" x14ac:dyDescent="0.3">
      <c r="A659">
        <v>658</v>
      </c>
      <c r="B659" t="s">
        <v>637</v>
      </c>
      <c r="C659">
        <v>1</v>
      </c>
      <c r="D659" s="1">
        <v>45771</v>
      </c>
      <c r="E659" s="1">
        <v>45772</v>
      </c>
      <c r="F659" t="s">
        <v>1124</v>
      </c>
      <c r="G659" t="s">
        <v>1444</v>
      </c>
      <c r="H659" t="s">
        <v>1480</v>
      </c>
      <c r="I659">
        <v>1</v>
      </c>
      <c r="J659" s="2">
        <v>1054.31</v>
      </c>
      <c r="K659" s="3">
        <v>0</v>
      </c>
      <c r="L659" s="2">
        <v>1054.31</v>
      </c>
      <c r="M659" s="2">
        <v>310.83999999999997</v>
      </c>
      <c r="N659" t="s">
        <v>1494</v>
      </c>
      <c r="O659" t="s">
        <v>1498</v>
      </c>
      <c r="P659" t="s">
        <v>1501</v>
      </c>
    </row>
    <row r="660" spans="1:16" x14ac:dyDescent="0.3">
      <c r="A660">
        <v>659</v>
      </c>
      <c r="B660" t="s">
        <v>638</v>
      </c>
      <c r="C660">
        <v>1</v>
      </c>
      <c r="D660" s="1">
        <v>45771</v>
      </c>
      <c r="E660" s="1">
        <v>45772</v>
      </c>
      <c r="F660" t="s">
        <v>1220</v>
      </c>
      <c r="G660" t="s">
        <v>1427</v>
      </c>
      <c r="H660" t="s">
        <v>1480</v>
      </c>
      <c r="I660">
        <v>2</v>
      </c>
      <c r="J660" s="2">
        <v>687.56</v>
      </c>
      <c r="K660" s="3">
        <v>0</v>
      </c>
      <c r="L660" s="2">
        <v>1375.12</v>
      </c>
      <c r="M660" s="2">
        <v>470.26</v>
      </c>
      <c r="N660" t="s">
        <v>1494</v>
      </c>
      <c r="O660" t="s">
        <v>1498</v>
      </c>
      <c r="P660" t="s">
        <v>1501</v>
      </c>
    </row>
    <row r="661" spans="1:16" x14ac:dyDescent="0.3">
      <c r="A661">
        <v>660</v>
      </c>
      <c r="B661" t="s">
        <v>639</v>
      </c>
      <c r="C661">
        <v>1</v>
      </c>
      <c r="D661" s="1">
        <v>45771</v>
      </c>
      <c r="E661" s="1">
        <v>45771</v>
      </c>
      <c r="F661" t="s">
        <v>1275</v>
      </c>
      <c r="G661" t="s">
        <v>1416</v>
      </c>
      <c r="H661" t="s">
        <v>1484</v>
      </c>
      <c r="I661">
        <v>1</v>
      </c>
      <c r="J661" s="2">
        <v>1404.87</v>
      </c>
      <c r="K661" s="3">
        <v>0</v>
      </c>
      <c r="L661" s="2">
        <v>1404.87</v>
      </c>
      <c r="M661" s="2">
        <v>179.87</v>
      </c>
      <c r="N661" t="s">
        <v>1496</v>
      </c>
      <c r="O661" t="s">
        <v>1500</v>
      </c>
      <c r="P661" t="s">
        <v>1501</v>
      </c>
    </row>
    <row r="662" spans="1:16" x14ac:dyDescent="0.3">
      <c r="A662">
        <v>661</v>
      </c>
      <c r="B662" t="s">
        <v>640</v>
      </c>
      <c r="C662">
        <v>1</v>
      </c>
      <c r="D662" s="1">
        <v>45773</v>
      </c>
      <c r="E662" s="1">
        <v>45773</v>
      </c>
      <c r="F662" t="s">
        <v>1276</v>
      </c>
      <c r="G662" t="s">
        <v>1473</v>
      </c>
      <c r="H662" t="s">
        <v>1482</v>
      </c>
      <c r="I662">
        <v>1</v>
      </c>
      <c r="J662" s="2">
        <v>9143.2999999999993</v>
      </c>
      <c r="K662" s="3">
        <v>0</v>
      </c>
      <c r="L662" s="2">
        <v>9143.2999999999993</v>
      </c>
      <c r="M662" s="2">
        <v>1980.95</v>
      </c>
      <c r="N662" t="s">
        <v>1494</v>
      </c>
      <c r="O662" t="s">
        <v>1498</v>
      </c>
      <c r="P662" t="s">
        <v>1501</v>
      </c>
    </row>
    <row r="663" spans="1:16" x14ac:dyDescent="0.3">
      <c r="A663">
        <v>662</v>
      </c>
      <c r="B663" t="s">
        <v>641</v>
      </c>
      <c r="C663">
        <v>1</v>
      </c>
      <c r="D663" s="1">
        <v>45774</v>
      </c>
      <c r="E663" s="1">
        <v>45774</v>
      </c>
      <c r="F663" t="s">
        <v>1044</v>
      </c>
      <c r="G663" t="s">
        <v>1441</v>
      </c>
      <c r="H663" t="s">
        <v>1487</v>
      </c>
      <c r="I663">
        <v>2</v>
      </c>
      <c r="J663" s="2">
        <v>6305.83</v>
      </c>
      <c r="K663" s="3">
        <v>0</v>
      </c>
      <c r="L663" s="2">
        <v>12611.66</v>
      </c>
      <c r="M663" s="2">
        <v>2849.6</v>
      </c>
      <c r="N663" t="s">
        <v>1493</v>
      </c>
      <c r="O663" t="s">
        <v>1498</v>
      </c>
      <c r="P663" t="s">
        <v>1501</v>
      </c>
    </row>
    <row r="664" spans="1:16" x14ac:dyDescent="0.3">
      <c r="A664">
        <v>663</v>
      </c>
      <c r="B664" t="s">
        <v>642</v>
      </c>
      <c r="C664">
        <v>1</v>
      </c>
      <c r="D664" s="1">
        <v>45774</v>
      </c>
      <c r="E664" s="1">
        <v>45774</v>
      </c>
      <c r="F664" t="s">
        <v>1101</v>
      </c>
      <c r="G664" t="s">
        <v>1476</v>
      </c>
      <c r="H664" t="s">
        <v>1491</v>
      </c>
      <c r="I664">
        <v>2</v>
      </c>
      <c r="J664" s="2">
        <v>114.74</v>
      </c>
      <c r="K664" s="3">
        <v>0.15</v>
      </c>
      <c r="L664" s="2">
        <v>195.06</v>
      </c>
      <c r="M664" s="2">
        <v>20.74</v>
      </c>
      <c r="N664" t="s">
        <v>1496</v>
      </c>
      <c r="O664" t="s">
        <v>1499</v>
      </c>
      <c r="P664" t="s">
        <v>1501</v>
      </c>
    </row>
    <row r="665" spans="1:16" x14ac:dyDescent="0.3">
      <c r="A665">
        <v>664</v>
      </c>
      <c r="B665" t="s">
        <v>643</v>
      </c>
      <c r="C665">
        <v>1</v>
      </c>
      <c r="D665" s="1">
        <v>45775</v>
      </c>
      <c r="E665" s="1">
        <v>45777</v>
      </c>
      <c r="F665" t="s">
        <v>1066</v>
      </c>
      <c r="G665" t="s">
        <v>1414</v>
      </c>
      <c r="H665" t="s">
        <v>1480</v>
      </c>
      <c r="I665">
        <v>1</v>
      </c>
      <c r="J665" s="2">
        <v>20329.61</v>
      </c>
      <c r="K665" s="3">
        <v>0</v>
      </c>
      <c r="L665" s="2">
        <v>20329.61</v>
      </c>
      <c r="M665" s="2">
        <v>4962.38</v>
      </c>
      <c r="N665" t="s">
        <v>1497</v>
      </c>
      <c r="O665" t="s">
        <v>1498</v>
      </c>
      <c r="P665" t="s">
        <v>1501</v>
      </c>
    </row>
    <row r="666" spans="1:16" x14ac:dyDescent="0.3">
      <c r="A666">
        <v>665</v>
      </c>
      <c r="B666" t="s">
        <v>644</v>
      </c>
      <c r="C666">
        <v>1</v>
      </c>
      <c r="D666" s="1">
        <v>45777</v>
      </c>
      <c r="E666" s="1">
        <v>45777</v>
      </c>
      <c r="F666" t="s">
        <v>1277</v>
      </c>
      <c r="G666" t="s">
        <v>1340</v>
      </c>
      <c r="H666" t="s">
        <v>1483</v>
      </c>
      <c r="I666">
        <v>1</v>
      </c>
      <c r="J666" s="2">
        <v>5570.6</v>
      </c>
      <c r="K666" s="3">
        <v>0.15</v>
      </c>
      <c r="L666" s="2">
        <v>4735.01</v>
      </c>
      <c r="M666" s="2">
        <v>667.48</v>
      </c>
      <c r="N666" t="s">
        <v>1495</v>
      </c>
      <c r="O666" t="s">
        <v>1500</v>
      </c>
      <c r="P666" t="s">
        <v>1501</v>
      </c>
    </row>
    <row r="667" spans="1:16" x14ac:dyDescent="0.3">
      <c r="A667">
        <v>666</v>
      </c>
      <c r="B667" t="s">
        <v>645</v>
      </c>
      <c r="C667">
        <v>1</v>
      </c>
      <c r="D667" s="1">
        <v>45777</v>
      </c>
      <c r="E667" s="1">
        <v>45780</v>
      </c>
      <c r="F667" t="s">
        <v>1091</v>
      </c>
      <c r="G667" t="s">
        <v>1464</v>
      </c>
      <c r="H667" t="s">
        <v>1480</v>
      </c>
      <c r="I667">
        <v>1</v>
      </c>
      <c r="J667" s="2">
        <v>575.37</v>
      </c>
      <c r="K667" s="3">
        <v>0</v>
      </c>
      <c r="L667" s="2">
        <v>575.37</v>
      </c>
      <c r="M667" s="2">
        <v>180.95</v>
      </c>
      <c r="N667" t="s">
        <v>1496</v>
      </c>
      <c r="O667" t="s">
        <v>1498</v>
      </c>
      <c r="P667" t="s">
        <v>1501</v>
      </c>
    </row>
    <row r="668" spans="1:16" x14ac:dyDescent="0.3">
      <c r="A668">
        <v>667</v>
      </c>
      <c r="B668" t="s">
        <v>646</v>
      </c>
      <c r="C668">
        <v>1</v>
      </c>
      <c r="D668" s="1">
        <v>45777</v>
      </c>
      <c r="E668" s="1">
        <v>45778</v>
      </c>
      <c r="F668" t="s">
        <v>1112</v>
      </c>
      <c r="G668" t="s">
        <v>1373</v>
      </c>
      <c r="H668" t="s">
        <v>1481</v>
      </c>
      <c r="I668">
        <v>1</v>
      </c>
      <c r="J668" s="2">
        <v>1404.85</v>
      </c>
      <c r="K668" s="3">
        <v>0</v>
      </c>
      <c r="L668" s="2">
        <v>1404.85</v>
      </c>
      <c r="M668" s="2">
        <v>131.76</v>
      </c>
      <c r="N668" t="s">
        <v>1496</v>
      </c>
      <c r="O668" t="s">
        <v>1500</v>
      </c>
      <c r="P668" t="s">
        <v>1501</v>
      </c>
    </row>
    <row r="669" spans="1:16" x14ac:dyDescent="0.3">
      <c r="A669">
        <v>668</v>
      </c>
      <c r="B669" t="s">
        <v>647</v>
      </c>
      <c r="C669">
        <v>2</v>
      </c>
      <c r="D669" s="1">
        <v>45777</v>
      </c>
      <c r="E669" s="1">
        <v>45780</v>
      </c>
      <c r="F669" t="s">
        <v>1221</v>
      </c>
      <c r="G669" t="s">
        <v>1474</v>
      </c>
      <c r="H669" t="s">
        <v>1480</v>
      </c>
      <c r="I669">
        <v>1</v>
      </c>
      <c r="J669" s="2">
        <v>12355.9</v>
      </c>
      <c r="K669" s="3">
        <v>0</v>
      </c>
      <c r="L669" s="2">
        <v>12355.9</v>
      </c>
      <c r="M669" s="2">
        <v>2795.37</v>
      </c>
      <c r="N669" t="s">
        <v>1496</v>
      </c>
      <c r="O669" t="s">
        <v>1498</v>
      </c>
      <c r="P669" t="s">
        <v>1501</v>
      </c>
    </row>
    <row r="670" spans="1:16" x14ac:dyDescent="0.3">
      <c r="A670">
        <v>669</v>
      </c>
      <c r="B670" t="s">
        <v>648</v>
      </c>
      <c r="C670">
        <v>1</v>
      </c>
      <c r="D670" s="1">
        <v>45779</v>
      </c>
      <c r="E670" s="1">
        <v>45779</v>
      </c>
      <c r="F670" t="s">
        <v>1278</v>
      </c>
      <c r="G670" t="s">
        <v>1417</v>
      </c>
      <c r="H670" t="s">
        <v>1487</v>
      </c>
      <c r="I670">
        <v>1</v>
      </c>
      <c r="J670" s="2">
        <v>1497.68</v>
      </c>
      <c r="K670" s="3">
        <v>0</v>
      </c>
      <c r="L670" s="2">
        <v>1497.68</v>
      </c>
      <c r="M670" s="2">
        <v>174.58</v>
      </c>
      <c r="N670" t="s">
        <v>1496</v>
      </c>
      <c r="O670" t="s">
        <v>1499</v>
      </c>
      <c r="P670" t="s">
        <v>1501</v>
      </c>
    </row>
    <row r="671" spans="1:16" x14ac:dyDescent="0.3">
      <c r="A671">
        <v>670</v>
      </c>
      <c r="B671" t="s">
        <v>649</v>
      </c>
      <c r="C671">
        <v>1</v>
      </c>
      <c r="D671" s="1">
        <v>45780</v>
      </c>
      <c r="E671" s="1">
        <v>45782</v>
      </c>
      <c r="F671" t="s">
        <v>1009</v>
      </c>
      <c r="G671" t="s">
        <v>1456</v>
      </c>
      <c r="H671" t="s">
        <v>1480</v>
      </c>
      <c r="I671">
        <v>1</v>
      </c>
      <c r="J671" s="2">
        <v>43108.17</v>
      </c>
      <c r="K671" s="3">
        <v>0</v>
      </c>
      <c r="L671" s="2">
        <v>43108.17</v>
      </c>
      <c r="M671" s="2">
        <v>7530.62</v>
      </c>
      <c r="N671" t="s">
        <v>1496</v>
      </c>
      <c r="O671" t="s">
        <v>1498</v>
      </c>
      <c r="P671" t="s">
        <v>1501</v>
      </c>
    </row>
    <row r="672" spans="1:16" x14ac:dyDescent="0.3">
      <c r="A672">
        <v>671</v>
      </c>
      <c r="B672" t="s">
        <v>650</v>
      </c>
      <c r="C672">
        <v>1</v>
      </c>
      <c r="D672" s="1">
        <v>45781</v>
      </c>
      <c r="E672" s="1">
        <v>45784</v>
      </c>
      <c r="F672" t="s">
        <v>1075</v>
      </c>
      <c r="G672" t="s">
        <v>1473</v>
      </c>
      <c r="H672" t="s">
        <v>1480</v>
      </c>
      <c r="I672">
        <v>1</v>
      </c>
      <c r="J672" s="2">
        <v>9143.2999999999993</v>
      </c>
      <c r="K672" s="3">
        <v>0</v>
      </c>
      <c r="L672" s="2">
        <v>9143.2999999999993</v>
      </c>
      <c r="M672" s="2">
        <v>1980.95</v>
      </c>
      <c r="N672" t="s">
        <v>1496</v>
      </c>
      <c r="O672" t="s">
        <v>1499</v>
      </c>
      <c r="P672" t="s">
        <v>1501</v>
      </c>
    </row>
    <row r="673" spans="1:16" x14ac:dyDescent="0.3">
      <c r="A673">
        <v>672</v>
      </c>
      <c r="B673" t="s">
        <v>651</v>
      </c>
      <c r="C673">
        <v>1</v>
      </c>
      <c r="D673" s="1">
        <v>45784</v>
      </c>
      <c r="E673" s="1">
        <v>45785</v>
      </c>
      <c r="F673" t="s">
        <v>1275</v>
      </c>
      <c r="G673" t="s">
        <v>1437</v>
      </c>
      <c r="H673" t="s">
        <v>1484</v>
      </c>
      <c r="I673">
        <v>2</v>
      </c>
      <c r="J673" s="2">
        <v>53802.83</v>
      </c>
      <c r="K673" s="3">
        <v>0</v>
      </c>
      <c r="L673" s="2">
        <v>107605.66</v>
      </c>
      <c r="M673" s="2">
        <v>13677.72</v>
      </c>
      <c r="N673" t="s">
        <v>1497</v>
      </c>
      <c r="O673" t="s">
        <v>1498</v>
      </c>
      <c r="P673" t="s">
        <v>1501</v>
      </c>
    </row>
    <row r="674" spans="1:16" x14ac:dyDescent="0.3">
      <c r="A674">
        <v>673</v>
      </c>
      <c r="B674" t="s">
        <v>652</v>
      </c>
      <c r="C674">
        <v>2</v>
      </c>
      <c r="D674" s="1">
        <v>45790</v>
      </c>
      <c r="E674" s="1">
        <v>45791</v>
      </c>
      <c r="F674" t="s">
        <v>1079</v>
      </c>
      <c r="G674" t="s">
        <v>1424</v>
      </c>
      <c r="H674" t="s">
        <v>1480</v>
      </c>
      <c r="I674">
        <v>1</v>
      </c>
      <c r="J674" s="2">
        <v>31609.79</v>
      </c>
      <c r="K674" s="3">
        <v>0</v>
      </c>
      <c r="L674" s="2">
        <v>31609.79</v>
      </c>
      <c r="M674" s="2">
        <v>3440.18</v>
      </c>
      <c r="N674" t="s">
        <v>1495</v>
      </c>
      <c r="O674" t="s">
        <v>1499</v>
      </c>
      <c r="P674" t="s">
        <v>1502</v>
      </c>
    </row>
    <row r="675" spans="1:16" x14ac:dyDescent="0.3">
      <c r="A675">
        <v>674</v>
      </c>
      <c r="B675" t="s">
        <v>653</v>
      </c>
      <c r="C675">
        <v>1</v>
      </c>
      <c r="D675" s="1">
        <v>45790</v>
      </c>
      <c r="F675" t="s">
        <v>1059</v>
      </c>
      <c r="G675" t="s">
        <v>1333</v>
      </c>
      <c r="H675" t="s">
        <v>1478</v>
      </c>
      <c r="I675">
        <v>4</v>
      </c>
      <c r="J675" s="2">
        <v>16375.46</v>
      </c>
      <c r="K675" s="3">
        <v>0.1</v>
      </c>
      <c r="L675" s="2">
        <v>58951.66</v>
      </c>
      <c r="M675" s="2">
        <v>1747.06</v>
      </c>
      <c r="N675" t="s">
        <v>1493</v>
      </c>
      <c r="O675" t="s">
        <v>1499</v>
      </c>
      <c r="P675" t="s">
        <v>1503</v>
      </c>
    </row>
    <row r="676" spans="1:16" x14ac:dyDescent="0.3">
      <c r="A676">
        <v>675</v>
      </c>
      <c r="B676" t="s">
        <v>654</v>
      </c>
      <c r="C676">
        <v>2</v>
      </c>
      <c r="D676" s="1">
        <v>45791</v>
      </c>
      <c r="E676" s="1">
        <v>45792</v>
      </c>
      <c r="F676" t="s">
        <v>1067</v>
      </c>
      <c r="G676" t="s">
        <v>1421</v>
      </c>
      <c r="H676" t="s">
        <v>1480</v>
      </c>
      <c r="I676">
        <v>1</v>
      </c>
      <c r="J676" s="2">
        <v>227.54</v>
      </c>
      <c r="K676" s="3">
        <v>0</v>
      </c>
      <c r="L676" s="2">
        <v>227.54</v>
      </c>
      <c r="M676" s="2">
        <v>33.200000000000003</v>
      </c>
      <c r="N676" t="s">
        <v>1494</v>
      </c>
      <c r="O676" t="s">
        <v>1499</v>
      </c>
      <c r="P676" t="s">
        <v>1501</v>
      </c>
    </row>
    <row r="677" spans="1:16" x14ac:dyDescent="0.3">
      <c r="A677">
        <v>676</v>
      </c>
      <c r="B677" t="s">
        <v>655</v>
      </c>
      <c r="C677">
        <v>1</v>
      </c>
      <c r="D677" s="1">
        <v>45792</v>
      </c>
      <c r="E677" s="1">
        <v>45793</v>
      </c>
      <c r="F677" t="s">
        <v>1082</v>
      </c>
      <c r="G677" t="s">
        <v>1354</v>
      </c>
      <c r="H677" t="s">
        <v>1479</v>
      </c>
      <c r="I677">
        <v>1</v>
      </c>
      <c r="J677" s="2">
        <v>45654.38</v>
      </c>
      <c r="K677" s="3">
        <v>0</v>
      </c>
      <c r="L677" s="2">
        <v>45654.38</v>
      </c>
      <c r="M677" s="2">
        <v>12954.5</v>
      </c>
      <c r="N677" t="s">
        <v>1496</v>
      </c>
      <c r="O677" t="s">
        <v>1500</v>
      </c>
      <c r="P677" t="s">
        <v>1501</v>
      </c>
    </row>
    <row r="678" spans="1:16" x14ac:dyDescent="0.3">
      <c r="A678">
        <v>677</v>
      </c>
      <c r="B678" t="s">
        <v>656</v>
      </c>
      <c r="C678">
        <v>1</v>
      </c>
      <c r="D678" s="1">
        <v>45792</v>
      </c>
      <c r="E678" s="1">
        <v>45793</v>
      </c>
      <c r="F678" t="s">
        <v>1083</v>
      </c>
      <c r="G678" t="s">
        <v>1367</v>
      </c>
      <c r="H678" t="s">
        <v>1479</v>
      </c>
      <c r="I678">
        <v>1</v>
      </c>
      <c r="J678" s="2">
        <v>27891.1</v>
      </c>
      <c r="K678" s="3">
        <v>0</v>
      </c>
      <c r="L678" s="2">
        <v>27891.1</v>
      </c>
      <c r="M678" s="2">
        <v>7842.54</v>
      </c>
      <c r="N678" t="s">
        <v>1496</v>
      </c>
      <c r="O678" t="s">
        <v>1498</v>
      </c>
      <c r="P678" t="s">
        <v>1501</v>
      </c>
    </row>
    <row r="679" spans="1:16" x14ac:dyDescent="0.3">
      <c r="A679">
        <v>678</v>
      </c>
      <c r="B679" t="s">
        <v>657</v>
      </c>
      <c r="C679">
        <v>1</v>
      </c>
      <c r="D679" s="1">
        <v>45795</v>
      </c>
      <c r="E679" s="1">
        <v>45796</v>
      </c>
      <c r="F679" t="s">
        <v>1225</v>
      </c>
      <c r="G679" t="s">
        <v>1340</v>
      </c>
      <c r="H679" t="s">
        <v>1490</v>
      </c>
      <c r="I679">
        <v>2</v>
      </c>
      <c r="J679" s="2">
        <v>5570.6</v>
      </c>
      <c r="K679" s="3">
        <v>0.05</v>
      </c>
      <c r="L679" s="2">
        <v>10584.14</v>
      </c>
      <c r="M679" s="2">
        <v>2449.08</v>
      </c>
      <c r="N679" t="s">
        <v>1494</v>
      </c>
      <c r="O679" t="s">
        <v>1498</v>
      </c>
      <c r="P679" t="s">
        <v>1501</v>
      </c>
    </row>
    <row r="680" spans="1:16" x14ac:dyDescent="0.3">
      <c r="A680">
        <v>679</v>
      </c>
      <c r="B680" t="s">
        <v>658</v>
      </c>
      <c r="C680">
        <v>1</v>
      </c>
      <c r="D680" s="1">
        <v>45798</v>
      </c>
      <c r="E680" s="1">
        <v>45800</v>
      </c>
      <c r="F680" t="s">
        <v>1131</v>
      </c>
      <c r="G680" t="s">
        <v>1445</v>
      </c>
      <c r="H680" t="s">
        <v>1480</v>
      </c>
      <c r="I680">
        <v>1</v>
      </c>
      <c r="J680" s="2">
        <v>516.78</v>
      </c>
      <c r="K680" s="3">
        <v>0</v>
      </c>
      <c r="L680" s="2">
        <v>516.78</v>
      </c>
      <c r="M680" s="2">
        <v>72.260000000000005</v>
      </c>
      <c r="N680" t="s">
        <v>1495</v>
      </c>
      <c r="O680" t="s">
        <v>1499</v>
      </c>
      <c r="P680" t="s">
        <v>1501</v>
      </c>
    </row>
    <row r="681" spans="1:16" x14ac:dyDescent="0.3">
      <c r="A681">
        <v>680</v>
      </c>
      <c r="B681" t="s">
        <v>659</v>
      </c>
      <c r="C681">
        <v>1</v>
      </c>
      <c r="D681" s="1">
        <v>45799</v>
      </c>
      <c r="E681" s="1">
        <v>45799</v>
      </c>
      <c r="F681" t="s">
        <v>1007</v>
      </c>
      <c r="G681" t="s">
        <v>1475</v>
      </c>
      <c r="H681" t="s">
        <v>1491</v>
      </c>
      <c r="I681">
        <v>2</v>
      </c>
      <c r="J681" s="2">
        <v>1132.19</v>
      </c>
      <c r="K681" s="3">
        <v>0</v>
      </c>
      <c r="L681" s="2">
        <v>2264.38</v>
      </c>
      <c r="M681" s="2">
        <v>939.56</v>
      </c>
      <c r="N681" t="s">
        <v>1496</v>
      </c>
      <c r="O681" t="s">
        <v>1499</v>
      </c>
      <c r="P681" t="s">
        <v>1501</v>
      </c>
    </row>
    <row r="682" spans="1:16" x14ac:dyDescent="0.3">
      <c r="A682">
        <v>681</v>
      </c>
      <c r="B682" t="s">
        <v>660</v>
      </c>
      <c r="C682">
        <v>1</v>
      </c>
      <c r="D682" s="1">
        <v>45799</v>
      </c>
      <c r="E682" s="1">
        <v>45799</v>
      </c>
      <c r="F682" t="s">
        <v>1279</v>
      </c>
      <c r="G682" t="s">
        <v>1402</v>
      </c>
      <c r="H682" t="s">
        <v>1478</v>
      </c>
      <c r="I682">
        <v>1</v>
      </c>
      <c r="J682" s="2">
        <v>1419.44</v>
      </c>
      <c r="K682" s="3">
        <v>0</v>
      </c>
      <c r="L682" s="2">
        <v>1419.44</v>
      </c>
      <c r="M682" s="2">
        <v>106.94</v>
      </c>
      <c r="N682" t="s">
        <v>1493</v>
      </c>
      <c r="O682" t="s">
        <v>1498</v>
      </c>
      <c r="P682" t="s">
        <v>1501</v>
      </c>
    </row>
    <row r="683" spans="1:16" x14ac:dyDescent="0.3">
      <c r="A683">
        <v>682</v>
      </c>
      <c r="B683" t="s">
        <v>661</v>
      </c>
      <c r="C683">
        <v>2</v>
      </c>
      <c r="D683" s="1">
        <v>45799</v>
      </c>
      <c r="E683" s="1">
        <v>45799</v>
      </c>
      <c r="F683" t="s">
        <v>993</v>
      </c>
      <c r="G683" t="s">
        <v>1392</v>
      </c>
      <c r="H683" t="s">
        <v>1478</v>
      </c>
      <c r="I683">
        <v>1</v>
      </c>
      <c r="J683" s="2">
        <v>17688.330000000002</v>
      </c>
      <c r="K683" s="3">
        <v>0</v>
      </c>
      <c r="L683" s="2">
        <v>17688.330000000002</v>
      </c>
      <c r="M683" s="2">
        <v>2903.89</v>
      </c>
      <c r="N683" t="s">
        <v>1496</v>
      </c>
      <c r="O683" t="s">
        <v>1498</v>
      </c>
      <c r="P683" t="s">
        <v>1501</v>
      </c>
    </row>
    <row r="684" spans="1:16" x14ac:dyDescent="0.3">
      <c r="A684">
        <v>683</v>
      </c>
      <c r="B684" t="s">
        <v>662</v>
      </c>
      <c r="C684">
        <v>2</v>
      </c>
      <c r="D684" s="1">
        <v>45799</v>
      </c>
      <c r="E684" s="1">
        <v>45800</v>
      </c>
      <c r="F684" t="s">
        <v>1280</v>
      </c>
      <c r="G684" t="s">
        <v>1437</v>
      </c>
      <c r="H684" t="s">
        <v>1483</v>
      </c>
      <c r="I684">
        <v>1</v>
      </c>
      <c r="J684" s="2">
        <v>53802.83</v>
      </c>
      <c r="K684" s="3">
        <v>0</v>
      </c>
      <c r="L684" s="2">
        <v>53802.83</v>
      </c>
      <c r="M684" s="2">
        <v>6838.86</v>
      </c>
      <c r="N684" t="s">
        <v>1494</v>
      </c>
      <c r="O684" t="s">
        <v>1499</v>
      </c>
      <c r="P684" t="s">
        <v>1501</v>
      </c>
    </row>
    <row r="685" spans="1:16" x14ac:dyDescent="0.3">
      <c r="A685">
        <v>684</v>
      </c>
      <c r="B685" t="s">
        <v>663</v>
      </c>
      <c r="C685">
        <v>1</v>
      </c>
      <c r="D685" s="1">
        <v>45800</v>
      </c>
      <c r="E685" s="1">
        <v>45800</v>
      </c>
      <c r="F685" t="s">
        <v>1170</v>
      </c>
      <c r="G685" t="s">
        <v>1353</v>
      </c>
      <c r="H685" t="s">
        <v>1479</v>
      </c>
      <c r="I685">
        <v>1</v>
      </c>
      <c r="J685" s="2">
        <v>370.27</v>
      </c>
      <c r="K685" s="3">
        <v>0</v>
      </c>
      <c r="L685" s="2">
        <v>370.27</v>
      </c>
      <c r="M685" s="2">
        <v>131.58000000000001</v>
      </c>
      <c r="N685" t="s">
        <v>1497</v>
      </c>
      <c r="O685" t="s">
        <v>1498</v>
      </c>
      <c r="P685" t="s">
        <v>1501</v>
      </c>
    </row>
    <row r="686" spans="1:16" x14ac:dyDescent="0.3">
      <c r="A686">
        <v>685</v>
      </c>
      <c r="B686" t="s">
        <v>664</v>
      </c>
      <c r="C686">
        <v>1</v>
      </c>
      <c r="D686" s="1">
        <v>45801</v>
      </c>
      <c r="E686" s="1">
        <v>45803</v>
      </c>
      <c r="F686" t="s">
        <v>1185</v>
      </c>
      <c r="G686" t="s">
        <v>1429</v>
      </c>
      <c r="H686" t="s">
        <v>1480</v>
      </c>
      <c r="I686">
        <v>2</v>
      </c>
      <c r="J686" s="2">
        <v>63166.03</v>
      </c>
      <c r="K686" s="3">
        <v>0</v>
      </c>
      <c r="L686" s="2">
        <v>126332.06</v>
      </c>
      <c r="M686" s="2">
        <v>18505.759999999998</v>
      </c>
      <c r="N686" t="s">
        <v>1493</v>
      </c>
      <c r="O686" t="s">
        <v>1499</v>
      </c>
      <c r="P686" t="s">
        <v>1501</v>
      </c>
    </row>
    <row r="687" spans="1:16" x14ac:dyDescent="0.3">
      <c r="A687">
        <v>686</v>
      </c>
      <c r="B687" t="s">
        <v>665</v>
      </c>
      <c r="C687">
        <v>1</v>
      </c>
      <c r="D687" s="1">
        <v>45802</v>
      </c>
      <c r="E687" s="1">
        <v>45803</v>
      </c>
      <c r="F687" t="s">
        <v>1143</v>
      </c>
      <c r="G687" t="s">
        <v>1336</v>
      </c>
      <c r="H687" t="s">
        <v>1485</v>
      </c>
      <c r="I687">
        <v>1</v>
      </c>
      <c r="J687" s="2">
        <v>18469.3</v>
      </c>
      <c r="K687" s="3">
        <v>0</v>
      </c>
      <c r="L687" s="2">
        <v>18469.3</v>
      </c>
      <c r="M687" s="2">
        <v>4898.66</v>
      </c>
      <c r="N687" t="s">
        <v>1495</v>
      </c>
      <c r="O687" t="s">
        <v>1499</v>
      </c>
      <c r="P687" t="s">
        <v>1501</v>
      </c>
    </row>
    <row r="688" spans="1:16" x14ac:dyDescent="0.3">
      <c r="A688">
        <v>687</v>
      </c>
      <c r="B688" t="s">
        <v>666</v>
      </c>
      <c r="C688">
        <v>1</v>
      </c>
      <c r="D688" s="1">
        <v>45803</v>
      </c>
      <c r="E688" s="1">
        <v>45805</v>
      </c>
      <c r="F688" t="s">
        <v>1092</v>
      </c>
      <c r="G688" t="s">
        <v>1414</v>
      </c>
      <c r="H688" t="s">
        <v>1480</v>
      </c>
      <c r="I688">
        <v>4</v>
      </c>
      <c r="J688" s="2">
        <v>20329.61</v>
      </c>
      <c r="K688" s="3">
        <v>0</v>
      </c>
      <c r="L688" s="2">
        <v>81318.44</v>
      </c>
      <c r="M688" s="2">
        <v>19849.52</v>
      </c>
      <c r="N688" t="s">
        <v>1494</v>
      </c>
      <c r="O688" t="s">
        <v>1498</v>
      </c>
      <c r="P688" t="s">
        <v>1501</v>
      </c>
    </row>
    <row r="689" spans="1:16" x14ac:dyDescent="0.3">
      <c r="A689">
        <v>688</v>
      </c>
      <c r="B689" t="s">
        <v>667</v>
      </c>
      <c r="C689">
        <v>1</v>
      </c>
      <c r="D689" s="1">
        <v>45805</v>
      </c>
      <c r="E689" s="1">
        <v>45808</v>
      </c>
      <c r="F689" t="s">
        <v>1281</v>
      </c>
      <c r="G689" t="s">
        <v>1411</v>
      </c>
      <c r="H689" t="s">
        <v>1480</v>
      </c>
      <c r="I689">
        <v>1</v>
      </c>
      <c r="J689" s="2">
        <v>65997.17</v>
      </c>
      <c r="K689" s="3">
        <v>0</v>
      </c>
      <c r="L689" s="2">
        <v>65997.17</v>
      </c>
      <c r="M689" s="2">
        <v>8206.18</v>
      </c>
      <c r="N689" t="s">
        <v>1493</v>
      </c>
      <c r="O689" t="s">
        <v>1500</v>
      </c>
      <c r="P689" t="s">
        <v>1501</v>
      </c>
    </row>
    <row r="690" spans="1:16" x14ac:dyDescent="0.3">
      <c r="A690">
        <v>689</v>
      </c>
      <c r="B690" t="s">
        <v>668</v>
      </c>
      <c r="C690">
        <v>1</v>
      </c>
      <c r="D690" s="1">
        <v>45807</v>
      </c>
      <c r="E690" s="1">
        <v>45809</v>
      </c>
      <c r="F690" t="s">
        <v>1017</v>
      </c>
      <c r="G690" t="s">
        <v>1447</v>
      </c>
      <c r="H690" t="s">
        <v>1480</v>
      </c>
      <c r="I690">
        <v>2</v>
      </c>
      <c r="J690" s="2">
        <v>4260.03</v>
      </c>
      <c r="K690" s="3">
        <v>0</v>
      </c>
      <c r="L690" s="2">
        <v>8520.06</v>
      </c>
      <c r="M690" s="2">
        <v>1461.76</v>
      </c>
      <c r="N690" t="s">
        <v>1496</v>
      </c>
      <c r="O690" t="s">
        <v>1499</v>
      </c>
      <c r="P690" t="s">
        <v>1502</v>
      </c>
    </row>
    <row r="691" spans="1:16" x14ac:dyDescent="0.3">
      <c r="A691">
        <v>690</v>
      </c>
      <c r="B691" t="s">
        <v>669</v>
      </c>
      <c r="C691">
        <v>1</v>
      </c>
      <c r="D691" s="1">
        <v>45809</v>
      </c>
      <c r="E691" s="1">
        <v>45812</v>
      </c>
      <c r="F691" t="s">
        <v>1172</v>
      </c>
      <c r="G691" t="s">
        <v>1435</v>
      </c>
      <c r="H691" t="s">
        <v>1480</v>
      </c>
      <c r="I691">
        <v>2</v>
      </c>
      <c r="J691" s="2">
        <v>62926.96</v>
      </c>
      <c r="K691" s="3">
        <v>0</v>
      </c>
      <c r="L691" s="2">
        <v>125853.92</v>
      </c>
      <c r="M691" s="2">
        <v>18428.96</v>
      </c>
      <c r="N691" t="s">
        <v>1494</v>
      </c>
      <c r="O691" t="s">
        <v>1498</v>
      </c>
      <c r="P691" t="s">
        <v>1501</v>
      </c>
    </row>
    <row r="692" spans="1:16" x14ac:dyDescent="0.3">
      <c r="A692">
        <v>691</v>
      </c>
      <c r="B692" t="s">
        <v>670</v>
      </c>
      <c r="C692">
        <v>2</v>
      </c>
      <c r="D692" s="1">
        <v>45810</v>
      </c>
      <c r="E692" s="1">
        <v>45811</v>
      </c>
      <c r="F692" t="s">
        <v>1247</v>
      </c>
      <c r="G692" t="s">
        <v>1441</v>
      </c>
      <c r="H692" t="s">
        <v>1484</v>
      </c>
      <c r="I692">
        <v>1</v>
      </c>
      <c r="J692" s="2">
        <v>6305.83</v>
      </c>
      <c r="K692" s="3">
        <v>0.2</v>
      </c>
      <c r="L692" s="2">
        <v>5044.66</v>
      </c>
      <c r="M692" s="2">
        <v>163.63</v>
      </c>
      <c r="N692" t="s">
        <v>1496</v>
      </c>
      <c r="O692" t="s">
        <v>1499</v>
      </c>
      <c r="P692" t="s">
        <v>1501</v>
      </c>
    </row>
    <row r="693" spans="1:16" x14ac:dyDescent="0.3">
      <c r="A693">
        <v>692</v>
      </c>
      <c r="B693" t="s">
        <v>671</v>
      </c>
      <c r="C693">
        <v>1</v>
      </c>
      <c r="D693" s="1">
        <v>45810</v>
      </c>
      <c r="E693" s="1">
        <v>45813</v>
      </c>
      <c r="F693" t="s">
        <v>1127</v>
      </c>
      <c r="G693" t="s">
        <v>1363</v>
      </c>
      <c r="H693" t="s">
        <v>1480</v>
      </c>
      <c r="I693">
        <v>1</v>
      </c>
      <c r="J693" s="2">
        <v>23041.22</v>
      </c>
      <c r="K693" s="3">
        <v>0.15</v>
      </c>
      <c r="L693" s="2">
        <v>19585.04</v>
      </c>
      <c r="M693" s="2">
        <v>1508.56</v>
      </c>
      <c r="N693" t="s">
        <v>1494</v>
      </c>
      <c r="O693" t="s">
        <v>1498</v>
      </c>
      <c r="P693" t="s">
        <v>1502</v>
      </c>
    </row>
    <row r="694" spans="1:16" x14ac:dyDescent="0.3">
      <c r="A694">
        <v>693</v>
      </c>
      <c r="B694" t="s">
        <v>672</v>
      </c>
      <c r="C694">
        <v>1</v>
      </c>
      <c r="D694" s="1">
        <v>45813</v>
      </c>
      <c r="E694" s="1">
        <v>45815</v>
      </c>
      <c r="F694" t="s">
        <v>1222</v>
      </c>
      <c r="G694" t="s">
        <v>1432</v>
      </c>
      <c r="H694" t="s">
        <v>1480</v>
      </c>
      <c r="I694">
        <v>2</v>
      </c>
      <c r="J694" s="2">
        <v>2490.0500000000002</v>
      </c>
      <c r="K694" s="3">
        <v>0.2</v>
      </c>
      <c r="L694" s="2">
        <v>3984.08</v>
      </c>
      <c r="M694" s="2">
        <v>165.48</v>
      </c>
      <c r="N694" t="s">
        <v>1496</v>
      </c>
      <c r="O694" t="s">
        <v>1499</v>
      </c>
      <c r="P694" t="s">
        <v>1501</v>
      </c>
    </row>
    <row r="695" spans="1:16" x14ac:dyDescent="0.3">
      <c r="A695">
        <v>694</v>
      </c>
      <c r="B695" t="s">
        <v>673</v>
      </c>
      <c r="C695">
        <v>1</v>
      </c>
      <c r="D695" s="1">
        <v>45813</v>
      </c>
      <c r="E695" s="1">
        <v>45814</v>
      </c>
      <c r="F695" t="s">
        <v>1282</v>
      </c>
      <c r="G695" t="s">
        <v>1463</v>
      </c>
      <c r="H695" t="s">
        <v>1480</v>
      </c>
      <c r="I695">
        <v>1</v>
      </c>
      <c r="J695" s="2">
        <v>2936.96</v>
      </c>
      <c r="K695" s="3">
        <v>0.1</v>
      </c>
      <c r="L695" s="2">
        <v>2643.26</v>
      </c>
      <c r="M695" s="2">
        <v>666.74</v>
      </c>
      <c r="N695" t="s">
        <v>1496</v>
      </c>
      <c r="O695" t="s">
        <v>1498</v>
      </c>
      <c r="P695" t="s">
        <v>1501</v>
      </c>
    </row>
    <row r="696" spans="1:16" x14ac:dyDescent="0.3">
      <c r="A696">
        <v>695</v>
      </c>
      <c r="B696" t="s">
        <v>674</v>
      </c>
      <c r="C696">
        <v>3</v>
      </c>
      <c r="D696" s="1">
        <v>45814</v>
      </c>
      <c r="E696" s="1">
        <v>45814</v>
      </c>
      <c r="F696" t="s">
        <v>969</v>
      </c>
      <c r="G696" t="s">
        <v>1362</v>
      </c>
      <c r="H696" t="s">
        <v>1481</v>
      </c>
      <c r="I696">
        <v>3</v>
      </c>
      <c r="J696" s="2">
        <v>375.5</v>
      </c>
      <c r="K696" s="3">
        <v>0</v>
      </c>
      <c r="L696" s="2">
        <v>1126.5</v>
      </c>
      <c r="M696" s="2">
        <v>438.45</v>
      </c>
      <c r="O696" t="s">
        <v>1498</v>
      </c>
      <c r="P696" t="s">
        <v>1501</v>
      </c>
    </row>
    <row r="697" spans="1:16" x14ac:dyDescent="0.3">
      <c r="A697">
        <v>696</v>
      </c>
      <c r="B697" t="s">
        <v>675</v>
      </c>
      <c r="C697">
        <v>1</v>
      </c>
      <c r="D697" s="1">
        <v>45814</v>
      </c>
      <c r="E697" s="1">
        <v>45817</v>
      </c>
      <c r="F697" t="s">
        <v>1246</v>
      </c>
      <c r="G697" t="s">
        <v>1476</v>
      </c>
      <c r="H697" t="s">
        <v>1480</v>
      </c>
      <c r="I697">
        <v>1</v>
      </c>
      <c r="J697" s="2">
        <v>114.74</v>
      </c>
      <c r="K697" s="3">
        <v>0</v>
      </c>
      <c r="L697" s="2">
        <v>114.74</v>
      </c>
      <c r="M697" s="2">
        <v>27.58</v>
      </c>
      <c r="N697" t="s">
        <v>1493</v>
      </c>
      <c r="O697" t="s">
        <v>1498</v>
      </c>
      <c r="P697" t="s">
        <v>1501</v>
      </c>
    </row>
    <row r="698" spans="1:16" x14ac:dyDescent="0.3">
      <c r="A698">
        <v>697</v>
      </c>
      <c r="B698" t="s">
        <v>675</v>
      </c>
      <c r="C698">
        <v>1</v>
      </c>
      <c r="D698" s="1">
        <v>45814</v>
      </c>
      <c r="E698" s="1">
        <v>45817</v>
      </c>
      <c r="F698" t="s">
        <v>1246</v>
      </c>
      <c r="G698" t="s">
        <v>1476</v>
      </c>
      <c r="H698" t="s">
        <v>1480</v>
      </c>
      <c r="I698">
        <v>1</v>
      </c>
      <c r="J698" s="2">
        <v>114.74</v>
      </c>
      <c r="K698" s="3">
        <v>0</v>
      </c>
      <c r="L698" s="2">
        <v>114.74</v>
      </c>
      <c r="M698" s="2">
        <v>27.58</v>
      </c>
      <c r="N698" t="s">
        <v>1493</v>
      </c>
      <c r="O698" t="s">
        <v>1498</v>
      </c>
      <c r="P698" t="s">
        <v>1501</v>
      </c>
    </row>
    <row r="699" spans="1:16" x14ac:dyDescent="0.3">
      <c r="A699">
        <v>698</v>
      </c>
      <c r="B699" t="s">
        <v>676</v>
      </c>
      <c r="C699">
        <v>1</v>
      </c>
      <c r="D699" s="1">
        <v>45814</v>
      </c>
      <c r="E699" s="1">
        <v>45816</v>
      </c>
      <c r="F699" t="s">
        <v>1283</v>
      </c>
      <c r="G699" t="s">
        <v>1351</v>
      </c>
      <c r="H699" t="s">
        <v>1480</v>
      </c>
      <c r="I699">
        <v>1</v>
      </c>
      <c r="J699" s="2">
        <v>5049.71</v>
      </c>
      <c r="K699" s="3">
        <v>0.15</v>
      </c>
      <c r="L699" s="2">
        <v>4292.25</v>
      </c>
      <c r="M699" s="2">
        <v>557.45000000000005</v>
      </c>
      <c r="N699" t="s">
        <v>1493</v>
      </c>
      <c r="O699" t="s">
        <v>1500</v>
      </c>
      <c r="P699" t="s">
        <v>1502</v>
      </c>
    </row>
    <row r="700" spans="1:16" x14ac:dyDescent="0.3">
      <c r="A700">
        <v>699</v>
      </c>
      <c r="B700" t="s">
        <v>677</v>
      </c>
      <c r="C700">
        <v>1</v>
      </c>
      <c r="D700" s="1">
        <v>45815</v>
      </c>
      <c r="E700" s="1">
        <v>45816</v>
      </c>
      <c r="F700" t="s">
        <v>1211</v>
      </c>
      <c r="G700" t="s">
        <v>1400</v>
      </c>
      <c r="H700" t="s">
        <v>1489</v>
      </c>
      <c r="I700">
        <v>1</v>
      </c>
      <c r="J700" s="2">
        <v>36178.629999999997</v>
      </c>
      <c r="K700" s="3">
        <v>0</v>
      </c>
      <c r="L700" s="2">
        <v>36178.629999999997</v>
      </c>
      <c r="M700" s="2">
        <v>5875.75</v>
      </c>
      <c r="N700" t="s">
        <v>1496</v>
      </c>
      <c r="O700" t="s">
        <v>1499</v>
      </c>
      <c r="P700" t="s">
        <v>1501</v>
      </c>
    </row>
    <row r="701" spans="1:16" x14ac:dyDescent="0.3">
      <c r="A701">
        <v>700</v>
      </c>
      <c r="B701" t="s">
        <v>678</v>
      </c>
      <c r="C701">
        <v>1</v>
      </c>
      <c r="D701" s="1">
        <v>45815</v>
      </c>
      <c r="E701" s="1">
        <v>45816</v>
      </c>
      <c r="F701" t="s">
        <v>1044</v>
      </c>
      <c r="G701" t="s">
        <v>1332</v>
      </c>
      <c r="H701" t="s">
        <v>1489</v>
      </c>
      <c r="I701">
        <v>1</v>
      </c>
      <c r="J701" s="2">
        <v>45652.65</v>
      </c>
      <c r="K701" s="3">
        <v>0.2</v>
      </c>
      <c r="L701" s="2">
        <v>36522.120000000003</v>
      </c>
      <c r="M701" s="2">
        <v>-1985.9</v>
      </c>
      <c r="N701" t="s">
        <v>1496</v>
      </c>
      <c r="O701" t="s">
        <v>1498</v>
      </c>
      <c r="P701" t="s">
        <v>1501</v>
      </c>
    </row>
    <row r="702" spans="1:16" x14ac:dyDescent="0.3">
      <c r="A702">
        <v>701</v>
      </c>
      <c r="B702" t="s">
        <v>679</v>
      </c>
      <c r="C702">
        <v>1</v>
      </c>
      <c r="D702" s="1">
        <v>45815</v>
      </c>
      <c r="E702" s="1">
        <v>45816</v>
      </c>
      <c r="F702" t="s">
        <v>1277</v>
      </c>
      <c r="G702" t="s">
        <v>1347</v>
      </c>
      <c r="H702" t="s">
        <v>1491</v>
      </c>
      <c r="I702">
        <v>2</v>
      </c>
      <c r="J702" s="2">
        <v>56707.06</v>
      </c>
      <c r="K702" s="3">
        <v>0</v>
      </c>
      <c r="L702" s="2">
        <v>113414.12</v>
      </c>
      <c r="M702" s="2">
        <v>17927.7</v>
      </c>
      <c r="N702" t="s">
        <v>1496</v>
      </c>
      <c r="O702" t="s">
        <v>1498</v>
      </c>
      <c r="P702" t="s">
        <v>1501</v>
      </c>
    </row>
    <row r="703" spans="1:16" x14ac:dyDescent="0.3">
      <c r="A703">
        <v>702</v>
      </c>
      <c r="B703" t="s">
        <v>679</v>
      </c>
      <c r="C703">
        <v>2</v>
      </c>
      <c r="D703" s="1">
        <v>45815</v>
      </c>
      <c r="E703" s="1">
        <v>45816</v>
      </c>
      <c r="F703" t="s">
        <v>1277</v>
      </c>
      <c r="G703" t="s">
        <v>1371</v>
      </c>
      <c r="H703" t="s">
        <v>1491</v>
      </c>
      <c r="I703">
        <v>1</v>
      </c>
      <c r="J703" s="2">
        <v>5245.11</v>
      </c>
      <c r="K703" s="3">
        <v>0.05</v>
      </c>
      <c r="L703" s="2">
        <v>4982.8500000000004</v>
      </c>
      <c r="M703" s="2">
        <v>1681.69</v>
      </c>
      <c r="N703" t="s">
        <v>1496</v>
      </c>
      <c r="O703" t="s">
        <v>1498</v>
      </c>
      <c r="P703" t="s">
        <v>1501</v>
      </c>
    </row>
    <row r="704" spans="1:16" x14ac:dyDescent="0.3">
      <c r="A704">
        <v>703</v>
      </c>
      <c r="B704" t="s">
        <v>680</v>
      </c>
      <c r="C704">
        <v>1</v>
      </c>
      <c r="D704" s="1">
        <v>45815</v>
      </c>
      <c r="E704" s="1">
        <v>45818</v>
      </c>
      <c r="F704" t="s">
        <v>1067</v>
      </c>
      <c r="G704" t="s">
        <v>1378</v>
      </c>
      <c r="H704" t="s">
        <v>1480</v>
      </c>
      <c r="I704">
        <v>1</v>
      </c>
      <c r="J704" s="2">
        <v>1378.78</v>
      </c>
      <c r="K704" s="3">
        <v>0.15</v>
      </c>
      <c r="L704" s="2">
        <v>1171.96</v>
      </c>
      <c r="M704" s="2">
        <v>-30.16</v>
      </c>
      <c r="N704" t="s">
        <v>1496</v>
      </c>
      <c r="O704" t="s">
        <v>1498</v>
      </c>
      <c r="P704" t="s">
        <v>1501</v>
      </c>
    </row>
    <row r="705" spans="1:16" x14ac:dyDescent="0.3">
      <c r="A705">
        <v>704</v>
      </c>
      <c r="B705" t="s">
        <v>681</v>
      </c>
      <c r="C705">
        <v>3</v>
      </c>
      <c r="D705" s="1">
        <v>45815</v>
      </c>
      <c r="E705" s="1">
        <v>45818</v>
      </c>
      <c r="F705" t="s">
        <v>1284</v>
      </c>
      <c r="G705" t="s">
        <v>1339</v>
      </c>
      <c r="H705" t="s">
        <v>1480</v>
      </c>
      <c r="I705">
        <v>1</v>
      </c>
      <c r="J705" s="2">
        <v>763.54</v>
      </c>
      <c r="K705" s="3">
        <v>0</v>
      </c>
      <c r="L705" s="2">
        <v>763.54</v>
      </c>
      <c r="M705" s="2">
        <v>240.98</v>
      </c>
      <c r="N705" t="s">
        <v>1497</v>
      </c>
      <c r="O705" t="s">
        <v>1498</v>
      </c>
      <c r="P705" t="s">
        <v>1501</v>
      </c>
    </row>
    <row r="706" spans="1:16" x14ac:dyDescent="0.3">
      <c r="A706">
        <v>705</v>
      </c>
      <c r="B706" t="s">
        <v>682</v>
      </c>
      <c r="C706">
        <v>1</v>
      </c>
      <c r="D706" s="1">
        <v>45816</v>
      </c>
      <c r="E706" s="1">
        <v>45816</v>
      </c>
      <c r="F706" t="s">
        <v>1046</v>
      </c>
      <c r="G706" t="s">
        <v>1348</v>
      </c>
      <c r="H706" t="s">
        <v>1488</v>
      </c>
      <c r="I706">
        <v>3</v>
      </c>
      <c r="J706" s="2">
        <v>921.12</v>
      </c>
      <c r="K706" s="3">
        <v>0.15</v>
      </c>
      <c r="L706" s="2">
        <v>2348.86</v>
      </c>
      <c r="M706" s="2">
        <v>734.74</v>
      </c>
      <c r="N706" t="s">
        <v>1496</v>
      </c>
      <c r="O706" t="s">
        <v>1498</v>
      </c>
      <c r="P706" t="s">
        <v>1501</v>
      </c>
    </row>
    <row r="707" spans="1:16" x14ac:dyDescent="0.3">
      <c r="A707">
        <v>706</v>
      </c>
      <c r="B707" t="s">
        <v>683</v>
      </c>
      <c r="C707">
        <v>1</v>
      </c>
      <c r="D707" s="1">
        <v>45817</v>
      </c>
      <c r="E707" s="1">
        <v>45818</v>
      </c>
      <c r="F707" t="s">
        <v>1043</v>
      </c>
      <c r="G707" t="s">
        <v>1423</v>
      </c>
      <c r="H707" t="s">
        <v>1480</v>
      </c>
      <c r="I707">
        <v>1</v>
      </c>
      <c r="J707" s="2">
        <v>2319.64</v>
      </c>
      <c r="K707" s="3">
        <v>0</v>
      </c>
      <c r="L707" s="2">
        <v>2319.64</v>
      </c>
      <c r="M707" s="2">
        <v>822.13</v>
      </c>
      <c r="N707" t="s">
        <v>1497</v>
      </c>
      <c r="O707" t="s">
        <v>1499</v>
      </c>
      <c r="P707" t="s">
        <v>1501</v>
      </c>
    </row>
    <row r="708" spans="1:16" x14ac:dyDescent="0.3">
      <c r="A708">
        <v>707</v>
      </c>
      <c r="B708" t="s">
        <v>684</v>
      </c>
      <c r="C708">
        <v>1</v>
      </c>
      <c r="D708" s="1">
        <v>45817</v>
      </c>
      <c r="E708" s="1">
        <v>45817</v>
      </c>
      <c r="F708" t="s">
        <v>1050</v>
      </c>
      <c r="G708" t="s">
        <v>1408</v>
      </c>
      <c r="H708" t="s">
        <v>1485</v>
      </c>
      <c r="I708">
        <v>1</v>
      </c>
      <c r="J708" s="2">
        <v>3284.39</v>
      </c>
      <c r="K708" s="3">
        <v>0.05</v>
      </c>
      <c r="L708" s="2">
        <v>3120.17</v>
      </c>
      <c r="M708" s="2">
        <v>723.66</v>
      </c>
      <c r="N708" t="s">
        <v>1497</v>
      </c>
      <c r="O708" t="s">
        <v>1498</v>
      </c>
      <c r="P708" t="s">
        <v>1501</v>
      </c>
    </row>
    <row r="709" spans="1:16" x14ac:dyDescent="0.3">
      <c r="A709">
        <v>708</v>
      </c>
      <c r="B709" t="s">
        <v>685</v>
      </c>
      <c r="C709">
        <v>1</v>
      </c>
      <c r="D709" s="1">
        <v>45818</v>
      </c>
      <c r="E709" s="1">
        <v>45820</v>
      </c>
      <c r="F709" t="s">
        <v>1172</v>
      </c>
      <c r="G709" t="s">
        <v>1341</v>
      </c>
      <c r="H709" t="s">
        <v>1480</v>
      </c>
      <c r="I709">
        <v>1</v>
      </c>
      <c r="J709" s="2">
        <v>1648.45</v>
      </c>
      <c r="K709" s="3">
        <v>0.25</v>
      </c>
      <c r="L709" s="2">
        <v>1236.3399999999999</v>
      </c>
      <c r="M709" s="2">
        <v>82.22</v>
      </c>
      <c r="N709" t="s">
        <v>1496</v>
      </c>
      <c r="O709" t="s">
        <v>1500</v>
      </c>
      <c r="P709" t="s">
        <v>1501</v>
      </c>
    </row>
    <row r="710" spans="1:16" x14ac:dyDescent="0.3">
      <c r="A710">
        <v>709</v>
      </c>
      <c r="B710" t="s">
        <v>686</v>
      </c>
      <c r="C710">
        <v>1</v>
      </c>
      <c r="D710" s="1">
        <v>45818</v>
      </c>
      <c r="E710" s="1">
        <v>45818</v>
      </c>
      <c r="F710" t="s">
        <v>1033</v>
      </c>
      <c r="G710" t="s">
        <v>1337</v>
      </c>
      <c r="H710" t="s">
        <v>1482</v>
      </c>
      <c r="I710">
        <v>3</v>
      </c>
      <c r="J710" s="2">
        <v>12042.96</v>
      </c>
      <c r="K710" s="3">
        <v>0</v>
      </c>
      <c r="L710" s="2">
        <v>36128.879999999997</v>
      </c>
      <c r="M710" s="2">
        <v>3304.08</v>
      </c>
      <c r="N710" t="s">
        <v>1496</v>
      </c>
      <c r="O710" t="s">
        <v>1498</v>
      </c>
      <c r="P710" t="s">
        <v>1501</v>
      </c>
    </row>
    <row r="711" spans="1:16" x14ac:dyDescent="0.3">
      <c r="A711">
        <v>710</v>
      </c>
      <c r="B711" t="s">
        <v>687</v>
      </c>
      <c r="C711">
        <v>1</v>
      </c>
      <c r="D711" s="1">
        <v>45819</v>
      </c>
      <c r="E711" s="1">
        <v>45820</v>
      </c>
      <c r="F711" t="s">
        <v>1253</v>
      </c>
      <c r="G711" t="s">
        <v>1344</v>
      </c>
      <c r="H711" t="s">
        <v>1480</v>
      </c>
      <c r="I711">
        <v>1</v>
      </c>
      <c r="J711" s="2">
        <v>555.59</v>
      </c>
      <c r="K711" s="3">
        <v>0</v>
      </c>
      <c r="L711" s="2">
        <v>555.59</v>
      </c>
      <c r="M711" s="2">
        <v>176.49</v>
      </c>
      <c r="N711" t="s">
        <v>1496</v>
      </c>
      <c r="O711" t="s">
        <v>1498</v>
      </c>
      <c r="P711" t="s">
        <v>1501</v>
      </c>
    </row>
    <row r="712" spans="1:16" x14ac:dyDescent="0.3">
      <c r="A712">
        <v>711</v>
      </c>
      <c r="B712" t="s">
        <v>688</v>
      </c>
      <c r="C712">
        <v>1</v>
      </c>
      <c r="D712" s="1">
        <v>45819</v>
      </c>
      <c r="E712" s="1">
        <v>45820</v>
      </c>
      <c r="F712" t="s">
        <v>1009</v>
      </c>
      <c r="G712" t="s">
        <v>1410</v>
      </c>
      <c r="H712" t="s">
        <v>1486</v>
      </c>
      <c r="I712">
        <v>2</v>
      </c>
      <c r="J712" s="2">
        <v>1753.24</v>
      </c>
      <c r="K712" s="3">
        <v>0</v>
      </c>
      <c r="L712" s="2">
        <v>3506.48</v>
      </c>
      <c r="M712" s="2">
        <v>1156.5999999999999</v>
      </c>
      <c r="N712" t="s">
        <v>1496</v>
      </c>
      <c r="O712" t="s">
        <v>1499</v>
      </c>
      <c r="P712" t="s">
        <v>1501</v>
      </c>
    </row>
    <row r="713" spans="1:16" x14ac:dyDescent="0.3">
      <c r="A713">
        <v>712</v>
      </c>
      <c r="B713" t="s">
        <v>689</v>
      </c>
      <c r="C713">
        <v>2</v>
      </c>
      <c r="D713" s="1">
        <v>45820</v>
      </c>
      <c r="E713" s="1">
        <v>45823</v>
      </c>
      <c r="F713" t="s">
        <v>1285</v>
      </c>
      <c r="G713" t="s">
        <v>1402</v>
      </c>
      <c r="H713" t="s">
        <v>1480</v>
      </c>
      <c r="I713">
        <v>1</v>
      </c>
      <c r="J713" s="2">
        <v>1419.44</v>
      </c>
      <c r="K713" s="3">
        <v>0</v>
      </c>
      <c r="L713" s="2">
        <v>1419.44</v>
      </c>
      <c r="M713" s="2">
        <v>106.94</v>
      </c>
      <c r="N713" t="s">
        <v>1496</v>
      </c>
      <c r="O713" t="s">
        <v>1498</v>
      </c>
      <c r="P713" t="s">
        <v>1501</v>
      </c>
    </row>
    <row r="714" spans="1:16" x14ac:dyDescent="0.3">
      <c r="A714">
        <v>713</v>
      </c>
      <c r="B714" t="s">
        <v>690</v>
      </c>
      <c r="C714">
        <v>1</v>
      </c>
      <c r="D714" s="1">
        <v>45820</v>
      </c>
      <c r="E714" s="1">
        <v>45821</v>
      </c>
      <c r="F714" t="s">
        <v>1046</v>
      </c>
      <c r="G714" t="s">
        <v>1415</v>
      </c>
      <c r="H714" t="s">
        <v>1480</v>
      </c>
      <c r="I714">
        <v>1</v>
      </c>
      <c r="J714" s="2">
        <v>4772.1499999999996</v>
      </c>
      <c r="K714" s="3">
        <v>0</v>
      </c>
      <c r="L714" s="2">
        <v>4772.1499999999996</v>
      </c>
      <c r="M714" s="2">
        <v>1210.06</v>
      </c>
      <c r="N714" t="s">
        <v>1496</v>
      </c>
      <c r="O714" t="s">
        <v>1499</v>
      </c>
      <c r="P714" t="s">
        <v>1502</v>
      </c>
    </row>
    <row r="715" spans="1:16" x14ac:dyDescent="0.3">
      <c r="A715">
        <v>714</v>
      </c>
      <c r="B715" t="s">
        <v>691</v>
      </c>
      <c r="C715">
        <v>1</v>
      </c>
      <c r="D715" s="1">
        <v>45821</v>
      </c>
      <c r="F715" t="s">
        <v>1280</v>
      </c>
      <c r="G715" t="s">
        <v>1363</v>
      </c>
      <c r="H715" t="s">
        <v>1488</v>
      </c>
      <c r="I715">
        <v>1</v>
      </c>
      <c r="J715" s="2">
        <v>23041.22</v>
      </c>
      <c r="K715" s="3">
        <v>0</v>
      </c>
      <c r="L715" s="2">
        <v>23041.22</v>
      </c>
      <c r="M715" s="2">
        <v>4964.74</v>
      </c>
      <c r="N715" t="s">
        <v>1496</v>
      </c>
      <c r="O715" t="s">
        <v>1499</v>
      </c>
      <c r="P715" t="s">
        <v>1503</v>
      </c>
    </row>
    <row r="716" spans="1:16" x14ac:dyDescent="0.3">
      <c r="A716">
        <v>715</v>
      </c>
      <c r="B716" t="s">
        <v>692</v>
      </c>
      <c r="C716">
        <v>1</v>
      </c>
      <c r="D716" s="1">
        <v>45822</v>
      </c>
      <c r="E716" s="1">
        <v>45822</v>
      </c>
      <c r="F716" t="s">
        <v>1251</v>
      </c>
      <c r="G716" t="s">
        <v>1369</v>
      </c>
      <c r="H716" t="s">
        <v>1492</v>
      </c>
      <c r="I716">
        <v>2</v>
      </c>
      <c r="J716" s="2">
        <v>23968.04</v>
      </c>
      <c r="K716" s="3">
        <v>0.05</v>
      </c>
      <c r="L716" s="2">
        <v>45539.28</v>
      </c>
      <c r="M716" s="2">
        <v>10997.04</v>
      </c>
      <c r="N716" t="s">
        <v>1496</v>
      </c>
      <c r="O716" t="s">
        <v>1498</v>
      </c>
      <c r="P716" t="s">
        <v>1501</v>
      </c>
    </row>
    <row r="717" spans="1:16" x14ac:dyDescent="0.3">
      <c r="A717">
        <v>716</v>
      </c>
      <c r="B717" t="s">
        <v>692</v>
      </c>
      <c r="C717">
        <v>2</v>
      </c>
      <c r="D717" s="1">
        <v>45822</v>
      </c>
      <c r="E717" s="1">
        <v>45822</v>
      </c>
      <c r="F717" t="s">
        <v>1251</v>
      </c>
      <c r="G717" t="s">
        <v>1365</v>
      </c>
      <c r="H717" t="s">
        <v>1492</v>
      </c>
      <c r="I717">
        <v>2</v>
      </c>
      <c r="J717" s="2">
        <v>1749.13</v>
      </c>
      <c r="K717" s="3">
        <v>0</v>
      </c>
      <c r="L717" s="2">
        <v>3498.26</v>
      </c>
      <c r="M717" s="2">
        <v>1285.94</v>
      </c>
      <c r="N717" t="s">
        <v>1496</v>
      </c>
      <c r="O717" t="s">
        <v>1498</v>
      </c>
      <c r="P717" t="s">
        <v>1501</v>
      </c>
    </row>
    <row r="718" spans="1:16" x14ac:dyDescent="0.3">
      <c r="A718">
        <v>717</v>
      </c>
      <c r="B718" t="s">
        <v>693</v>
      </c>
      <c r="C718">
        <v>1</v>
      </c>
      <c r="D718" s="1">
        <v>45822</v>
      </c>
      <c r="E718" s="1">
        <v>45823</v>
      </c>
      <c r="F718" t="s">
        <v>1233</v>
      </c>
      <c r="G718" t="s">
        <v>1394</v>
      </c>
      <c r="H718" t="s">
        <v>1487</v>
      </c>
      <c r="I718">
        <v>3</v>
      </c>
      <c r="J718" s="2">
        <v>902.62</v>
      </c>
      <c r="K718" s="3">
        <v>0</v>
      </c>
      <c r="L718" s="2">
        <v>2707.86</v>
      </c>
      <c r="M718" s="2">
        <v>752.97</v>
      </c>
      <c r="N718" t="s">
        <v>1495</v>
      </c>
      <c r="O718" t="s">
        <v>1498</v>
      </c>
      <c r="P718" t="s">
        <v>1501</v>
      </c>
    </row>
    <row r="719" spans="1:16" x14ac:dyDescent="0.3">
      <c r="A719">
        <v>718</v>
      </c>
      <c r="B719" t="s">
        <v>694</v>
      </c>
      <c r="C719">
        <v>1</v>
      </c>
      <c r="D719" s="1">
        <v>45829</v>
      </c>
      <c r="E719" s="1">
        <v>45830</v>
      </c>
      <c r="F719" t="s">
        <v>1286</v>
      </c>
      <c r="G719" t="s">
        <v>1349</v>
      </c>
      <c r="H719" t="s">
        <v>1478</v>
      </c>
      <c r="I719">
        <v>1</v>
      </c>
      <c r="J719" s="2">
        <v>2650.66</v>
      </c>
      <c r="K719" s="3">
        <v>0</v>
      </c>
      <c r="L719" s="2">
        <v>2650.66</v>
      </c>
      <c r="M719" s="2">
        <v>861.03</v>
      </c>
      <c r="N719" t="s">
        <v>1497</v>
      </c>
      <c r="O719" t="s">
        <v>1499</v>
      </c>
      <c r="P719" t="s">
        <v>1501</v>
      </c>
    </row>
    <row r="720" spans="1:16" x14ac:dyDescent="0.3">
      <c r="A720">
        <v>719</v>
      </c>
      <c r="B720" t="s">
        <v>695</v>
      </c>
      <c r="C720">
        <v>1</v>
      </c>
      <c r="D720" s="1">
        <v>45829</v>
      </c>
      <c r="E720" s="1">
        <v>45830</v>
      </c>
      <c r="F720" t="s">
        <v>1265</v>
      </c>
      <c r="G720" t="s">
        <v>1423</v>
      </c>
      <c r="H720" t="s">
        <v>1482</v>
      </c>
      <c r="I720">
        <v>2</v>
      </c>
      <c r="J720" s="2">
        <v>2319.64</v>
      </c>
      <c r="K720" s="3">
        <v>0.15</v>
      </c>
      <c r="L720" s="2">
        <v>3943.39</v>
      </c>
      <c r="M720" s="2">
        <v>948.37</v>
      </c>
      <c r="N720" t="s">
        <v>1494</v>
      </c>
      <c r="O720" t="s">
        <v>1500</v>
      </c>
      <c r="P720" t="s">
        <v>1501</v>
      </c>
    </row>
    <row r="721" spans="1:16" x14ac:dyDescent="0.3">
      <c r="A721">
        <v>720</v>
      </c>
      <c r="B721" t="s">
        <v>696</v>
      </c>
      <c r="C721">
        <v>1</v>
      </c>
      <c r="D721" s="1">
        <v>45833</v>
      </c>
      <c r="E721" s="1">
        <v>45836</v>
      </c>
      <c r="F721" t="s">
        <v>998</v>
      </c>
      <c r="G721" t="s">
        <v>1421</v>
      </c>
      <c r="H721" t="s">
        <v>1480</v>
      </c>
      <c r="I721">
        <v>2</v>
      </c>
      <c r="J721" s="2">
        <v>227.54</v>
      </c>
      <c r="K721" s="3">
        <v>0.15</v>
      </c>
      <c r="L721" s="2">
        <v>386.82</v>
      </c>
      <c r="M721" s="2">
        <v>-1.86</v>
      </c>
      <c r="N721" t="s">
        <v>1497</v>
      </c>
      <c r="O721" t="s">
        <v>1498</v>
      </c>
      <c r="P721" t="s">
        <v>1501</v>
      </c>
    </row>
    <row r="722" spans="1:16" x14ac:dyDescent="0.3">
      <c r="A722">
        <v>721</v>
      </c>
      <c r="B722" t="s">
        <v>697</v>
      </c>
      <c r="C722">
        <v>1</v>
      </c>
      <c r="D722" s="1">
        <v>45833</v>
      </c>
      <c r="E722" s="1">
        <v>45834</v>
      </c>
      <c r="F722" t="s">
        <v>1287</v>
      </c>
      <c r="G722" t="s">
        <v>1352</v>
      </c>
      <c r="H722" t="s">
        <v>1480</v>
      </c>
      <c r="I722">
        <v>1</v>
      </c>
      <c r="J722" s="2">
        <v>3696.44</v>
      </c>
      <c r="K722" s="3">
        <v>0</v>
      </c>
      <c r="L722" s="2">
        <v>3696.44</v>
      </c>
      <c r="M722" s="2">
        <v>1613.88</v>
      </c>
      <c r="N722" t="s">
        <v>1496</v>
      </c>
      <c r="O722" t="s">
        <v>1500</v>
      </c>
      <c r="P722" t="s">
        <v>1501</v>
      </c>
    </row>
    <row r="723" spans="1:16" x14ac:dyDescent="0.3">
      <c r="A723">
        <v>722</v>
      </c>
      <c r="B723" t="s">
        <v>698</v>
      </c>
      <c r="C723">
        <v>1</v>
      </c>
      <c r="D723" s="1">
        <v>45833</v>
      </c>
      <c r="E723" s="1">
        <v>45833</v>
      </c>
      <c r="F723" t="s">
        <v>1177</v>
      </c>
      <c r="G723" t="s">
        <v>1343</v>
      </c>
      <c r="H723" t="s">
        <v>1479</v>
      </c>
      <c r="I723">
        <v>1</v>
      </c>
      <c r="J723" s="2">
        <v>7138.26</v>
      </c>
      <c r="K723" s="3">
        <v>0.1</v>
      </c>
      <c r="L723" s="2">
        <v>6424.43</v>
      </c>
      <c r="M723" s="2">
        <v>950.14</v>
      </c>
      <c r="N723" t="s">
        <v>1496</v>
      </c>
      <c r="O723" t="s">
        <v>1499</v>
      </c>
      <c r="P723" t="s">
        <v>1501</v>
      </c>
    </row>
    <row r="724" spans="1:16" x14ac:dyDescent="0.3">
      <c r="A724">
        <v>723</v>
      </c>
      <c r="B724" t="s">
        <v>699</v>
      </c>
      <c r="C724">
        <v>1</v>
      </c>
      <c r="D724" s="1">
        <v>45834</v>
      </c>
      <c r="E724" s="1">
        <v>45835</v>
      </c>
      <c r="F724" t="s">
        <v>969</v>
      </c>
      <c r="G724" t="s">
        <v>1343</v>
      </c>
      <c r="H724" t="s">
        <v>1480</v>
      </c>
      <c r="I724">
        <v>2</v>
      </c>
      <c r="J724" s="2">
        <v>7138.26</v>
      </c>
      <c r="K724" s="3">
        <v>0</v>
      </c>
      <c r="L724" s="2">
        <v>14276.52</v>
      </c>
      <c r="M724" s="2">
        <v>3327.94</v>
      </c>
      <c r="N724" t="s">
        <v>1496</v>
      </c>
      <c r="O724" t="s">
        <v>1499</v>
      </c>
      <c r="P724" t="s">
        <v>1501</v>
      </c>
    </row>
    <row r="725" spans="1:16" x14ac:dyDescent="0.3">
      <c r="A725">
        <v>724</v>
      </c>
      <c r="B725" t="s">
        <v>700</v>
      </c>
      <c r="C725">
        <v>2</v>
      </c>
      <c r="D725" s="1">
        <v>45836</v>
      </c>
      <c r="E725" s="1">
        <v>45836</v>
      </c>
      <c r="F725" t="s">
        <v>1086</v>
      </c>
      <c r="G725" t="s">
        <v>1355</v>
      </c>
      <c r="H725" t="s">
        <v>1479</v>
      </c>
      <c r="I725">
        <v>1</v>
      </c>
      <c r="J725" s="2">
        <v>38093.910000000003</v>
      </c>
      <c r="K725" s="3">
        <v>0.1</v>
      </c>
      <c r="L725" s="2">
        <v>34284.519999999997</v>
      </c>
      <c r="M725" s="2">
        <v>-40.11</v>
      </c>
      <c r="N725" t="s">
        <v>1496</v>
      </c>
      <c r="O725" t="s">
        <v>1498</v>
      </c>
      <c r="P725" t="s">
        <v>1501</v>
      </c>
    </row>
    <row r="726" spans="1:16" x14ac:dyDescent="0.3">
      <c r="A726">
        <v>725</v>
      </c>
      <c r="B726" t="s">
        <v>701</v>
      </c>
      <c r="C726">
        <v>1</v>
      </c>
      <c r="D726" s="1">
        <v>45836</v>
      </c>
      <c r="E726" s="1">
        <v>45837</v>
      </c>
      <c r="F726" t="s">
        <v>1136</v>
      </c>
      <c r="G726" t="s">
        <v>1329</v>
      </c>
      <c r="H726" t="s">
        <v>1480</v>
      </c>
      <c r="I726">
        <v>1</v>
      </c>
      <c r="J726" s="2">
        <v>1065.95</v>
      </c>
      <c r="K726" s="3">
        <v>0.1</v>
      </c>
      <c r="L726" s="2">
        <v>959.36</v>
      </c>
      <c r="M726" s="2">
        <v>274.18</v>
      </c>
      <c r="N726" t="s">
        <v>1497</v>
      </c>
      <c r="O726" t="s">
        <v>1500</v>
      </c>
      <c r="P726" t="s">
        <v>1501</v>
      </c>
    </row>
    <row r="727" spans="1:16" x14ac:dyDescent="0.3">
      <c r="A727">
        <v>726</v>
      </c>
      <c r="B727" t="s">
        <v>702</v>
      </c>
      <c r="C727">
        <v>1</v>
      </c>
      <c r="D727" s="1">
        <v>45836</v>
      </c>
      <c r="F727" t="s">
        <v>1063</v>
      </c>
      <c r="G727" t="s">
        <v>1430</v>
      </c>
      <c r="H727" t="s">
        <v>1490</v>
      </c>
      <c r="I727">
        <v>1</v>
      </c>
      <c r="J727" s="2">
        <v>1148.97</v>
      </c>
      <c r="K727" s="3">
        <v>0.15</v>
      </c>
      <c r="L727" s="2">
        <v>976.62</v>
      </c>
      <c r="M727" s="2">
        <v>-83.82</v>
      </c>
      <c r="N727" t="s">
        <v>1493</v>
      </c>
      <c r="O727" t="s">
        <v>1499</v>
      </c>
      <c r="P727" t="s">
        <v>1503</v>
      </c>
    </row>
    <row r="728" spans="1:16" x14ac:dyDescent="0.3">
      <c r="A728">
        <v>727</v>
      </c>
      <c r="B728" t="s">
        <v>703</v>
      </c>
      <c r="C728">
        <v>1</v>
      </c>
      <c r="D728" s="1">
        <v>45837</v>
      </c>
      <c r="E728" s="1">
        <v>45838</v>
      </c>
      <c r="F728" t="s">
        <v>975</v>
      </c>
      <c r="G728" t="s">
        <v>1474</v>
      </c>
      <c r="H728" t="s">
        <v>1488</v>
      </c>
      <c r="I728">
        <v>1</v>
      </c>
      <c r="J728" s="2">
        <v>12355.9</v>
      </c>
      <c r="K728" s="3">
        <v>0</v>
      </c>
      <c r="L728" s="2">
        <v>12355.9</v>
      </c>
      <c r="M728" s="2">
        <v>2795.37</v>
      </c>
      <c r="N728" t="s">
        <v>1495</v>
      </c>
      <c r="O728" t="s">
        <v>1498</v>
      </c>
      <c r="P728" t="s">
        <v>1501</v>
      </c>
    </row>
    <row r="729" spans="1:16" x14ac:dyDescent="0.3">
      <c r="A729">
        <v>728</v>
      </c>
      <c r="B729" t="s">
        <v>704</v>
      </c>
      <c r="C729">
        <v>1</v>
      </c>
      <c r="D729" s="1">
        <v>45838</v>
      </c>
      <c r="E729" s="1">
        <v>45839</v>
      </c>
      <c r="F729" t="s">
        <v>1288</v>
      </c>
      <c r="G729" t="s">
        <v>1438</v>
      </c>
      <c r="H729" t="s">
        <v>1483</v>
      </c>
      <c r="I729">
        <v>1</v>
      </c>
      <c r="J729" s="2">
        <v>77432.27</v>
      </c>
      <c r="K729" s="3">
        <v>0.15</v>
      </c>
      <c r="L729" s="2">
        <v>65817.429999999993</v>
      </c>
      <c r="M729" s="2">
        <v>-2897.32</v>
      </c>
      <c r="N729" t="s">
        <v>1494</v>
      </c>
      <c r="O729" t="s">
        <v>1498</v>
      </c>
      <c r="P729" t="s">
        <v>1501</v>
      </c>
    </row>
    <row r="730" spans="1:16" x14ac:dyDescent="0.3">
      <c r="A730">
        <v>729</v>
      </c>
      <c r="B730" t="s">
        <v>705</v>
      </c>
      <c r="C730">
        <v>1</v>
      </c>
      <c r="D730" s="1">
        <v>45839</v>
      </c>
      <c r="E730" s="1">
        <v>45840</v>
      </c>
      <c r="F730" t="s">
        <v>1289</v>
      </c>
      <c r="G730" t="s">
        <v>1363</v>
      </c>
      <c r="H730" t="s">
        <v>1480</v>
      </c>
      <c r="I730">
        <v>1</v>
      </c>
      <c r="J730" s="2">
        <v>23041.22</v>
      </c>
      <c r="K730" s="3">
        <v>0.1</v>
      </c>
      <c r="L730" s="2">
        <v>20737.099999999999</v>
      </c>
      <c r="M730" s="2">
        <v>2660.62</v>
      </c>
      <c r="N730" t="s">
        <v>1496</v>
      </c>
      <c r="O730" t="s">
        <v>1498</v>
      </c>
      <c r="P730" t="s">
        <v>1501</v>
      </c>
    </row>
    <row r="731" spans="1:16" x14ac:dyDescent="0.3">
      <c r="A731">
        <v>730</v>
      </c>
      <c r="B731" t="s">
        <v>706</v>
      </c>
      <c r="C731">
        <v>2</v>
      </c>
      <c r="D731" s="1">
        <v>45839</v>
      </c>
      <c r="E731" s="1">
        <v>45842</v>
      </c>
      <c r="F731" t="s">
        <v>1075</v>
      </c>
      <c r="G731" t="s">
        <v>1336</v>
      </c>
      <c r="H731" t="s">
        <v>1480</v>
      </c>
      <c r="I731">
        <v>2</v>
      </c>
      <c r="J731" s="2">
        <v>18469.3</v>
      </c>
      <c r="K731" s="3">
        <v>0.2</v>
      </c>
      <c r="L731" s="2">
        <v>29550.880000000001</v>
      </c>
      <c r="M731" s="2">
        <v>2409.6</v>
      </c>
      <c r="N731" t="s">
        <v>1496</v>
      </c>
      <c r="O731" t="s">
        <v>1498</v>
      </c>
      <c r="P731" t="s">
        <v>1501</v>
      </c>
    </row>
    <row r="732" spans="1:16" x14ac:dyDescent="0.3">
      <c r="A732">
        <v>731</v>
      </c>
      <c r="B732" t="s">
        <v>707</v>
      </c>
      <c r="C732">
        <v>1</v>
      </c>
      <c r="D732" s="1">
        <v>45839</v>
      </c>
      <c r="E732" s="1">
        <v>45840</v>
      </c>
      <c r="F732" t="s">
        <v>1056</v>
      </c>
      <c r="G732" t="s">
        <v>1331</v>
      </c>
      <c r="H732" t="s">
        <v>1480</v>
      </c>
      <c r="I732">
        <v>1</v>
      </c>
      <c r="J732" s="2">
        <v>1520.12</v>
      </c>
      <c r="K732" s="3">
        <v>0</v>
      </c>
      <c r="L732" s="2">
        <v>1520.12</v>
      </c>
      <c r="M732" s="2">
        <v>547.69000000000005</v>
      </c>
      <c r="N732" t="s">
        <v>1496</v>
      </c>
      <c r="O732" t="s">
        <v>1498</v>
      </c>
      <c r="P732" t="s">
        <v>1501</v>
      </c>
    </row>
    <row r="733" spans="1:16" x14ac:dyDescent="0.3">
      <c r="A733">
        <v>732</v>
      </c>
      <c r="B733" t="s">
        <v>708</v>
      </c>
      <c r="C733">
        <v>2</v>
      </c>
      <c r="D733" s="1">
        <v>45839</v>
      </c>
      <c r="E733" s="1">
        <v>45842</v>
      </c>
      <c r="F733" t="s">
        <v>1127</v>
      </c>
      <c r="G733" t="s">
        <v>1372</v>
      </c>
      <c r="H733" t="s">
        <v>1480</v>
      </c>
      <c r="I733">
        <v>2</v>
      </c>
      <c r="J733" s="2">
        <v>22695.17</v>
      </c>
      <c r="K733" s="3">
        <v>0</v>
      </c>
      <c r="L733" s="2">
        <v>45390.34</v>
      </c>
      <c r="M733" s="2">
        <v>7072.02</v>
      </c>
      <c r="N733" t="s">
        <v>1495</v>
      </c>
      <c r="O733" t="s">
        <v>1499</v>
      </c>
      <c r="P733" t="s">
        <v>1501</v>
      </c>
    </row>
    <row r="734" spans="1:16" x14ac:dyDescent="0.3">
      <c r="A734">
        <v>733</v>
      </c>
      <c r="B734" t="s">
        <v>709</v>
      </c>
      <c r="C734">
        <v>2</v>
      </c>
      <c r="D734" s="1">
        <v>45839</v>
      </c>
      <c r="E734" s="1">
        <v>45839</v>
      </c>
      <c r="F734" t="s">
        <v>978</v>
      </c>
      <c r="G734" t="s">
        <v>1401</v>
      </c>
      <c r="H734" t="s">
        <v>1488</v>
      </c>
      <c r="I734">
        <v>2</v>
      </c>
      <c r="J734" s="2">
        <v>50900.49</v>
      </c>
      <c r="K734" s="3">
        <v>0</v>
      </c>
      <c r="L734" s="2">
        <v>101800.98</v>
      </c>
      <c r="M734" s="2">
        <v>15861.48</v>
      </c>
      <c r="N734" t="s">
        <v>1497</v>
      </c>
      <c r="O734" t="s">
        <v>1498</v>
      </c>
      <c r="P734" t="s">
        <v>1501</v>
      </c>
    </row>
    <row r="735" spans="1:16" x14ac:dyDescent="0.3">
      <c r="A735">
        <v>734</v>
      </c>
      <c r="B735" t="s">
        <v>710</v>
      </c>
      <c r="C735">
        <v>1</v>
      </c>
      <c r="D735" s="1">
        <v>45840</v>
      </c>
      <c r="E735" s="1">
        <v>45841</v>
      </c>
      <c r="F735" t="s">
        <v>1157</v>
      </c>
      <c r="G735" t="s">
        <v>1452</v>
      </c>
      <c r="H735" t="s">
        <v>1485</v>
      </c>
      <c r="I735">
        <v>1</v>
      </c>
      <c r="J735" s="2">
        <v>74213.429999999993</v>
      </c>
      <c r="K735" s="3">
        <v>0.05</v>
      </c>
      <c r="L735" s="2">
        <v>70502.759999999995</v>
      </c>
      <c r="M735" s="2">
        <v>7004.75</v>
      </c>
      <c r="N735" t="s">
        <v>1495</v>
      </c>
      <c r="O735" t="s">
        <v>1499</v>
      </c>
      <c r="P735" t="s">
        <v>1501</v>
      </c>
    </row>
    <row r="736" spans="1:16" x14ac:dyDescent="0.3">
      <c r="A736">
        <v>735</v>
      </c>
      <c r="B736" t="s">
        <v>711</v>
      </c>
      <c r="C736">
        <v>1</v>
      </c>
      <c r="D736" s="1">
        <v>45840</v>
      </c>
      <c r="E736" s="1">
        <v>45840</v>
      </c>
      <c r="F736" t="s">
        <v>1290</v>
      </c>
      <c r="G736" t="s">
        <v>1355</v>
      </c>
      <c r="H736" t="s">
        <v>1481</v>
      </c>
      <c r="I736">
        <v>2</v>
      </c>
      <c r="J736" s="2">
        <v>38093.910000000003</v>
      </c>
      <c r="K736" s="3">
        <v>0</v>
      </c>
      <c r="L736" s="2">
        <v>76187.820000000007</v>
      </c>
      <c r="M736" s="2">
        <v>7538.56</v>
      </c>
      <c r="N736" t="s">
        <v>1496</v>
      </c>
      <c r="O736" t="s">
        <v>1499</v>
      </c>
      <c r="P736" t="s">
        <v>1501</v>
      </c>
    </row>
    <row r="737" spans="1:16" x14ac:dyDescent="0.3">
      <c r="A737">
        <v>736</v>
      </c>
      <c r="B737" t="s">
        <v>712</v>
      </c>
      <c r="C737">
        <v>1</v>
      </c>
      <c r="D737" s="1">
        <v>45841</v>
      </c>
      <c r="E737" s="1">
        <v>45844</v>
      </c>
      <c r="F737" t="s">
        <v>1291</v>
      </c>
      <c r="G737" t="s">
        <v>1449</v>
      </c>
      <c r="H737" t="s">
        <v>1480</v>
      </c>
      <c r="I737">
        <v>1</v>
      </c>
      <c r="J737" s="2">
        <v>22795.96</v>
      </c>
      <c r="K737" s="3">
        <v>0.1</v>
      </c>
      <c r="L737" s="2">
        <v>20516.36</v>
      </c>
      <c r="M737" s="2">
        <v>2817.71</v>
      </c>
      <c r="N737" t="s">
        <v>1497</v>
      </c>
      <c r="O737" t="s">
        <v>1498</v>
      </c>
      <c r="P737" t="s">
        <v>1501</v>
      </c>
    </row>
    <row r="738" spans="1:16" x14ac:dyDescent="0.3">
      <c r="A738">
        <v>737</v>
      </c>
      <c r="B738" t="s">
        <v>712</v>
      </c>
      <c r="C738">
        <v>2</v>
      </c>
      <c r="D738" s="1">
        <v>45841</v>
      </c>
      <c r="E738" s="1">
        <v>45844</v>
      </c>
      <c r="F738" t="s">
        <v>1291</v>
      </c>
      <c r="G738" t="s">
        <v>1339</v>
      </c>
      <c r="H738" t="s">
        <v>1480</v>
      </c>
      <c r="I738">
        <v>2</v>
      </c>
      <c r="J738" s="2">
        <v>763.54</v>
      </c>
      <c r="K738" s="3">
        <v>0.2</v>
      </c>
      <c r="L738" s="2">
        <v>1221.6600000000001</v>
      </c>
      <c r="M738" s="2">
        <v>176.54</v>
      </c>
      <c r="N738" t="s">
        <v>1497</v>
      </c>
      <c r="O738" t="s">
        <v>1498</v>
      </c>
      <c r="P738" t="s">
        <v>1501</v>
      </c>
    </row>
    <row r="739" spans="1:16" x14ac:dyDescent="0.3">
      <c r="A739">
        <v>738</v>
      </c>
      <c r="B739" t="s">
        <v>713</v>
      </c>
      <c r="C739">
        <v>1</v>
      </c>
      <c r="D739" s="1">
        <v>45843</v>
      </c>
      <c r="E739" s="1">
        <v>45844</v>
      </c>
      <c r="F739" t="s">
        <v>1160</v>
      </c>
      <c r="G739" t="s">
        <v>1471</v>
      </c>
      <c r="H739" t="s">
        <v>1480</v>
      </c>
      <c r="I739">
        <v>1</v>
      </c>
      <c r="J739" s="2">
        <v>31099.68</v>
      </c>
      <c r="K739" s="3">
        <v>0</v>
      </c>
      <c r="L739" s="2">
        <v>31099.68</v>
      </c>
      <c r="M739" s="2">
        <v>3425.67</v>
      </c>
      <c r="N739" t="s">
        <v>1495</v>
      </c>
      <c r="O739" t="s">
        <v>1498</v>
      </c>
      <c r="P739" t="s">
        <v>1501</v>
      </c>
    </row>
    <row r="740" spans="1:16" x14ac:dyDescent="0.3">
      <c r="A740">
        <v>739</v>
      </c>
      <c r="B740" t="s">
        <v>714</v>
      </c>
      <c r="C740">
        <v>1</v>
      </c>
      <c r="D740" s="1">
        <v>45843</v>
      </c>
      <c r="E740" s="1">
        <v>45844</v>
      </c>
      <c r="F740" t="s">
        <v>965</v>
      </c>
      <c r="G740" t="s">
        <v>1340</v>
      </c>
      <c r="H740" t="s">
        <v>1482</v>
      </c>
      <c r="I740">
        <v>1</v>
      </c>
      <c r="J740" s="2">
        <v>5570.6</v>
      </c>
      <c r="K740" s="3">
        <v>0</v>
      </c>
      <c r="L740" s="2">
        <v>5570.6</v>
      </c>
      <c r="M740" s="2">
        <v>1503.07</v>
      </c>
      <c r="N740" t="s">
        <v>1494</v>
      </c>
      <c r="O740" t="s">
        <v>1498</v>
      </c>
      <c r="P740" t="s">
        <v>1501</v>
      </c>
    </row>
    <row r="741" spans="1:16" x14ac:dyDescent="0.3">
      <c r="A741">
        <v>740</v>
      </c>
      <c r="B741" t="s">
        <v>715</v>
      </c>
      <c r="C741">
        <v>1</v>
      </c>
      <c r="D741" s="1">
        <v>45844</v>
      </c>
      <c r="E741" s="1">
        <v>45846</v>
      </c>
      <c r="F741" t="s">
        <v>1220</v>
      </c>
      <c r="G741" t="s">
        <v>1474</v>
      </c>
      <c r="H741" t="s">
        <v>1480</v>
      </c>
      <c r="I741">
        <v>1</v>
      </c>
      <c r="J741" s="2">
        <v>12355.9</v>
      </c>
      <c r="K741" s="3">
        <v>0</v>
      </c>
      <c r="L741" s="2">
        <v>12355.9</v>
      </c>
      <c r="M741" s="2">
        <v>2795.37</v>
      </c>
      <c r="N741" t="s">
        <v>1495</v>
      </c>
      <c r="O741" t="s">
        <v>1498</v>
      </c>
      <c r="P741" t="s">
        <v>1501</v>
      </c>
    </row>
    <row r="742" spans="1:16" x14ac:dyDescent="0.3">
      <c r="A742">
        <v>741</v>
      </c>
      <c r="B742" t="s">
        <v>716</v>
      </c>
      <c r="C742">
        <v>1</v>
      </c>
      <c r="D742" s="1">
        <v>45844</v>
      </c>
      <c r="E742" s="1">
        <v>45847</v>
      </c>
      <c r="F742" t="s">
        <v>988</v>
      </c>
      <c r="G742" t="s">
        <v>1414</v>
      </c>
      <c r="H742" t="s">
        <v>1480</v>
      </c>
      <c r="I742">
        <v>1</v>
      </c>
      <c r="J742" s="2">
        <v>20329.61</v>
      </c>
      <c r="K742" s="3">
        <v>0</v>
      </c>
      <c r="L742" s="2">
        <v>20329.61</v>
      </c>
      <c r="M742" s="2">
        <v>4962.38</v>
      </c>
      <c r="N742" t="s">
        <v>1494</v>
      </c>
      <c r="O742" t="s">
        <v>1498</v>
      </c>
      <c r="P742" t="s">
        <v>1501</v>
      </c>
    </row>
    <row r="743" spans="1:16" x14ac:dyDescent="0.3">
      <c r="A743">
        <v>742</v>
      </c>
      <c r="B743" t="s">
        <v>717</v>
      </c>
      <c r="C743">
        <v>2</v>
      </c>
      <c r="D743" s="1">
        <v>45845</v>
      </c>
      <c r="E743" s="1">
        <v>45846</v>
      </c>
      <c r="F743" t="s">
        <v>1109</v>
      </c>
      <c r="G743" t="s">
        <v>1473</v>
      </c>
      <c r="H743" t="s">
        <v>1492</v>
      </c>
      <c r="I743">
        <v>1</v>
      </c>
      <c r="J743" s="2">
        <v>9143.2999999999993</v>
      </c>
      <c r="K743" s="3">
        <v>0.05</v>
      </c>
      <c r="L743" s="2">
        <v>8686.1299999999992</v>
      </c>
      <c r="M743" s="2">
        <v>1523.78</v>
      </c>
      <c r="N743" t="s">
        <v>1496</v>
      </c>
      <c r="O743" t="s">
        <v>1498</v>
      </c>
      <c r="P743" t="s">
        <v>1501</v>
      </c>
    </row>
    <row r="744" spans="1:16" x14ac:dyDescent="0.3">
      <c r="A744">
        <v>743</v>
      </c>
      <c r="B744" t="s">
        <v>718</v>
      </c>
      <c r="C744">
        <v>2</v>
      </c>
      <c r="D744" s="1">
        <v>45846</v>
      </c>
      <c r="E744" s="1">
        <v>45846</v>
      </c>
      <c r="F744" t="s">
        <v>1292</v>
      </c>
      <c r="G744" t="s">
        <v>1420</v>
      </c>
      <c r="H744" t="s">
        <v>1481</v>
      </c>
      <c r="I744">
        <v>1</v>
      </c>
      <c r="J744" s="2">
        <v>257.32</v>
      </c>
      <c r="K744" s="3">
        <v>0</v>
      </c>
      <c r="L744" s="2">
        <v>257.32</v>
      </c>
      <c r="M744" s="2">
        <v>16.670000000000002</v>
      </c>
      <c r="N744" t="s">
        <v>1496</v>
      </c>
      <c r="O744" t="s">
        <v>1500</v>
      </c>
      <c r="P744" t="s">
        <v>1501</v>
      </c>
    </row>
    <row r="745" spans="1:16" x14ac:dyDescent="0.3">
      <c r="A745">
        <v>744</v>
      </c>
      <c r="B745" t="s">
        <v>719</v>
      </c>
      <c r="C745">
        <v>1</v>
      </c>
      <c r="D745" s="1">
        <v>45846</v>
      </c>
      <c r="E745" s="1">
        <v>45847</v>
      </c>
      <c r="F745" t="s">
        <v>1004</v>
      </c>
      <c r="G745" t="s">
        <v>1336</v>
      </c>
      <c r="H745" t="s">
        <v>1481</v>
      </c>
      <c r="I745">
        <v>1</v>
      </c>
      <c r="J745" s="2">
        <v>18469.3</v>
      </c>
      <c r="K745" s="3">
        <v>0.1</v>
      </c>
      <c r="L745" s="2">
        <v>16622.37</v>
      </c>
      <c r="M745" s="2">
        <v>3051.73</v>
      </c>
      <c r="N745" t="s">
        <v>1496</v>
      </c>
      <c r="O745" t="s">
        <v>1499</v>
      </c>
      <c r="P745" t="s">
        <v>1501</v>
      </c>
    </row>
    <row r="746" spans="1:16" x14ac:dyDescent="0.3">
      <c r="A746">
        <v>745</v>
      </c>
      <c r="B746" t="s">
        <v>720</v>
      </c>
      <c r="C746">
        <v>2</v>
      </c>
      <c r="D746" s="1">
        <v>45847</v>
      </c>
      <c r="E746" s="1">
        <v>45847</v>
      </c>
      <c r="F746" t="s">
        <v>1112</v>
      </c>
      <c r="G746" t="s">
        <v>1366</v>
      </c>
      <c r="H746" t="s">
        <v>1485</v>
      </c>
      <c r="I746">
        <v>1</v>
      </c>
      <c r="J746" s="2">
        <v>1397.64</v>
      </c>
      <c r="K746" s="3">
        <v>0</v>
      </c>
      <c r="L746" s="2">
        <v>1397.64</v>
      </c>
      <c r="M746" s="2">
        <v>86.62</v>
      </c>
      <c r="N746" t="s">
        <v>1496</v>
      </c>
      <c r="O746" t="s">
        <v>1500</v>
      </c>
      <c r="P746" t="s">
        <v>1501</v>
      </c>
    </row>
    <row r="747" spans="1:16" x14ac:dyDescent="0.3">
      <c r="A747">
        <v>746</v>
      </c>
      <c r="B747" t="s">
        <v>721</v>
      </c>
      <c r="C747">
        <v>2</v>
      </c>
      <c r="D747" s="1">
        <v>45852</v>
      </c>
      <c r="E747" s="1">
        <v>45854</v>
      </c>
      <c r="F747" t="s">
        <v>1031</v>
      </c>
      <c r="G747" t="s">
        <v>1339</v>
      </c>
      <c r="H747" t="s">
        <v>1480</v>
      </c>
      <c r="I747">
        <v>1</v>
      </c>
      <c r="J747" s="2">
        <v>763.54</v>
      </c>
      <c r="K747" s="3">
        <v>0</v>
      </c>
      <c r="L747" s="2">
        <v>763.54</v>
      </c>
      <c r="M747" s="2">
        <v>240.98</v>
      </c>
      <c r="N747" t="s">
        <v>1496</v>
      </c>
      <c r="O747" t="s">
        <v>1498</v>
      </c>
      <c r="P747" t="s">
        <v>1501</v>
      </c>
    </row>
    <row r="748" spans="1:16" x14ac:dyDescent="0.3">
      <c r="A748">
        <v>747</v>
      </c>
      <c r="B748" t="s">
        <v>722</v>
      </c>
      <c r="C748">
        <v>2</v>
      </c>
      <c r="D748" s="1">
        <v>45858</v>
      </c>
      <c r="E748" s="1">
        <v>45858</v>
      </c>
      <c r="F748" t="s">
        <v>1161</v>
      </c>
      <c r="G748" t="s">
        <v>1431</v>
      </c>
      <c r="H748" t="s">
        <v>1492</v>
      </c>
      <c r="I748">
        <v>3</v>
      </c>
      <c r="J748" s="2">
        <v>9677.85</v>
      </c>
      <c r="K748" s="3">
        <v>0</v>
      </c>
      <c r="L748" s="2">
        <v>29033.55</v>
      </c>
      <c r="M748" s="2">
        <v>5706.51</v>
      </c>
      <c r="N748" t="s">
        <v>1494</v>
      </c>
      <c r="O748" t="s">
        <v>1498</v>
      </c>
      <c r="P748" t="s">
        <v>1501</v>
      </c>
    </row>
    <row r="749" spans="1:16" x14ac:dyDescent="0.3">
      <c r="A749">
        <v>748</v>
      </c>
      <c r="B749" t="s">
        <v>723</v>
      </c>
      <c r="C749">
        <v>1</v>
      </c>
      <c r="D749" s="1">
        <v>45859</v>
      </c>
      <c r="E749" s="1">
        <v>45860</v>
      </c>
      <c r="F749" t="s">
        <v>1293</v>
      </c>
      <c r="G749" t="s">
        <v>1400</v>
      </c>
      <c r="H749" t="s">
        <v>1490</v>
      </c>
      <c r="I749">
        <v>1</v>
      </c>
      <c r="J749" s="2">
        <v>36178.629999999997</v>
      </c>
      <c r="K749" s="3">
        <v>0.15</v>
      </c>
      <c r="L749" s="2">
        <v>30751.84</v>
      </c>
      <c r="M749" s="2">
        <v>448.96</v>
      </c>
      <c r="N749" t="s">
        <v>1495</v>
      </c>
      <c r="O749" t="s">
        <v>1498</v>
      </c>
      <c r="P749" t="s">
        <v>1501</v>
      </c>
    </row>
    <row r="750" spans="1:16" x14ac:dyDescent="0.3">
      <c r="A750">
        <v>749</v>
      </c>
      <c r="B750" t="s">
        <v>724</v>
      </c>
      <c r="C750">
        <v>1</v>
      </c>
      <c r="D750" s="1">
        <v>45859</v>
      </c>
      <c r="E750" s="1">
        <v>45862</v>
      </c>
      <c r="F750" t="s">
        <v>1007</v>
      </c>
      <c r="G750" t="s">
        <v>1435</v>
      </c>
      <c r="H750" t="s">
        <v>1480</v>
      </c>
      <c r="I750">
        <v>1</v>
      </c>
      <c r="J750" s="2">
        <v>62926.96</v>
      </c>
      <c r="K750" s="3">
        <v>0</v>
      </c>
      <c r="L750" s="2">
        <v>62926.96</v>
      </c>
      <c r="M750" s="2">
        <v>9214.48</v>
      </c>
      <c r="N750" t="s">
        <v>1495</v>
      </c>
      <c r="O750" t="s">
        <v>1498</v>
      </c>
      <c r="P750" t="s">
        <v>1501</v>
      </c>
    </row>
    <row r="751" spans="1:16" x14ac:dyDescent="0.3">
      <c r="A751">
        <v>750</v>
      </c>
      <c r="B751" t="s">
        <v>725</v>
      </c>
      <c r="C751">
        <v>1</v>
      </c>
      <c r="D751" s="1">
        <v>45860</v>
      </c>
      <c r="E751" s="1">
        <v>45862</v>
      </c>
      <c r="F751" t="s">
        <v>1185</v>
      </c>
      <c r="G751" t="s">
        <v>1364</v>
      </c>
      <c r="H751" t="s">
        <v>1480</v>
      </c>
      <c r="I751">
        <v>1</v>
      </c>
      <c r="J751" s="2">
        <v>590.01</v>
      </c>
      <c r="K751" s="3">
        <v>0.15</v>
      </c>
      <c r="L751" s="2">
        <v>501.51</v>
      </c>
      <c r="M751" s="2">
        <v>-15.95</v>
      </c>
      <c r="N751" t="s">
        <v>1496</v>
      </c>
      <c r="O751" t="s">
        <v>1498</v>
      </c>
      <c r="P751" t="s">
        <v>1501</v>
      </c>
    </row>
    <row r="752" spans="1:16" x14ac:dyDescent="0.3">
      <c r="A752">
        <v>751</v>
      </c>
      <c r="B752" t="s">
        <v>726</v>
      </c>
      <c r="C752">
        <v>1</v>
      </c>
      <c r="D752" s="1">
        <v>45861</v>
      </c>
      <c r="E752" s="1">
        <v>45861</v>
      </c>
      <c r="F752" t="s">
        <v>1005</v>
      </c>
      <c r="G752" t="s">
        <v>1344</v>
      </c>
      <c r="H752" t="s">
        <v>1478</v>
      </c>
      <c r="I752">
        <v>2</v>
      </c>
      <c r="J752" s="2">
        <v>555.59</v>
      </c>
      <c r="K752" s="3">
        <v>0</v>
      </c>
      <c r="L752" s="2">
        <v>1111.18</v>
      </c>
      <c r="M752" s="2">
        <v>352.98</v>
      </c>
      <c r="N752" t="s">
        <v>1496</v>
      </c>
      <c r="O752" t="s">
        <v>1498</v>
      </c>
      <c r="P752" t="s">
        <v>1501</v>
      </c>
    </row>
    <row r="753" spans="1:16" x14ac:dyDescent="0.3">
      <c r="A753">
        <v>752</v>
      </c>
      <c r="B753" t="s">
        <v>727</v>
      </c>
      <c r="C753">
        <v>1</v>
      </c>
      <c r="D753" s="1">
        <v>45861</v>
      </c>
      <c r="E753" s="1">
        <v>45861</v>
      </c>
      <c r="F753" t="s">
        <v>1161</v>
      </c>
      <c r="G753" t="s">
        <v>1475</v>
      </c>
      <c r="H753" t="s">
        <v>1487</v>
      </c>
      <c r="I753">
        <v>2</v>
      </c>
      <c r="J753" s="2">
        <v>1132.19</v>
      </c>
      <c r="K753" s="3">
        <v>0</v>
      </c>
      <c r="L753" s="2">
        <v>2264.38</v>
      </c>
      <c r="M753" s="2">
        <v>939.56</v>
      </c>
      <c r="N753" t="s">
        <v>1495</v>
      </c>
      <c r="O753" t="s">
        <v>1500</v>
      </c>
      <c r="P753" t="s">
        <v>1501</v>
      </c>
    </row>
    <row r="754" spans="1:16" x14ac:dyDescent="0.3">
      <c r="A754">
        <v>753</v>
      </c>
      <c r="B754" t="s">
        <v>728</v>
      </c>
      <c r="C754">
        <v>2</v>
      </c>
      <c r="D754" s="1">
        <v>45861</v>
      </c>
      <c r="E754" s="1">
        <v>45862</v>
      </c>
      <c r="F754" t="s">
        <v>1271</v>
      </c>
      <c r="G754" t="s">
        <v>1381</v>
      </c>
      <c r="H754" t="s">
        <v>1480</v>
      </c>
      <c r="I754">
        <v>2</v>
      </c>
      <c r="J754" s="2">
        <v>4870.55</v>
      </c>
      <c r="K754" s="3">
        <v>0.2</v>
      </c>
      <c r="L754" s="2">
        <v>7792.88</v>
      </c>
      <c r="M754" s="2">
        <v>2005.64</v>
      </c>
      <c r="N754" t="s">
        <v>1495</v>
      </c>
      <c r="O754" t="s">
        <v>1499</v>
      </c>
      <c r="P754" t="s">
        <v>1501</v>
      </c>
    </row>
    <row r="755" spans="1:16" x14ac:dyDescent="0.3">
      <c r="A755">
        <v>754</v>
      </c>
      <c r="B755" t="s">
        <v>729</v>
      </c>
      <c r="C755">
        <v>2</v>
      </c>
      <c r="D755" s="1">
        <v>45863</v>
      </c>
      <c r="E755" s="1">
        <v>45865</v>
      </c>
      <c r="F755" t="s">
        <v>1265</v>
      </c>
      <c r="G755" t="s">
        <v>1331</v>
      </c>
      <c r="H755" t="s">
        <v>1480</v>
      </c>
      <c r="I755">
        <v>1</v>
      </c>
      <c r="J755" s="2">
        <v>1520.12</v>
      </c>
      <c r="K755" s="3">
        <v>0</v>
      </c>
      <c r="L755" s="2">
        <v>1520.12</v>
      </c>
      <c r="M755" s="2">
        <v>547.69000000000005</v>
      </c>
      <c r="N755" t="s">
        <v>1496</v>
      </c>
      <c r="O755" t="s">
        <v>1499</v>
      </c>
      <c r="P755" t="s">
        <v>1501</v>
      </c>
    </row>
    <row r="756" spans="1:16" x14ac:dyDescent="0.3">
      <c r="A756">
        <v>755</v>
      </c>
      <c r="B756" t="s">
        <v>729</v>
      </c>
      <c r="C756">
        <v>3</v>
      </c>
      <c r="D756" s="1">
        <v>45863</v>
      </c>
      <c r="E756" s="1">
        <v>45865</v>
      </c>
      <c r="F756" t="s">
        <v>1265</v>
      </c>
      <c r="G756" t="s">
        <v>1420</v>
      </c>
      <c r="H756" t="s">
        <v>1480</v>
      </c>
      <c r="I756">
        <v>1</v>
      </c>
      <c r="J756" s="2">
        <v>257.32</v>
      </c>
      <c r="K756" s="3">
        <v>0</v>
      </c>
      <c r="L756" s="2">
        <v>257.32</v>
      </c>
      <c r="M756" s="2">
        <v>16.670000000000002</v>
      </c>
      <c r="N756" t="s">
        <v>1496</v>
      </c>
      <c r="O756" t="s">
        <v>1499</v>
      </c>
      <c r="P756" t="s">
        <v>1501</v>
      </c>
    </row>
    <row r="757" spans="1:16" x14ac:dyDescent="0.3">
      <c r="A757">
        <v>756</v>
      </c>
      <c r="B757" t="s">
        <v>730</v>
      </c>
      <c r="C757">
        <v>2</v>
      </c>
      <c r="D757" s="1">
        <v>45863</v>
      </c>
      <c r="E757" s="1">
        <v>45864</v>
      </c>
      <c r="F757" t="s">
        <v>1191</v>
      </c>
      <c r="G757" t="s">
        <v>1449</v>
      </c>
      <c r="H757" t="s">
        <v>1486</v>
      </c>
      <c r="I757">
        <v>1</v>
      </c>
      <c r="J757" s="2">
        <v>22795.96</v>
      </c>
      <c r="K757" s="3">
        <v>0</v>
      </c>
      <c r="L757" s="2">
        <v>22795.96</v>
      </c>
      <c r="M757" s="2">
        <v>5097.3100000000004</v>
      </c>
      <c r="N757" t="s">
        <v>1493</v>
      </c>
      <c r="O757" t="s">
        <v>1498</v>
      </c>
      <c r="P757" t="s">
        <v>1501</v>
      </c>
    </row>
    <row r="758" spans="1:16" x14ac:dyDescent="0.3">
      <c r="A758">
        <v>757</v>
      </c>
      <c r="B758" t="s">
        <v>731</v>
      </c>
      <c r="C758">
        <v>1</v>
      </c>
      <c r="D758" s="1">
        <v>45864</v>
      </c>
      <c r="E758" s="1">
        <v>45866</v>
      </c>
      <c r="F758" t="s">
        <v>1008</v>
      </c>
      <c r="G758" t="s">
        <v>1404</v>
      </c>
      <c r="H758" t="s">
        <v>1480</v>
      </c>
      <c r="I758">
        <v>1</v>
      </c>
      <c r="J758" s="2">
        <v>44125.88</v>
      </c>
      <c r="K758" s="3">
        <v>0</v>
      </c>
      <c r="L758" s="2">
        <v>44125.88</v>
      </c>
      <c r="M758" s="2">
        <v>9811.19</v>
      </c>
      <c r="N758" t="s">
        <v>1495</v>
      </c>
      <c r="O758" t="s">
        <v>1498</v>
      </c>
      <c r="P758" t="s">
        <v>1502</v>
      </c>
    </row>
    <row r="759" spans="1:16" x14ac:dyDescent="0.3">
      <c r="A759">
        <v>758</v>
      </c>
      <c r="B759" t="s">
        <v>732</v>
      </c>
      <c r="C759">
        <v>1</v>
      </c>
      <c r="D759" s="1">
        <v>45864</v>
      </c>
      <c r="E759" s="1">
        <v>45865</v>
      </c>
      <c r="F759" t="s">
        <v>965</v>
      </c>
      <c r="G759" t="s">
        <v>1405</v>
      </c>
      <c r="H759" t="s">
        <v>1482</v>
      </c>
      <c r="I759">
        <v>1</v>
      </c>
      <c r="J759" s="2">
        <v>57633.32</v>
      </c>
      <c r="K759" s="3">
        <v>0</v>
      </c>
      <c r="L759" s="2">
        <v>57633.32</v>
      </c>
      <c r="M759" s="2">
        <v>7200.49</v>
      </c>
      <c r="N759" t="s">
        <v>1496</v>
      </c>
      <c r="O759" t="s">
        <v>1498</v>
      </c>
      <c r="P759" t="s">
        <v>1501</v>
      </c>
    </row>
    <row r="760" spans="1:16" x14ac:dyDescent="0.3">
      <c r="A760">
        <v>759</v>
      </c>
      <c r="B760" t="s">
        <v>733</v>
      </c>
      <c r="C760">
        <v>1</v>
      </c>
      <c r="D760" s="1">
        <v>45866</v>
      </c>
      <c r="E760" s="1">
        <v>45868</v>
      </c>
      <c r="F760" t="s">
        <v>1240</v>
      </c>
      <c r="G760" t="s">
        <v>1332</v>
      </c>
      <c r="H760" t="s">
        <v>1480</v>
      </c>
      <c r="I760">
        <v>1</v>
      </c>
      <c r="J760" s="2">
        <v>45652.65</v>
      </c>
      <c r="K760" s="3">
        <v>0.25</v>
      </c>
      <c r="L760" s="2">
        <v>34239.49</v>
      </c>
      <c r="M760" s="2">
        <v>-4268.53</v>
      </c>
      <c r="N760" t="s">
        <v>1495</v>
      </c>
      <c r="O760" t="s">
        <v>1498</v>
      </c>
      <c r="P760" t="s">
        <v>1501</v>
      </c>
    </row>
    <row r="761" spans="1:16" x14ac:dyDescent="0.3">
      <c r="A761">
        <v>760</v>
      </c>
      <c r="B761" t="s">
        <v>734</v>
      </c>
      <c r="C761">
        <v>1</v>
      </c>
      <c r="D761" s="1">
        <v>45867</v>
      </c>
      <c r="E761" s="1">
        <v>45868</v>
      </c>
      <c r="F761" t="s">
        <v>1020</v>
      </c>
      <c r="G761" t="s">
        <v>1370</v>
      </c>
      <c r="H761" t="s">
        <v>1478</v>
      </c>
      <c r="I761">
        <v>1</v>
      </c>
      <c r="J761" s="2">
        <v>19480.22</v>
      </c>
      <c r="K761" s="3">
        <v>0.1</v>
      </c>
      <c r="L761" s="2">
        <v>17532.2</v>
      </c>
      <c r="M761" s="2">
        <v>-276.02999999999997</v>
      </c>
      <c r="N761" t="s">
        <v>1496</v>
      </c>
      <c r="O761" t="s">
        <v>1499</v>
      </c>
      <c r="P761" t="s">
        <v>1501</v>
      </c>
    </row>
    <row r="762" spans="1:16" x14ac:dyDescent="0.3">
      <c r="A762">
        <v>761</v>
      </c>
      <c r="B762" t="s">
        <v>735</v>
      </c>
      <c r="C762">
        <v>2</v>
      </c>
      <c r="D762" s="1">
        <v>45869</v>
      </c>
      <c r="E762" s="1">
        <v>45870</v>
      </c>
      <c r="F762" t="s">
        <v>1166</v>
      </c>
      <c r="G762" t="s">
        <v>1466</v>
      </c>
      <c r="H762" t="s">
        <v>1489</v>
      </c>
      <c r="I762">
        <v>2</v>
      </c>
      <c r="J762" s="2">
        <v>800.48</v>
      </c>
      <c r="K762" s="3">
        <v>0</v>
      </c>
      <c r="L762" s="2">
        <v>1600.96</v>
      </c>
      <c r="M762" s="2">
        <v>572.32000000000005</v>
      </c>
      <c r="N762" t="s">
        <v>1497</v>
      </c>
      <c r="O762" t="s">
        <v>1499</v>
      </c>
      <c r="P762" t="s">
        <v>1501</v>
      </c>
    </row>
    <row r="763" spans="1:16" x14ac:dyDescent="0.3">
      <c r="A763">
        <v>762</v>
      </c>
      <c r="B763" t="s">
        <v>736</v>
      </c>
      <c r="C763">
        <v>1</v>
      </c>
      <c r="D763" s="1">
        <v>45869</v>
      </c>
      <c r="E763" s="1">
        <v>45871</v>
      </c>
      <c r="F763" t="s">
        <v>1195</v>
      </c>
      <c r="G763" t="s">
        <v>1358</v>
      </c>
      <c r="H763" t="s">
        <v>1480</v>
      </c>
      <c r="I763">
        <v>2</v>
      </c>
      <c r="J763" s="2">
        <v>37487.300000000003</v>
      </c>
      <c r="K763" s="3">
        <v>0</v>
      </c>
      <c r="L763" s="2">
        <v>74974.600000000006</v>
      </c>
      <c r="M763" s="2">
        <v>7207.1</v>
      </c>
      <c r="N763" t="s">
        <v>1497</v>
      </c>
      <c r="O763" t="s">
        <v>1500</v>
      </c>
      <c r="P763" t="s">
        <v>1501</v>
      </c>
    </row>
    <row r="764" spans="1:16" x14ac:dyDescent="0.3">
      <c r="A764">
        <v>763</v>
      </c>
      <c r="B764" t="s">
        <v>737</v>
      </c>
      <c r="C764">
        <v>1</v>
      </c>
      <c r="D764" s="1">
        <v>45870</v>
      </c>
      <c r="E764" s="1">
        <v>45872</v>
      </c>
      <c r="F764" t="s">
        <v>1294</v>
      </c>
      <c r="G764" t="s">
        <v>1437</v>
      </c>
      <c r="H764" t="s">
        <v>1480</v>
      </c>
      <c r="I764">
        <v>1</v>
      </c>
      <c r="J764" s="2">
        <v>53802.83</v>
      </c>
      <c r="K764" s="3">
        <v>0</v>
      </c>
      <c r="L764" s="2">
        <v>53802.83</v>
      </c>
      <c r="M764" s="2">
        <v>6838.86</v>
      </c>
      <c r="N764" t="s">
        <v>1494</v>
      </c>
      <c r="O764" t="s">
        <v>1499</v>
      </c>
      <c r="P764" t="s">
        <v>1501</v>
      </c>
    </row>
    <row r="765" spans="1:16" x14ac:dyDescent="0.3">
      <c r="A765">
        <v>764</v>
      </c>
      <c r="B765" t="s">
        <v>738</v>
      </c>
      <c r="C765">
        <v>3</v>
      </c>
      <c r="D765" s="1">
        <v>45874</v>
      </c>
      <c r="E765" s="1">
        <v>45875</v>
      </c>
      <c r="F765" t="s">
        <v>1248</v>
      </c>
      <c r="G765" t="s">
        <v>1330</v>
      </c>
      <c r="H765" t="s">
        <v>1491</v>
      </c>
      <c r="I765">
        <v>3</v>
      </c>
      <c r="J765" s="2">
        <v>2393.8200000000002</v>
      </c>
      <c r="K765" s="3">
        <v>0</v>
      </c>
      <c r="L765" s="2">
        <v>7181.46</v>
      </c>
      <c r="M765" s="2">
        <v>2321.61</v>
      </c>
      <c r="N765" t="s">
        <v>1496</v>
      </c>
      <c r="O765" t="s">
        <v>1500</v>
      </c>
      <c r="P765" t="s">
        <v>1501</v>
      </c>
    </row>
    <row r="766" spans="1:16" x14ac:dyDescent="0.3">
      <c r="A766">
        <v>765</v>
      </c>
      <c r="B766" t="s">
        <v>739</v>
      </c>
      <c r="C766">
        <v>3</v>
      </c>
      <c r="D766" s="1">
        <v>45875</v>
      </c>
      <c r="E766" s="1">
        <v>45875</v>
      </c>
      <c r="F766" t="s">
        <v>1151</v>
      </c>
      <c r="G766" t="s">
        <v>1360</v>
      </c>
      <c r="H766" t="s">
        <v>1492</v>
      </c>
      <c r="I766">
        <v>1</v>
      </c>
      <c r="J766" s="2">
        <v>1166.3499999999999</v>
      </c>
      <c r="K766" s="3">
        <v>0.1</v>
      </c>
      <c r="L766" s="2">
        <v>1049.71</v>
      </c>
      <c r="M766" s="2">
        <v>19.97</v>
      </c>
      <c r="N766" t="s">
        <v>1495</v>
      </c>
      <c r="O766" t="s">
        <v>1498</v>
      </c>
      <c r="P766" t="s">
        <v>1501</v>
      </c>
    </row>
    <row r="767" spans="1:16" x14ac:dyDescent="0.3">
      <c r="A767">
        <v>766</v>
      </c>
      <c r="B767" t="s">
        <v>740</v>
      </c>
      <c r="C767">
        <v>1</v>
      </c>
      <c r="D767" s="1">
        <v>45875</v>
      </c>
      <c r="E767" s="1">
        <v>45876</v>
      </c>
      <c r="F767" t="s">
        <v>982</v>
      </c>
      <c r="G767" t="s">
        <v>1369</v>
      </c>
      <c r="H767" t="s">
        <v>1478</v>
      </c>
      <c r="I767">
        <v>1</v>
      </c>
      <c r="J767" s="2">
        <v>23968.04</v>
      </c>
      <c r="K767" s="3">
        <v>0</v>
      </c>
      <c r="L767" s="2">
        <v>23968.04</v>
      </c>
      <c r="M767" s="2">
        <v>6696.92</v>
      </c>
      <c r="N767" t="s">
        <v>1495</v>
      </c>
      <c r="O767" t="s">
        <v>1498</v>
      </c>
      <c r="P767" t="s">
        <v>1501</v>
      </c>
    </row>
    <row r="768" spans="1:16" x14ac:dyDescent="0.3">
      <c r="A768">
        <v>767</v>
      </c>
      <c r="B768" t="s">
        <v>741</v>
      </c>
      <c r="C768">
        <v>1</v>
      </c>
      <c r="D768" s="1">
        <v>45875</v>
      </c>
      <c r="E768" s="1">
        <v>45875</v>
      </c>
      <c r="F768" t="s">
        <v>1171</v>
      </c>
      <c r="G768" t="s">
        <v>1443</v>
      </c>
      <c r="H768" t="s">
        <v>1481</v>
      </c>
      <c r="I768">
        <v>1</v>
      </c>
      <c r="J768" s="2">
        <v>1035.79</v>
      </c>
      <c r="K768" s="3">
        <v>0</v>
      </c>
      <c r="L768" s="2">
        <v>1035.79</v>
      </c>
      <c r="M768" s="2">
        <v>82.54</v>
      </c>
      <c r="N768" t="s">
        <v>1496</v>
      </c>
      <c r="O768" t="s">
        <v>1498</v>
      </c>
      <c r="P768" t="s">
        <v>1501</v>
      </c>
    </row>
    <row r="769" spans="1:16" x14ac:dyDescent="0.3">
      <c r="A769">
        <v>768</v>
      </c>
      <c r="B769" t="s">
        <v>741</v>
      </c>
      <c r="C769">
        <v>2</v>
      </c>
      <c r="D769" s="1">
        <v>45875</v>
      </c>
      <c r="E769" s="1">
        <v>45875</v>
      </c>
      <c r="F769" t="s">
        <v>1171</v>
      </c>
      <c r="G769" t="s">
        <v>1456</v>
      </c>
      <c r="H769" t="s">
        <v>1481</v>
      </c>
      <c r="I769">
        <v>1</v>
      </c>
      <c r="J769" s="2">
        <v>43108.17</v>
      </c>
      <c r="K769" s="3">
        <v>0.05</v>
      </c>
      <c r="L769" s="2">
        <v>40952.76</v>
      </c>
      <c r="M769" s="2">
        <v>5375.21</v>
      </c>
      <c r="N769" t="s">
        <v>1496</v>
      </c>
      <c r="O769" t="s">
        <v>1498</v>
      </c>
      <c r="P769" t="s">
        <v>1501</v>
      </c>
    </row>
    <row r="770" spans="1:16" x14ac:dyDescent="0.3">
      <c r="A770">
        <v>769</v>
      </c>
      <c r="B770" t="s">
        <v>742</v>
      </c>
      <c r="C770">
        <v>1</v>
      </c>
      <c r="D770" s="1">
        <v>45876</v>
      </c>
      <c r="E770" s="1">
        <v>45876</v>
      </c>
      <c r="F770" t="s">
        <v>1017</v>
      </c>
      <c r="G770" t="s">
        <v>1372</v>
      </c>
      <c r="H770" t="s">
        <v>1485</v>
      </c>
      <c r="I770">
        <v>1</v>
      </c>
      <c r="J770" s="2">
        <v>22695.17</v>
      </c>
      <c r="K770" s="3">
        <v>0.15</v>
      </c>
      <c r="L770" s="2">
        <v>19290.89</v>
      </c>
      <c r="M770" s="2">
        <v>131.72999999999999</v>
      </c>
      <c r="N770" t="s">
        <v>1495</v>
      </c>
      <c r="O770" t="s">
        <v>1498</v>
      </c>
      <c r="P770" t="s">
        <v>1501</v>
      </c>
    </row>
    <row r="771" spans="1:16" x14ac:dyDescent="0.3">
      <c r="A771">
        <v>770</v>
      </c>
      <c r="B771" t="s">
        <v>743</v>
      </c>
      <c r="C771">
        <v>1</v>
      </c>
      <c r="D771" s="1">
        <v>45876</v>
      </c>
      <c r="E771" s="1">
        <v>45877</v>
      </c>
      <c r="F771" t="s">
        <v>1150</v>
      </c>
      <c r="G771" t="s">
        <v>1471</v>
      </c>
      <c r="H771" t="s">
        <v>1480</v>
      </c>
      <c r="I771">
        <v>2</v>
      </c>
      <c r="J771" s="2">
        <v>31099.68</v>
      </c>
      <c r="K771" s="3">
        <v>0</v>
      </c>
      <c r="L771" s="2">
        <v>62199.360000000001</v>
      </c>
      <c r="M771" s="2">
        <v>6851.34</v>
      </c>
      <c r="N771" t="s">
        <v>1494</v>
      </c>
      <c r="O771" t="s">
        <v>1500</v>
      </c>
      <c r="P771" t="s">
        <v>1501</v>
      </c>
    </row>
    <row r="772" spans="1:16" x14ac:dyDescent="0.3">
      <c r="A772">
        <v>771</v>
      </c>
      <c r="B772" t="s">
        <v>744</v>
      </c>
      <c r="C772">
        <v>1</v>
      </c>
      <c r="D772" s="1">
        <v>45876</v>
      </c>
      <c r="E772" s="1">
        <v>45878</v>
      </c>
      <c r="F772" t="s">
        <v>1203</v>
      </c>
      <c r="G772" t="s">
        <v>1419</v>
      </c>
      <c r="H772" t="s">
        <v>1480</v>
      </c>
      <c r="I772">
        <v>2</v>
      </c>
      <c r="J772" s="2">
        <v>29006.55</v>
      </c>
      <c r="K772" s="3">
        <v>0.25</v>
      </c>
      <c r="L772" s="2">
        <v>43509.82</v>
      </c>
      <c r="M772" s="2">
        <v>-4230.92</v>
      </c>
      <c r="N772" t="s">
        <v>1496</v>
      </c>
      <c r="O772" t="s">
        <v>1499</v>
      </c>
      <c r="P772" t="s">
        <v>1501</v>
      </c>
    </row>
    <row r="773" spans="1:16" x14ac:dyDescent="0.3">
      <c r="A773">
        <v>772</v>
      </c>
      <c r="B773" t="s">
        <v>745</v>
      </c>
      <c r="C773">
        <v>2</v>
      </c>
      <c r="D773" s="1">
        <v>45877</v>
      </c>
      <c r="E773" s="1">
        <v>45880</v>
      </c>
      <c r="F773" t="s">
        <v>1295</v>
      </c>
      <c r="G773" t="s">
        <v>1397</v>
      </c>
      <c r="H773" t="s">
        <v>1480</v>
      </c>
      <c r="I773">
        <v>1</v>
      </c>
      <c r="J773" s="2">
        <v>42202.74</v>
      </c>
      <c r="K773" s="3">
        <v>0</v>
      </c>
      <c r="L773" s="2">
        <v>42202.74</v>
      </c>
      <c r="M773" s="2">
        <v>7787.76</v>
      </c>
      <c r="N773" t="s">
        <v>1495</v>
      </c>
      <c r="O773" t="s">
        <v>1499</v>
      </c>
      <c r="P773" t="s">
        <v>1501</v>
      </c>
    </row>
    <row r="774" spans="1:16" x14ac:dyDescent="0.3">
      <c r="A774">
        <v>773</v>
      </c>
      <c r="B774" t="s">
        <v>746</v>
      </c>
      <c r="C774">
        <v>2</v>
      </c>
      <c r="D774" s="1">
        <v>45877</v>
      </c>
      <c r="E774" s="1">
        <v>45879</v>
      </c>
      <c r="F774" t="s">
        <v>1093</v>
      </c>
      <c r="G774" t="s">
        <v>1416</v>
      </c>
      <c r="H774" t="s">
        <v>1480</v>
      </c>
      <c r="I774">
        <v>2</v>
      </c>
      <c r="J774" s="2">
        <v>1404.87</v>
      </c>
      <c r="K774" s="3">
        <v>0.05</v>
      </c>
      <c r="L774" s="2">
        <v>2669.25</v>
      </c>
      <c r="M774" s="2">
        <v>219.25</v>
      </c>
      <c r="N774" t="s">
        <v>1495</v>
      </c>
      <c r="O774" t="s">
        <v>1498</v>
      </c>
      <c r="P774" t="s">
        <v>1501</v>
      </c>
    </row>
    <row r="775" spans="1:16" x14ac:dyDescent="0.3">
      <c r="A775">
        <v>774</v>
      </c>
      <c r="B775" t="s">
        <v>746</v>
      </c>
      <c r="C775">
        <v>3</v>
      </c>
      <c r="D775" s="1">
        <v>45877</v>
      </c>
      <c r="E775" s="1">
        <v>45879</v>
      </c>
      <c r="F775" t="s">
        <v>1093</v>
      </c>
      <c r="G775" t="s">
        <v>1403</v>
      </c>
      <c r="H775" t="s">
        <v>1480</v>
      </c>
      <c r="I775">
        <v>1</v>
      </c>
      <c r="J775" s="2">
        <v>24758.98</v>
      </c>
      <c r="K775" s="3">
        <v>0.15</v>
      </c>
      <c r="L775" s="2">
        <v>21045.13</v>
      </c>
      <c r="M775" s="2">
        <v>455.75</v>
      </c>
      <c r="N775" t="s">
        <v>1495</v>
      </c>
      <c r="O775" t="s">
        <v>1498</v>
      </c>
      <c r="P775" t="s">
        <v>1501</v>
      </c>
    </row>
    <row r="776" spans="1:16" x14ac:dyDescent="0.3">
      <c r="A776">
        <v>775</v>
      </c>
      <c r="B776" t="s">
        <v>747</v>
      </c>
      <c r="C776">
        <v>1</v>
      </c>
      <c r="D776" s="1">
        <v>45878</v>
      </c>
      <c r="E776" s="1">
        <v>45879</v>
      </c>
      <c r="F776" t="s">
        <v>1252</v>
      </c>
      <c r="G776" t="s">
        <v>1420</v>
      </c>
      <c r="H776" t="s">
        <v>1480</v>
      </c>
      <c r="I776">
        <v>1</v>
      </c>
      <c r="J776" s="2">
        <v>257.32</v>
      </c>
      <c r="K776" s="3">
        <v>0</v>
      </c>
      <c r="L776" s="2">
        <v>257.32</v>
      </c>
      <c r="M776" s="2">
        <v>16.670000000000002</v>
      </c>
      <c r="N776" t="s">
        <v>1497</v>
      </c>
      <c r="O776" t="s">
        <v>1498</v>
      </c>
      <c r="P776" t="s">
        <v>1501</v>
      </c>
    </row>
    <row r="777" spans="1:16" x14ac:dyDescent="0.3">
      <c r="A777">
        <v>776</v>
      </c>
      <c r="B777" t="s">
        <v>748</v>
      </c>
      <c r="C777">
        <v>1</v>
      </c>
      <c r="D777" s="1">
        <v>45878</v>
      </c>
      <c r="E777" s="1">
        <v>45878</v>
      </c>
      <c r="F777" t="s">
        <v>1097</v>
      </c>
      <c r="G777" t="s">
        <v>1420</v>
      </c>
      <c r="H777" t="s">
        <v>1484</v>
      </c>
      <c r="I777">
        <v>1</v>
      </c>
      <c r="J777" s="2">
        <v>257.32</v>
      </c>
      <c r="K777" s="3">
        <v>0</v>
      </c>
      <c r="L777" s="2">
        <v>257.32</v>
      </c>
      <c r="M777" s="2">
        <v>16.670000000000002</v>
      </c>
      <c r="N777" t="s">
        <v>1495</v>
      </c>
      <c r="O777" t="s">
        <v>1498</v>
      </c>
      <c r="P777" t="s">
        <v>1501</v>
      </c>
    </row>
    <row r="778" spans="1:16" x14ac:dyDescent="0.3">
      <c r="A778">
        <v>777</v>
      </c>
      <c r="B778" t="s">
        <v>749</v>
      </c>
      <c r="C778">
        <v>1</v>
      </c>
      <c r="D778" s="1">
        <v>45878</v>
      </c>
      <c r="E778" s="1">
        <v>45879</v>
      </c>
      <c r="F778" t="s">
        <v>1296</v>
      </c>
      <c r="G778" t="s">
        <v>1348</v>
      </c>
      <c r="H778" t="s">
        <v>1480</v>
      </c>
      <c r="I778">
        <v>2</v>
      </c>
      <c r="J778" s="2">
        <v>921.12</v>
      </c>
      <c r="K778" s="3">
        <v>0</v>
      </c>
      <c r="L778" s="2">
        <v>1842.24</v>
      </c>
      <c r="M778" s="2">
        <v>766.16</v>
      </c>
      <c r="N778" t="s">
        <v>1495</v>
      </c>
      <c r="O778" t="s">
        <v>1498</v>
      </c>
      <c r="P778" t="s">
        <v>1501</v>
      </c>
    </row>
    <row r="779" spans="1:16" x14ac:dyDescent="0.3">
      <c r="A779">
        <v>778</v>
      </c>
      <c r="B779" t="s">
        <v>750</v>
      </c>
      <c r="C779">
        <v>1</v>
      </c>
      <c r="D779" s="1">
        <v>45879</v>
      </c>
      <c r="E779" s="1">
        <v>45880</v>
      </c>
      <c r="F779" t="s">
        <v>1062</v>
      </c>
      <c r="G779" t="s">
        <v>1452</v>
      </c>
      <c r="H779" t="s">
        <v>1480</v>
      </c>
      <c r="I779">
        <v>2</v>
      </c>
      <c r="J779" s="2">
        <v>74213.429999999993</v>
      </c>
      <c r="K779" s="3">
        <v>0.1</v>
      </c>
      <c r="L779" s="2">
        <v>133584.17000000001</v>
      </c>
      <c r="M779" s="2">
        <v>6588.15</v>
      </c>
      <c r="N779" t="s">
        <v>1493</v>
      </c>
      <c r="O779" t="s">
        <v>1500</v>
      </c>
      <c r="P779" t="s">
        <v>1501</v>
      </c>
    </row>
    <row r="780" spans="1:16" x14ac:dyDescent="0.3">
      <c r="A780">
        <v>779</v>
      </c>
      <c r="B780" t="s">
        <v>751</v>
      </c>
      <c r="C780">
        <v>2</v>
      </c>
      <c r="D780" s="1">
        <v>45879</v>
      </c>
      <c r="E780" s="1">
        <v>45879</v>
      </c>
      <c r="F780" t="s">
        <v>1046</v>
      </c>
      <c r="G780" t="s">
        <v>1405</v>
      </c>
      <c r="H780" t="s">
        <v>1483</v>
      </c>
      <c r="I780">
        <v>2</v>
      </c>
      <c r="J780" s="2">
        <v>57633.32</v>
      </c>
      <c r="K780" s="3">
        <v>0.2</v>
      </c>
      <c r="L780" s="2">
        <v>92213.31</v>
      </c>
      <c r="M780" s="2">
        <v>-8652.35</v>
      </c>
      <c r="N780" t="s">
        <v>1495</v>
      </c>
      <c r="O780" t="s">
        <v>1499</v>
      </c>
      <c r="P780" t="s">
        <v>1501</v>
      </c>
    </row>
    <row r="781" spans="1:16" x14ac:dyDescent="0.3">
      <c r="A781">
        <v>780</v>
      </c>
      <c r="B781" t="s">
        <v>752</v>
      </c>
      <c r="C781">
        <v>1</v>
      </c>
      <c r="D781" s="1">
        <v>45880</v>
      </c>
      <c r="E781" s="1">
        <v>45880</v>
      </c>
      <c r="F781" t="s">
        <v>992</v>
      </c>
      <c r="G781" t="s">
        <v>1455</v>
      </c>
      <c r="H781" t="s">
        <v>1486</v>
      </c>
      <c r="I781">
        <v>2</v>
      </c>
      <c r="J781" s="2">
        <v>50791.32</v>
      </c>
      <c r="K781" s="3">
        <v>0</v>
      </c>
      <c r="L781" s="2">
        <v>101582.64</v>
      </c>
      <c r="M781" s="2">
        <v>11802</v>
      </c>
      <c r="N781" t="s">
        <v>1496</v>
      </c>
      <c r="O781" t="s">
        <v>1498</v>
      </c>
      <c r="P781" t="s">
        <v>1501</v>
      </c>
    </row>
    <row r="782" spans="1:16" x14ac:dyDescent="0.3">
      <c r="A782">
        <v>781</v>
      </c>
      <c r="B782" t="s">
        <v>753</v>
      </c>
      <c r="C782">
        <v>1</v>
      </c>
      <c r="D782" s="1">
        <v>45883</v>
      </c>
      <c r="E782" s="1">
        <v>45886</v>
      </c>
      <c r="F782" t="s">
        <v>1143</v>
      </c>
      <c r="G782" t="s">
        <v>1441</v>
      </c>
      <c r="H782" t="s">
        <v>1480</v>
      </c>
      <c r="I782">
        <v>1</v>
      </c>
      <c r="J782" s="2">
        <v>6305.83</v>
      </c>
      <c r="K782" s="3">
        <v>0</v>
      </c>
      <c r="L782" s="2">
        <v>6305.83</v>
      </c>
      <c r="M782" s="2">
        <v>1424.8</v>
      </c>
      <c r="N782" t="s">
        <v>1495</v>
      </c>
      <c r="O782" t="s">
        <v>1498</v>
      </c>
      <c r="P782" t="s">
        <v>1501</v>
      </c>
    </row>
    <row r="783" spans="1:16" x14ac:dyDescent="0.3">
      <c r="A783">
        <v>782</v>
      </c>
      <c r="B783" t="s">
        <v>754</v>
      </c>
      <c r="C783">
        <v>1</v>
      </c>
      <c r="D783" s="1">
        <v>45883</v>
      </c>
      <c r="E783" s="1">
        <v>45886</v>
      </c>
      <c r="F783" t="s">
        <v>1188</v>
      </c>
      <c r="G783" t="s">
        <v>1463</v>
      </c>
      <c r="H783" t="s">
        <v>1480</v>
      </c>
      <c r="I783">
        <v>1</v>
      </c>
      <c r="J783" s="2">
        <v>2936.96</v>
      </c>
      <c r="K783" s="3">
        <v>0</v>
      </c>
      <c r="L783" s="2">
        <v>2936.96</v>
      </c>
      <c r="M783" s="2">
        <v>960.44</v>
      </c>
      <c r="N783" t="s">
        <v>1497</v>
      </c>
      <c r="O783" t="s">
        <v>1500</v>
      </c>
      <c r="P783" t="s">
        <v>1501</v>
      </c>
    </row>
    <row r="784" spans="1:16" x14ac:dyDescent="0.3">
      <c r="A784">
        <v>783</v>
      </c>
      <c r="B784" t="s">
        <v>755</v>
      </c>
      <c r="C784">
        <v>2</v>
      </c>
      <c r="D784" s="1">
        <v>45883</v>
      </c>
      <c r="E784" s="1">
        <v>45885</v>
      </c>
      <c r="F784" t="s">
        <v>1113</v>
      </c>
      <c r="G784" t="s">
        <v>1365</v>
      </c>
      <c r="H784" t="s">
        <v>1480</v>
      </c>
      <c r="I784">
        <v>1</v>
      </c>
      <c r="J784" s="2">
        <v>1749.13</v>
      </c>
      <c r="K784" s="3">
        <v>0</v>
      </c>
      <c r="L784" s="2">
        <v>1749.13</v>
      </c>
      <c r="M784" s="2">
        <v>642.97</v>
      </c>
      <c r="N784" t="s">
        <v>1496</v>
      </c>
      <c r="O784" t="s">
        <v>1498</v>
      </c>
      <c r="P784" t="s">
        <v>1501</v>
      </c>
    </row>
    <row r="785" spans="1:16" x14ac:dyDescent="0.3">
      <c r="A785">
        <v>784</v>
      </c>
      <c r="B785" t="s">
        <v>756</v>
      </c>
      <c r="C785">
        <v>1</v>
      </c>
      <c r="D785" s="1">
        <v>45884</v>
      </c>
      <c r="E785" s="1">
        <v>45885</v>
      </c>
      <c r="F785" t="s">
        <v>1007</v>
      </c>
      <c r="G785" t="s">
        <v>1439</v>
      </c>
      <c r="H785" t="s">
        <v>1483</v>
      </c>
      <c r="I785">
        <v>1</v>
      </c>
      <c r="J785" s="2">
        <v>2679.96</v>
      </c>
      <c r="K785" s="3">
        <v>0</v>
      </c>
      <c r="L785" s="2">
        <v>2679.96</v>
      </c>
      <c r="M785" s="2">
        <v>600.58000000000004</v>
      </c>
      <c r="N785" t="s">
        <v>1495</v>
      </c>
      <c r="O785" t="s">
        <v>1498</v>
      </c>
      <c r="P785" t="s">
        <v>1501</v>
      </c>
    </row>
    <row r="786" spans="1:16" x14ac:dyDescent="0.3">
      <c r="A786">
        <v>785</v>
      </c>
      <c r="B786" t="s">
        <v>757</v>
      </c>
      <c r="C786">
        <v>1</v>
      </c>
      <c r="D786" s="1">
        <v>45885</v>
      </c>
      <c r="E786" s="1">
        <v>45885</v>
      </c>
      <c r="F786" t="s">
        <v>1211</v>
      </c>
      <c r="G786" t="s">
        <v>1400</v>
      </c>
      <c r="H786" t="s">
        <v>1487</v>
      </c>
      <c r="I786">
        <v>1</v>
      </c>
      <c r="J786" s="2">
        <v>36178.629999999997</v>
      </c>
      <c r="K786" s="3">
        <v>0.1</v>
      </c>
      <c r="L786" s="2">
        <v>32560.77</v>
      </c>
      <c r="M786" s="2">
        <v>2257.89</v>
      </c>
      <c r="N786" t="s">
        <v>1496</v>
      </c>
      <c r="O786" t="s">
        <v>1498</v>
      </c>
      <c r="P786" t="s">
        <v>1501</v>
      </c>
    </row>
    <row r="787" spans="1:16" x14ac:dyDescent="0.3">
      <c r="A787">
        <v>786</v>
      </c>
      <c r="B787" t="s">
        <v>758</v>
      </c>
      <c r="C787">
        <v>1</v>
      </c>
      <c r="D787" s="1">
        <v>45886</v>
      </c>
      <c r="E787" s="1">
        <v>45886</v>
      </c>
      <c r="F787" t="s">
        <v>1233</v>
      </c>
      <c r="G787" t="s">
        <v>1446</v>
      </c>
      <c r="H787" t="s">
        <v>1492</v>
      </c>
      <c r="I787">
        <v>1</v>
      </c>
      <c r="J787" s="2">
        <v>242.83</v>
      </c>
      <c r="K787" s="3">
        <v>0.15</v>
      </c>
      <c r="L787" s="2">
        <v>206.41</v>
      </c>
      <c r="M787" s="2">
        <v>21.06</v>
      </c>
      <c r="N787" t="s">
        <v>1496</v>
      </c>
      <c r="O787" t="s">
        <v>1498</v>
      </c>
      <c r="P787" t="s">
        <v>1501</v>
      </c>
    </row>
    <row r="788" spans="1:16" x14ac:dyDescent="0.3">
      <c r="A788">
        <v>787</v>
      </c>
      <c r="B788" t="s">
        <v>759</v>
      </c>
      <c r="C788">
        <v>1</v>
      </c>
      <c r="D788" s="1">
        <v>45887</v>
      </c>
      <c r="E788" s="1">
        <v>45888</v>
      </c>
      <c r="F788" t="s">
        <v>1297</v>
      </c>
      <c r="G788" t="s">
        <v>1363</v>
      </c>
      <c r="H788" t="s">
        <v>1490</v>
      </c>
      <c r="I788">
        <v>1</v>
      </c>
      <c r="J788" s="2">
        <v>23041.22</v>
      </c>
      <c r="K788" s="3">
        <v>0.1</v>
      </c>
      <c r="L788" s="2">
        <v>20737.099999999999</v>
      </c>
      <c r="M788" s="2">
        <v>2660.62</v>
      </c>
      <c r="N788" t="s">
        <v>1496</v>
      </c>
      <c r="O788" t="s">
        <v>1498</v>
      </c>
      <c r="P788" t="s">
        <v>1501</v>
      </c>
    </row>
    <row r="789" spans="1:16" x14ac:dyDescent="0.3">
      <c r="A789">
        <v>788</v>
      </c>
      <c r="B789" t="s">
        <v>760</v>
      </c>
      <c r="C789">
        <v>2</v>
      </c>
      <c r="D789" s="1">
        <v>45893</v>
      </c>
      <c r="E789" s="1">
        <v>45895</v>
      </c>
      <c r="F789" t="s">
        <v>1216</v>
      </c>
      <c r="G789" t="s">
        <v>1420</v>
      </c>
      <c r="H789" t="s">
        <v>1480</v>
      </c>
      <c r="I789">
        <v>2</v>
      </c>
      <c r="J789" s="2">
        <v>257.32</v>
      </c>
      <c r="K789" s="3">
        <v>0</v>
      </c>
      <c r="L789" s="2">
        <v>514.64</v>
      </c>
      <c r="M789" s="2">
        <v>33.340000000000003</v>
      </c>
      <c r="N789" t="s">
        <v>1495</v>
      </c>
      <c r="O789" t="s">
        <v>1498</v>
      </c>
      <c r="P789" t="s">
        <v>1501</v>
      </c>
    </row>
    <row r="790" spans="1:16" x14ac:dyDescent="0.3">
      <c r="A790">
        <v>789</v>
      </c>
      <c r="B790" t="s">
        <v>761</v>
      </c>
      <c r="C790">
        <v>1</v>
      </c>
      <c r="D790" s="1">
        <v>45893</v>
      </c>
      <c r="E790" s="1">
        <v>45894</v>
      </c>
      <c r="F790" t="s">
        <v>1154</v>
      </c>
      <c r="G790" t="s">
        <v>1419</v>
      </c>
      <c r="H790" t="s">
        <v>1488</v>
      </c>
      <c r="I790">
        <v>1</v>
      </c>
      <c r="J790" s="2">
        <v>29006.55</v>
      </c>
      <c r="K790" s="3">
        <v>0</v>
      </c>
      <c r="L790" s="2">
        <v>29006.55</v>
      </c>
      <c r="M790" s="2">
        <v>5136.18</v>
      </c>
      <c r="N790" t="s">
        <v>1496</v>
      </c>
      <c r="O790" t="s">
        <v>1499</v>
      </c>
      <c r="P790" t="s">
        <v>1501</v>
      </c>
    </row>
    <row r="791" spans="1:16" x14ac:dyDescent="0.3">
      <c r="A791">
        <v>790</v>
      </c>
      <c r="B791" t="s">
        <v>762</v>
      </c>
      <c r="C791">
        <v>2</v>
      </c>
      <c r="D791" s="1">
        <v>45893</v>
      </c>
      <c r="E791" s="1">
        <v>45894</v>
      </c>
      <c r="F791" t="s">
        <v>1264</v>
      </c>
      <c r="G791" t="s">
        <v>1370</v>
      </c>
      <c r="H791" t="s">
        <v>1488</v>
      </c>
      <c r="I791">
        <v>3</v>
      </c>
      <c r="J791" s="2">
        <v>19480.22</v>
      </c>
      <c r="K791" s="3">
        <v>0</v>
      </c>
      <c r="L791" s="2">
        <v>58440.66</v>
      </c>
      <c r="M791" s="2">
        <v>5015.97</v>
      </c>
      <c r="N791" t="s">
        <v>1497</v>
      </c>
      <c r="O791" t="s">
        <v>1500</v>
      </c>
      <c r="P791" t="s">
        <v>1501</v>
      </c>
    </row>
    <row r="792" spans="1:16" x14ac:dyDescent="0.3">
      <c r="A792">
        <v>791</v>
      </c>
      <c r="B792" t="s">
        <v>763</v>
      </c>
      <c r="C792">
        <v>1</v>
      </c>
      <c r="D792" s="1">
        <v>45894</v>
      </c>
      <c r="E792" s="1">
        <v>45894</v>
      </c>
      <c r="F792" t="s">
        <v>1298</v>
      </c>
      <c r="G792" t="s">
        <v>1416</v>
      </c>
      <c r="H792" t="s">
        <v>1481</v>
      </c>
      <c r="I792">
        <v>1</v>
      </c>
      <c r="J792" s="2">
        <v>1404.87</v>
      </c>
      <c r="K792" s="3">
        <v>0.15</v>
      </c>
      <c r="L792" s="2">
        <v>1194.1400000000001</v>
      </c>
      <c r="M792" s="2">
        <v>-30.86</v>
      </c>
      <c r="N792" t="s">
        <v>1496</v>
      </c>
      <c r="O792" t="s">
        <v>1500</v>
      </c>
      <c r="P792" t="s">
        <v>1501</v>
      </c>
    </row>
    <row r="793" spans="1:16" x14ac:dyDescent="0.3">
      <c r="A793">
        <v>792</v>
      </c>
      <c r="B793" t="s">
        <v>764</v>
      </c>
      <c r="C793">
        <v>1</v>
      </c>
      <c r="D793" s="1">
        <v>45896</v>
      </c>
      <c r="E793" s="1">
        <v>45897</v>
      </c>
      <c r="F793" t="s">
        <v>1039</v>
      </c>
      <c r="G793" t="s">
        <v>1374</v>
      </c>
      <c r="H793" t="s">
        <v>1485</v>
      </c>
      <c r="I793">
        <v>1</v>
      </c>
      <c r="J793" s="2">
        <v>1645.17</v>
      </c>
      <c r="K793" s="3">
        <v>0.25</v>
      </c>
      <c r="L793" s="2">
        <v>1233.8800000000001</v>
      </c>
      <c r="M793" s="2">
        <v>-70.36</v>
      </c>
      <c r="N793" t="s">
        <v>1495</v>
      </c>
      <c r="O793" t="s">
        <v>1500</v>
      </c>
      <c r="P793" t="s">
        <v>1502</v>
      </c>
    </row>
    <row r="794" spans="1:16" x14ac:dyDescent="0.3">
      <c r="A794">
        <v>793</v>
      </c>
      <c r="B794" t="s">
        <v>765</v>
      </c>
      <c r="C794">
        <v>2</v>
      </c>
      <c r="D794" s="1">
        <v>45897</v>
      </c>
      <c r="E794" s="1">
        <v>45898</v>
      </c>
      <c r="F794" t="s">
        <v>1296</v>
      </c>
      <c r="G794" t="s">
        <v>1453</v>
      </c>
      <c r="H794" t="s">
        <v>1478</v>
      </c>
      <c r="I794">
        <v>1</v>
      </c>
      <c r="J794" s="2">
        <v>507.34</v>
      </c>
      <c r="K794" s="3">
        <v>0</v>
      </c>
      <c r="L794" s="2">
        <v>507.34</v>
      </c>
      <c r="M794" s="2">
        <v>193.87</v>
      </c>
      <c r="N794" t="s">
        <v>1493</v>
      </c>
      <c r="O794" t="s">
        <v>1498</v>
      </c>
      <c r="P794" t="s">
        <v>1501</v>
      </c>
    </row>
    <row r="795" spans="1:16" x14ac:dyDescent="0.3">
      <c r="A795">
        <v>794</v>
      </c>
      <c r="B795" t="s">
        <v>766</v>
      </c>
      <c r="C795">
        <v>1</v>
      </c>
      <c r="D795" s="1">
        <v>45897</v>
      </c>
      <c r="E795" s="1">
        <v>45898</v>
      </c>
      <c r="F795" t="s">
        <v>1269</v>
      </c>
      <c r="G795" t="s">
        <v>1392</v>
      </c>
      <c r="H795" t="s">
        <v>1492</v>
      </c>
      <c r="I795">
        <v>1</v>
      </c>
      <c r="J795" s="2">
        <v>17688.330000000002</v>
      </c>
      <c r="K795" s="3">
        <v>0</v>
      </c>
      <c r="L795" s="2">
        <v>17688.330000000002</v>
      </c>
      <c r="M795" s="2">
        <v>2903.89</v>
      </c>
      <c r="N795" t="s">
        <v>1493</v>
      </c>
      <c r="O795" t="s">
        <v>1498</v>
      </c>
      <c r="P795" t="s">
        <v>1501</v>
      </c>
    </row>
    <row r="796" spans="1:16" x14ac:dyDescent="0.3">
      <c r="A796">
        <v>795</v>
      </c>
      <c r="B796" t="s">
        <v>767</v>
      </c>
      <c r="C796">
        <v>1</v>
      </c>
      <c r="D796" s="1">
        <v>45897</v>
      </c>
      <c r="E796" s="1">
        <v>45900</v>
      </c>
      <c r="F796" t="s">
        <v>1065</v>
      </c>
      <c r="G796" t="s">
        <v>1427</v>
      </c>
      <c r="H796" t="s">
        <v>1480</v>
      </c>
      <c r="I796">
        <v>1</v>
      </c>
      <c r="J796" s="2">
        <v>687.56</v>
      </c>
      <c r="K796" s="3">
        <v>0</v>
      </c>
      <c r="L796" s="2">
        <v>687.56</v>
      </c>
      <c r="M796" s="2">
        <v>235.13</v>
      </c>
      <c r="N796" t="s">
        <v>1493</v>
      </c>
      <c r="O796" t="s">
        <v>1498</v>
      </c>
      <c r="P796" t="s">
        <v>1501</v>
      </c>
    </row>
    <row r="797" spans="1:16" x14ac:dyDescent="0.3">
      <c r="A797">
        <v>796</v>
      </c>
      <c r="B797" t="s">
        <v>768</v>
      </c>
      <c r="C797">
        <v>1</v>
      </c>
      <c r="D797" s="1">
        <v>45898</v>
      </c>
      <c r="E797" s="1">
        <v>45901</v>
      </c>
      <c r="F797" t="s">
        <v>1143</v>
      </c>
      <c r="G797" t="s">
        <v>1396</v>
      </c>
      <c r="H797" t="s">
        <v>1480</v>
      </c>
      <c r="I797">
        <v>2</v>
      </c>
      <c r="J797" s="2">
        <v>1866.05</v>
      </c>
      <c r="K797" s="3">
        <v>0</v>
      </c>
      <c r="L797" s="2">
        <v>3732.1</v>
      </c>
      <c r="M797" s="2">
        <v>1216.68</v>
      </c>
      <c r="O797" t="s">
        <v>1498</v>
      </c>
      <c r="P797" t="s">
        <v>1501</v>
      </c>
    </row>
    <row r="798" spans="1:16" x14ac:dyDescent="0.3">
      <c r="A798">
        <v>797</v>
      </c>
      <c r="B798" t="s">
        <v>769</v>
      </c>
      <c r="C798">
        <v>1</v>
      </c>
      <c r="D798" s="1">
        <v>45898</v>
      </c>
      <c r="E798" s="1">
        <v>45901</v>
      </c>
      <c r="F798" t="s">
        <v>1233</v>
      </c>
      <c r="G798" t="s">
        <v>1373</v>
      </c>
      <c r="H798" t="s">
        <v>1480</v>
      </c>
      <c r="I798">
        <v>1</v>
      </c>
      <c r="J798" s="2">
        <v>1404.85</v>
      </c>
      <c r="K798" s="3">
        <v>0</v>
      </c>
      <c r="L798" s="2">
        <v>1404.85</v>
      </c>
      <c r="M798" s="2">
        <v>131.76</v>
      </c>
      <c r="N798" t="s">
        <v>1496</v>
      </c>
      <c r="O798" t="s">
        <v>1500</v>
      </c>
      <c r="P798" t="s">
        <v>1501</v>
      </c>
    </row>
    <row r="799" spans="1:16" x14ac:dyDescent="0.3">
      <c r="A799">
        <v>798</v>
      </c>
      <c r="B799" t="s">
        <v>770</v>
      </c>
      <c r="C799">
        <v>1</v>
      </c>
      <c r="D799" s="1">
        <v>45898</v>
      </c>
      <c r="E799" s="1">
        <v>45899</v>
      </c>
      <c r="F799" t="s">
        <v>1189</v>
      </c>
      <c r="G799" t="s">
        <v>1414</v>
      </c>
      <c r="H799" t="s">
        <v>1480</v>
      </c>
      <c r="I799">
        <v>1</v>
      </c>
      <c r="J799" s="2">
        <v>20329.61</v>
      </c>
      <c r="K799" s="3">
        <v>0.25</v>
      </c>
      <c r="L799" s="2">
        <v>15247.21</v>
      </c>
      <c r="M799" s="2">
        <v>-120.02</v>
      </c>
      <c r="N799" t="s">
        <v>1497</v>
      </c>
      <c r="O799" t="s">
        <v>1498</v>
      </c>
      <c r="P799" t="s">
        <v>1501</v>
      </c>
    </row>
    <row r="800" spans="1:16" x14ac:dyDescent="0.3">
      <c r="A800">
        <v>799</v>
      </c>
      <c r="B800" t="s">
        <v>771</v>
      </c>
      <c r="C800">
        <v>1</v>
      </c>
      <c r="D800" s="1">
        <v>45901</v>
      </c>
      <c r="E800" s="1">
        <v>45904</v>
      </c>
      <c r="F800" t="s">
        <v>1238</v>
      </c>
      <c r="G800" t="s">
        <v>1448</v>
      </c>
      <c r="H800" t="s">
        <v>1480</v>
      </c>
      <c r="I800">
        <v>2</v>
      </c>
      <c r="J800" s="2">
        <v>579.75</v>
      </c>
      <c r="K800" s="3">
        <v>0</v>
      </c>
      <c r="L800" s="2">
        <v>1159.5</v>
      </c>
      <c r="M800" s="2">
        <v>376.52</v>
      </c>
      <c r="N800" t="s">
        <v>1496</v>
      </c>
      <c r="O800" t="s">
        <v>1499</v>
      </c>
      <c r="P800" t="s">
        <v>1502</v>
      </c>
    </row>
    <row r="801" spans="1:16" x14ac:dyDescent="0.3">
      <c r="A801">
        <v>800</v>
      </c>
      <c r="B801" t="s">
        <v>772</v>
      </c>
      <c r="C801">
        <v>2</v>
      </c>
      <c r="D801" s="1">
        <v>45902</v>
      </c>
      <c r="E801" s="1">
        <v>45903</v>
      </c>
      <c r="F801" t="s">
        <v>1185</v>
      </c>
      <c r="G801" t="s">
        <v>1440</v>
      </c>
      <c r="H801" t="s">
        <v>1486</v>
      </c>
      <c r="I801">
        <v>2</v>
      </c>
      <c r="J801" s="2">
        <v>35541.870000000003</v>
      </c>
      <c r="K801" s="3">
        <v>0.1</v>
      </c>
      <c r="L801" s="2">
        <v>63975.37</v>
      </c>
      <c r="M801" s="2">
        <v>4702.99</v>
      </c>
      <c r="N801" t="s">
        <v>1496</v>
      </c>
      <c r="O801" t="s">
        <v>1499</v>
      </c>
      <c r="P801" t="s">
        <v>1501</v>
      </c>
    </row>
    <row r="802" spans="1:16" x14ac:dyDescent="0.3">
      <c r="A802">
        <v>801</v>
      </c>
      <c r="B802" t="s">
        <v>773</v>
      </c>
      <c r="C802">
        <v>2</v>
      </c>
      <c r="D802" s="1">
        <v>45905</v>
      </c>
      <c r="E802" s="1">
        <v>45908</v>
      </c>
      <c r="F802" t="s">
        <v>1046</v>
      </c>
      <c r="G802" t="s">
        <v>1449</v>
      </c>
      <c r="H802" t="s">
        <v>1480</v>
      </c>
      <c r="I802">
        <v>1</v>
      </c>
      <c r="J802" s="2">
        <v>22795.96</v>
      </c>
      <c r="K802" s="3">
        <v>0</v>
      </c>
      <c r="L802" s="2">
        <v>22795.96</v>
      </c>
      <c r="M802" s="2">
        <v>5097.3100000000004</v>
      </c>
      <c r="N802" t="s">
        <v>1496</v>
      </c>
      <c r="O802" t="s">
        <v>1498</v>
      </c>
      <c r="P802" t="s">
        <v>1501</v>
      </c>
    </row>
    <row r="803" spans="1:16" x14ac:dyDescent="0.3">
      <c r="A803">
        <v>802</v>
      </c>
      <c r="B803" t="s">
        <v>774</v>
      </c>
      <c r="C803">
        <v>1</v>
      </c>
      <c r="D803" s="1">
        <v>45906</v>
      </c>
      <c r="E803" s="1">
        <v>45909</v>
      </c>
      <c r="F803" t="s">
        <v>1086</v>
      </c>
      <c r="G803" t="s">
        <v>1351</v>
      </c>
      <c r="H803" t="s">
        <v>1480</v>
      </c>
      <c r="I803">
        <v>1</v>
      </c>
      <c r="J803" s="2">
        <v>5049.71</v>
      </c>
      <c r="K803" s="3">
        <v>0</v>
      </c>
      <c r="L803" s="2">
        <v>5049.71</v>
      </c>
      <c r="M803" s="2">
        <v>1314.91</v>
      </c>
      <c r="N803" t="s">
        <v>1497</v>
      </c>
      <c r="O803" t="s">
        <v>1498</v>
      </c>
      <c r="P803" t="s">
        <v>1501</v>
      </c>
    </row>
    <row r="804" spans="1:16" x14ac:dyDescent="0.3">
      <c r="A804">
        <v>803</v>
      </c>
      <c r="B804" t="s">
        <v>775</v>
      </c>
      <c r="C804">
        <v>1</v>
      </c>
      <c r="D804" s="1">
        <v>45906</v>
      </c>
      <c r="E804" s="1">
        <v>45908</v>
      </c>
      <c r="F804" t="s">
        <v>1299</v>
      </c>
      <c r="G804" t="s">
        <v>1468</v>
      </c>
      <c r="H804" t="s">
        <v>1480</v>
      </c>
      <c r="I804">
        <v>2</v>
      </c>
      <c r="J804" s="2">
        <v>3433.61</v>
      </c>
      <c r="K804" s="3">
        <v>0</v>
      </c>
      <c r="L804" s="2">
        <v>6867.22</v>
      </c>
      <c r="M804" s="2">
        <v>849.28</v>
      </c>
      <c r="N804" t="s">
        <v>1496</v>
      </c>
      <c r="O804" t="s">
        <v>1499</v>
      </c>
      <c r="P804" t="s">
        <v>1501</v>
      </c>
    </row>
    <row r="805" spans="1:16" x14ac:dyDescent="0.3">
      <c r="A805">
        <v>804</v>
      </c>
      <c r="B805" t="s">
        <v>776</v>
      </c>
      <c r="C805">
        <v>1</v>
      </c>
      <c r="D805" s="1">
        <v>45907</v>
      </c>
      <c r="E805" s="1">
        <v>45907</v>
      </c>
      <c r="F805" t="s">
        <v>1007</v>
      </c>
      <c r="G805" t="s">
        <v>1465</v>
      </c>
      <c r="H805" t="s">
        <v>1488</v>
      </c>
      <c r="I805">
        <v>1</v>
      </c>
      <c r="J805" s="2">
        <v>2687.95</v>
      </c>
      <c r="K805" s="3">
        <v>0.15</v>
      </c>
      <c r="L805" s="2">
        <v>2284.7600000000002</v>
      </c>
      <c r="M805" s="2">
        <v>788.23</v>
      </c>
      <c r="N805" t="s">
        <v>1494</v>
      </c>
      <c r="O805" t="s">
        <v>1498</v>
      </c>
      <c r="P805" t="s">
        <v>1501</v>
      </c>
    </row>
    <row r="806" spans="1:16" x14ac:dyDescent="0.3">
      <c r="A806">
        <v>805</v>
      </c>
      <c r="B806" t="s">
        <v>776</v>
      </c>
      <c r="C806">
        <v>2</v>
      </c>
      <c r="D806" s="1">
        <v>45907</v>
      </c>
      <c r="E806" s="1">
        <v>45907</v>
      </c>
      <c r="F806" t="s">
        <v>1007</v>
      </c>
      <c r="G806" t="s">
        <v>1351</v>
      </c>
      <c r="H806" t="s">
        <v>1488</v>
      </c>
      <c r="I806">
        <v>1</v>
      </c>
      <c r="J806" s="2">
        <v>5049.71</v>
      </c>
      <c r="K806" s="3">
        <v>0.15</v>
      </c>
      <c r="L806" s="2">
        <v>4292.25</v>
      </c>
      <c r="M806" s="2">
        <v>557.45000000000005</v>
      </c>
      <c r="N806" t="s">
        <v>1494</v>
      </c>
      <c r="O806" t="s">
        <v>1498</v>
      </c>
      <c r="P806" t="s">
        <v>1501</v>
      </c>
    </row>
    <row r="807" spans="1:16" x14ac:dyDescent="0.3">
      <c r="A807">
        <v>806</v>
      </c>
      <c r="B807" t="s">
        <v>777</v>
      </c>
      <c r="C807">
        <v>1</v>
      </c>
      <c r="D807" s="1">
        <v>45911</v>
      </c>
      <c r="E807" s="1">
        <v>45914</v>
      </c>
      <c r="F807" t="s">
        <v>1300</v>
      </c>
      <c r="G807" t="s">
        <v>1435</v>
      </c>
      <c r="H807" t="s">
        <v>1480</v>
      </c>
      <c r="I807">
        <v>1</v>
      </c>
      <c r="J807" s="2">
        <v>62926.96</v>
      </c>
      <c r="K807" s="3">
        <v>0</v>
      </c>
      <c r="L807" s="2">
        <v>62926.96</v>
      </c>
      <c r="M807" s="2">
        <v>9214.48</v>
      </c>
      <c r="N807" t="s">
        <v>1496</v>
      </c>
      <c r="O807" t="s">
        <v>1498</v>
      </c>
      <c r="P807" t="s">
        <v>1501</v>
      </c>
    </row>
    <row r="808" spans="1:16" x14ac:dyDescent="0.3">
      <c r="A808">
        <v>807</v>
      </c>
      <c r="B808" t="s">
        <v>778</v>
      </c>
      <c r="C808">
        <v>1</v>
      </c>
      <c r="D808" s="1">
        <v>45911</v>
      </c>
      <c r="E808" s="1">
        <v>45913</v>
      </c>
      <c r="F808" t="s">
        <v>1146</v>
      </c>
      <c r="G808" t="s">
        <v>1345</v>
      </c>
      <c r="H808" t="s">
        <v>1480</v>
      </c>
      <c r="I808">
        <v>1</v>
      </c>
      <c r="J808" s="2">
        <v>8112.78</v>
      </c>
      <c r="K808" s="3">
        <v>0</v>
      </c>
      <c r="L808" s="2">
        <v>8112.78</v>
      </c>
      <c r="M808" s="2">
        <v>1235.06</v>
      </c>
      <c r="N808" t="s">
        <v>1496</v>
      </c>
      <c r="O808" t="s">
        <v>1498</v>
      </c>
      <c r="P808" t="s">
        <v>1501</v>
      </c>
    </row>
    <row r="809" spans="1:16" x14ac:dyDescent="0.3">
      <c r="A809">
        <v>808</v>
      </c>
      <c r="B809" t="s">
        <v>779</v>
      </c>
      <c r="C809">
        <v>1</v>
      </c>
      <c r="D809" s="1">
        <v>45912</v>
      </c>
      <c r="E809" s="1">
        <v>45913</v>
      </c>
      <c r="F809" t="s">
        <v>1301</v>
      </c>
      <c r="G809" t="s">
        <v>1434</v>
      </c>
      <c r="H809" t="s">
        <v>1482</v>
      </c>
      <c r="I809">
        <v>1</v>
      </c>
      <c r="J809" s="2">
        <v>994.69</v>
      </c>
      <c r="K809" s="3">
        <v>0.2</v>
      </c>
      <c r="L809" s="2">
        <v>795.75</v>
      </c>
      <c r="M809" s="2">
        <v>-107.57</v>
      </c>
      <c r="N809" t="s">
        <v>1495</v>
      </c>
      <c r="O809" t="s">
        <v>1500</v>
      </c>
      <c r="P809" t="s">
        <v>1501</v>
      </c>
    </row>
    <row r="810" spans="1:16" x14ac:dyDescent="0.3">
      <c r="A810">
        <v>809</v>
      </c>
      <c r="B810" t="s">
        <v>780</v>
      </c>
      <c r="C810">
        <v>1</v>
      </c>
      <c r="D810" s="1">
        <v>45913</v>
      </c>
      <c r="E810" s="1">
        <v>45914</v>
      </c>
      <c r="F810" t="s">
        <v>1302</v>
      </c>
      <c r="G810" t="s">
        <v>1404</v>
      </c>
      <c r="H810" t="s">
        <v>1478</v>
      </c>
      <c r="I810">
        <v>2</v>
      </c>
      <c r="J810" s="2">
        <v>44125.88</v>
      </c>
      <c r="K810" s="3">
        <v>0.25</v>
      </c>
      <c r="L810" s="2">
        <v>66188.820000000007</v>
      </c>
      <c r="M810" s="2">
        <v>-2440.56</v>
      </c>
      <c r="N810" t="s">
        <v>1495</v>
      </c>
      <c r="O810" t="s">
        <v>1498</v>
      </c>
      <c r="P810" t="s">
        <v>1501</v>
      </c>
    </row>
    <row r="811" spans="1:16" x14ac:dyDescent="0.3">
      <c r="A811">
        <v>810</v>
      </c>
      <c r="B811" t="s">
        <v>781</v>
      </c>
      <c r="C811">
        <v>1</v>
      </c>
      <c r="D811" s="1">
        <v>45914</v>
      </c>
      <c r="E811" s="1">
        <v>45917</v>
      </c>
      <c r="F811" t="s">
        <v>1251</v>
      </c>
      <c r="G811" t="s">
        <v>1330</v>
      </c>
      <c r="H811" t="s">
        <v>1480</v>
      </c>
      <c r="I811">
        <v>2</v>
      </c>
      <c r="J811" s="2">
        <v>2393.8200000000002</v>
      </c>
      <c r="K811" s="3">
        <v>0</v>
      </c>
      <c r="L811" s="2">
        <v>4787.6400000000003</v>
      </c>
      <c r="M811" s="2">
        <v>1547.74</v>
      </c>
      <c r="N811" t="s">
        <v>1496</v>
      </c>
      <c r="O811" t="s">
        <v>1498</v>
      </c>
      <c r="P811" t="s">
        <v>1501</v>
      </c>
    </row>
    <row r="812" spans="1:16" x14ac:dyDescent="0.3">
      <c r="A812">
        <v>811</v>
      </c>
      <c r="B812" t="s">
        <v>782</v>
      </c>
      <c r="C812">
        <v>1</v>
      </c>
      <c r="D812" s="1">
        <v>45914</v>
      </c>
      <c r="E812" s="1">
        <v>45915</v>
      </c>
      <c r="F812" t="s">
        <v>1002</v>
      </c>
      <c r="G812" t="s">
        <v>1364</v>
      </c>
      <c r="H812" t="s">
        <v>1480</v>
      </c>
      <c r="I812">
        <v>1</v>
      </c>
      <c r="J812" s="2">
        <v>590.01</v>
      </c>
      <c r="K812" s="3">
        <v>0</v>
      </c>
      <c r="L812" s="2">
        <v>590.01</v>
      </c>
      <c r="M812" s="2">
        <v>72.55</v>
      </c>
      <c r="N812" t="s">
        <v>1495</v>
      </c>
      <c r="O812" t="s">
        <v>1498</v>
      </c>
      <c r="P812" t="s">
        <v>1501</v>
      </c>
    </row>
    <row r="813" spans="1:16" x14ac:dyDescent="0.3">
      <c r="A813">
        <v>812</v>
      </c>
      <c r="B813" t="s">
        <v>783</v>
      </c>
      <c r="C813">
        <v>1</v>
      </c>
      <c r="D813" s="1">
        <v>45914</v>
      </c>
      <c r="F813" t="s">
        <v>1303</v>
      </c>
      <c r="G813" t="s">
        <v>1357</v>
      </c>
      <c r="H813" t="s">
        <v>1489</v>
      </c>
      <c r="I813">
        <v>2</v>
      </c>
      <c r="J813" s="2">
        <v>986.91</v>
      </c>
      <c r="K813" s="3">
        <v>0</v>
      </c>
      <c r="L813" s="2">
        <v>1973.82</v>
      </c>
      <c r="M813" s="2">
        <v>257.45999999999998</v>
      </c>
      <c r="N813" t="s">
        <v>1496</v>
      </c>
      <c r="O813" t="s">
        <v>1498</v>
      </c>
      <c r="P813" t="s">
        <v>1503</v>
      </c>
    </row>
    <row r="814" spans="1:16" x14ac:dyDescent="0.3">
      <c r="A814">
        <v>813</v>
      </c>
      <c r="B814" t="s">
        <v>784</v>
      </c>
      <c r="C814">
        <v>1</v>
      </c>
      <c r="D814" s="1">
        <v>45915</v>
      </c>
      <c r="E814" s="1">
        <v>45916</v>
      </c>
      <c r="F814" t="s">
        <v>1233</v>
      </c>
      <c r="G814" t="s">
        <v>1450</v>
      </c>
      <c r="H814" t="s">
        <v>1492</v>
      </c>
      <c r="I814">
        <v>1</v>
      </c>
      <c r="J814" s="2">
        <v>7983.56</v>
      </c>
      <c r="K814" s="3">
        <v>0</v>
      </c>
      <c r="L814" s="2">
        <v>7983.56</v>
      </c>
      <c r="M814" s="2">
        <v>1968.35</v>
      </c>
      <c r="N814" t="s">
        <v>1496</v>
      </c>
      <c r="O814" t="s">
        <v>1498</v>
      </c>
      <c r="P814" t="s">
        <v>1501</v>
      </c>
    </row>
    <row r="815" spans="1:16" x14ac:dyDescent="0.3">
      <c r="A815">
        <v>814</v>
      </c>
      <c r="B815" t="s">
        <v>785</v>
      </c>
      <c r="C815">
        <v>1</v>
      </c>
      <c r="D815" s="1">
        <v>45916</v>
      </c>
      <c r="E815" s="1">
        <v>45917</v>
      </c>
      <c r="F815" t="s">
        <v>1013</v>
      </c>
      <c r="G815" t="s">
        <v>1422</v>
      </c>
      <c r="H815" t="s">
        <v>1484</v>
      </c>
      <c r="I815">
        <v>1</v>
      </c>
      <c r="J815" s="2">
        <v>27508.38</v>
      </c>
      <c r="K815" s="3">
        <v>0.1</v>
      </c>
      <c r="L815" s="2">
        <v>24757.54</v>
      </c>
      <c r="M815" s="2">
        <v>1469.51</v>
      </c>
      <c r="N815" t="s">
        <v>1493</v>
      </c>
      <c r="O815" t="s">
        <v>1498</v>
      </c>
      <c r="P815" t="s">
        <v>1501</v>
      </c>
    </row>
    <row r="816" spans="1:16" x14ac:dyDescent="0.3">
      <c r="A816">
        <v>815</v>
      </c>
      <c r="B816" t="s">
        <v>786</v>
      </c>
      <c r="C816">
        <v>1</v>
      </c>
      <c r="D816" s="1">
        <v>45917</v>
      </c>
      <c r="E816" s="1">
        <v>45918</v>
      </c>
      <c r="F816" t="s">
        <v>1173</v>
      </c>
      <c r="G816" t="s">
        <v>1346</v>
      </c>
      <c r="H816" t="s">
        <v>1479</v>
      </c>
      <c r="I816">
        <v>1</v>
      </c>
      <c r="J816" s="2">
        <v>3324.39</v>
      </c>
      <c r="K816" s="3">
        <v>0</v>
      </c>
      <c r="L816" s="2">
        <v>3324.39</v>
      </c>
      <c r="M816" s="2">
        <v>1234.02</v>
      </c>
      <c r="N816" t="s">
        <v>1494</v>
      </c>
      <c r="O816" t="s">
        <v>1500</v>
      </c>
      <c r="P816" t="s">
        <v>1501</v>
      </c>
    </row>
    <row r="817" spans="1:16" x14ac:dyDescent="0.3">
      <c r="A817">
        <v>816</v>
      </c>
      <c r="B817" t="s">
        <v>787</v>
      </c>
      <c r="C817">
        <v>1</v>
      </c>
      <c r="D817" s="1">
        <v>45917</v>
      </c>
      <c r="E817" s="1">
        <v>45917</v>
      </c>
      <c r="F817" t="s">
        <v>1142</v>
      </c>
      <c r="G817" t="s">
        <v>1477</v>
      </c>
      <c r="H817" t="s">
        <v>1490</v>
      </c>
      <c r="I817">
        <v>4</v>
      </c>
      <c r="J817" s="2">
        <v>43142.95</v>
      </c>
      <c r="K817" s="3">
        <v>0</v>
      </c>
      <c r="L817" s="2">
        <v>172571.8</v>
      </c>
      <c r="M817" s="2">
        <v>32123.48</v>
      </c>
      <c r="N817" t="s">
        <v>1495</v>
      </c>
      <c r="O817" t="s">
        <v>1498</v>
      </c>
      <c r="P817" t="s">
        <v>1501</v>
      </c>
    </row>
    <row r="818" spans="1:16" x14ac:dyDescent="0.3">
      <c r="A818">
        <v>817</v>
      </c>
      <c r="B818" t="s">
        <v>788</v>
      </c>
      <c r="C818">
        <v>2</v>
      </c>
      <c r="D818" s="1">
        <v>45920</v>
      </c>
      <c r="E818" s="1">
        <v>45921</v>
      </c>
      <c r="F818" t="s">
        <v>1055</v>
      </c>
      <c r="G818" t="s">
        <v>1408</v>
      </c>
      <c r="H818" t="s">
        <v>1489</v>
      </c>
      <c r="I818">
        <v>2</v>
      </c>
      <c r="J818" s="2">
        <v>3284.39</v>
      </c>
      <c r="K818" s="3">
        <v>0</v>
      </c>
      <c r="L818" s="2">
        <v>6568.78</v>
      </c>
      <c r="M818" s="2">
        <v>1775.76</v>
      </c>
      <c r="N818" t="s">
        <v>1493</v>
      </c>
      <c r="O818" t="s">
        <v>1499</v>
      </c>
      <c r="P818" t="s">
        <v>1501</v>
      </c>
    </row>
    <row r="819" spans="1:16" x14ac:dyDescent="0.3">
      <c r="A819">
        <v>818</v>
      </c>
      <c r="B819" t="s">
        <v>789</v>
      </c>
      <c r="C819">
        <v>1</v>
      </c>
      <c r="D819" s="1">
        <v>45920</v>
      </c>
      <c r="E819" s="1">
        <v>45922</v>
      </c>
      <c r="F819" t="s">
        <v>1001</v>
      </c>
      <c r="G819" t="s">
        <v>1424</v>
      </c>
      <c r="H819" t="s">
        <v>1480</v>
      </c>
      <c r="I819">
        <v>1</v>
      </c>
      <c r="J819" s="2">
        <v>31609.79</v>
      </c>
      <c r="K819" s="3">
        <v>0</v>
      </c>
      <c r="L819" s="2">
        <v>31609.79</v>
      </c>
      <c r="M819" s="2">
        <v>3440.18</v>
      </c>
      <c r="N819" t="s">
        <v>1495</v>
      </c>
      <c r="O819" t="s">
        <v>1498</v>
      </c>
      <c r="P819" t="s">
        <v>1501</v>
      </c>
    </row>
    <row r="820" spans="1:16" x14ac:dyDescent="0.3">
      <c r="A820">
        <v>819</v>
      </c>
      <c r="B820" t="s">
        <v>790</v>
      </c>
      <c r="C820">
        <v>1</v>
      </c>
      <c r="D820" s="1">
        <v>45921</v>
      </c>
      <c r="E820" s="1">
        <v>45921</v>
      </c>
      <c r="F820" t="s">
        <v>1214</v>
      </c>
      <c r="G820" t="s">
        <v>1435</v>
      </c>
      <c r="H820" t="s">
        <v>1483</v>
      </c>
      <c r="I820">
        <v>3</v>
      </c>
      <c r="J820" s="2">
        <v>62926.96</v>
      </c>
      <c r="K820" s="3">
        <v>0</v>
      </c>
      <c r="L820" s="2">
        <v>188780.88</v>
      </c>
      <c r="M820" s="2">
        <v>27643.439999999999</v>
      </c>
      <c r="N820" t="s">
        <v>1494</v>
      </c>
      <c r="O820" t="s">
        <v>1500</v>
      </c>
      <c r="P820" t="s">
        <v>1501</v>
      </c>
    </row>
    <row r="821" spans="1:16" x14ac:dyDescent="0.3">
      <c r="A821">
        <v>820</v>
      </c>
      <c r="B821" t="s">
        <v>790</v>
      </c>
      <c r="C821">
        <v>2</v>
      </c>
      <c r="D821" s="1">
        <v>45921</v>
      </c>
      <c r="E821" s="1">
        <v>45921</v>
      </c>
      <c r="F821" t="s">
        <v>1214</v>
      </c>
      <c r="G821" t="s">
        <v>1382</v>
      </c>
      <c r="H821" t="s">
        <v>1483</v>
      </c>
      <c r="I821">
        <v>1</v>
      </c>
      <c r="J821" s="2">
        <v>561.82000000000005</v>
      </c>
      <c r="K821" s="3">
        <v>0.15</v>
      </c>
      <c r="L821" s="2">
        <v>477.55</v>
      </c>
      <c r="M821" s="2">
        <v>-38.51</v>
      </c>
      <c r="N821" t="s">
        <v>1494</v>
      </c>
      <c r="O821" t="s">
        <v>1500</v>
      </c>
      <c r="P821" t="s">
        <v>1501</v>
      </c>
    </row>
    <row r="822" spans="1:16" x14ac:dyDescent="0.3">
      <c r="A822">
        <v>821</v>
      </c>
      <c r="B822" t="s">
        <v>791</v>
      </c>
      <c r="C822">
        <v>1</v>
      </c>
      <c r="D822" s="1">
        <v>45921</v>
      </c>
      <c r="E822" s="1">
        <v>45924</v>
      </c>
      <c r="F822" t="s">
        <v>1143</v>
      </c>
      <c r="G822" t="s">
        <v>1448</v>
      </c>
      <c r="H822" t="s">
        <v>1480</v>
      </c>
      <c r="I822">
        <v>1</v>
      </c>
      <c r="J822" s="2">
        <v>579.75</v>
      </c>
      <c r="K822" s="3">
        <v>0</v>
      </c>
      <c r="L822" s="2">
        <v>579.75</v>
      </c>
      <c r="M822" s="2">
        <v>188.26</v>
      </c>
      <c r="N822" t="s">
        <v>1494</v>
      </c>
      <c r="O822" t="s">
        <v>1498</v>
      </c>
      <c r="P822" t="s">
        <v>1501</v>
      </c>
    </row>
    <row r="823" spans="1:16" x14ac:dyDescent="0.3">
      <c r="A823">
        <v>822</v>
      </c>
      <c r="B823" t="s">
        <v>792</v>
      </c>
      <c r="C823">
        <v>1</v>
      </c>
      <c r="D823" s="1">
        <v>45921</v>
      </c>
      <c r="E823" s="1">
        <v>45923</v>
      </c>
      <c r="F823" t="s">
        <v>1013</v>
      </c>
      <c r="G823" t="s">
        <v>1386</v>
      </c>
      <c r="H823" t="s">
        <v>1480</v>
      </c>
      <c r="I823">
        <v>1</v>
      </c>
      <c r="J823" s="2">
        <v>1094.7</v>
      </c>
      <c r="K823" s="3">
        <v>0</v>
      </c>
      <c r="L823" s="2">
        <v>1094.7</v>
      </c>
      <c r="M823" s="2">
        <v>63.98</v>
      </c>
      <c r="N823" t="s">
        <v>1496</v>
      </c>
      <c r="O823" t="s">
        <v>1498</v>
      </c>
      <c r="P823" t="s">
        <v>1501</v>
      </c>
    </row>
    <row r="824" spans="1:16" x14ac:dyDescent="0.3">
      <c r="A824">
        <v>823</v>
      </c>
      <c r="B824" t="s">
        <v>793</v>
      </c>
      <c r="C824">
        <v>1</v>
      </c>
      <c r="D824" s="1">
        <v>45922</v>
      </c>
      <c r="E824" s="1">
        <v>45923</v>
      </c>
      <c r="F824" t="s">
        <v>1185</v>
      </c>
      <c r="G824" t="s">
        <v>1334</v>
      </c>
      <c r="H824" t="s">
        <v>1486</v>
      </c>
      <c r="I824">
        <v>1</v>
      </c>
      <c r="J824" s="2">
        <v>1178.5899999999999</v>
      </c>
      <c r="K824" s="3">
        <v>0</v>
      </c>
      <c r="L824" s="2">
        <v>1178.5899999999999</v>
      </c>
      <c r="M824" s="2">
        <v>152.63999999999999</v>
      </c>
      <c r="N824" t="s">
        <v>1494</v>
      </c>
      <c r="O824" t="s">
        <v>1498</v>
      </c>
      <c r="P824" t="s">
        <v>1501</v>
      </c>
    </row>
    <row r="825" spans="1:16" x14ac:dyDescent="0.3">
      <c r="A825">
        <v>824</v>
      </c>
      <c r="B825" t="s">
        <v>794</v>
      </c>
      <c r="C825">
        <v>1</v>
      </c>
      <c r="D825" s="1">
        <v>45923</v>
      </c>
      <c r="E825" s="1">
        <v>45924</v>
      </c>
      <c r="F825" t="s">
        <v>1106</v>
      </c>
      <c r="G825" t="s">
        <v>1338</v>
      </c>
      <c r="H825" t="s">
        <v>1487</v>
      </c>
      <c r="I825">
        <v>1</v>
      </c>
      <c r="J825" s="2">
        <v>1151.02</v>
      </c>
      <c r="K825" s="3">
        <v>0</v>
      </c>
      <c r="L825" s="2">
        <v>1151.02</v>
      </c>
      <c r="M825" s="2">
        <v>149.55000000000001</v>
      </c>
      <c r="N825" t="s">
        <v>1496</v>
      </c>
      <c r="O825" t="s">
        <v>1500</v>
      </c>
      <c r="P825" t="s">
        <v>1501</v>
      </c>
    </row>
    <row r="826" spans="1:16" x14ac:dyDescent="0.3">
      <c r="A826">
        <v>825</v>
      </c>
      <c r="B826" t="s">
        <v>795</v>
      </c>
      <c r="C826">
        <v>2</v>
      </c>
      <c r="D826" s="1">
        <v>45923</v>
      </c>
      <c r="E826" s="1">
        <v>45926</v>
      </c>
      <c r="F826" t="s">
        <v>1108</v>
      </c>
      <c r="G826" t="s">
        <v>1382</v>
      </c>
      <c r="H826" t="s">
        <v>1480</v>
      </c>
      <c r="I826">
        <v>1</v>
      </c>
      <c r="J826" s="2">
        <v>561.82000000000005</v>
      </c>
      <c r="K826" s="3">
        <v>0</v>
      </c>
      <c r="L826" s="2">
        <v>561.82000000000005</v>
      </c>
      <c r="M826" s="2">
        <v>45.76</v>
      </c>
      <c r="N826" t="s">
        <v>1496</v>
      </c>
      <c r="O826" t="s">
        <v>1498</v>
      </c>
      <c r="P826" t="s">
        <v>1501</v>
      </c>
    </row>
    <row r="827" spans="1:16" x14ac:dyDescent="0.3">
      <c r="A827">
        <v>826</v>
      </c>
      <c r="B827" t="s">
        <v>796</v>
      </c>
      <c r="C827">
        <v>1</v>
      </c>
      <c r="D827" s="1">
        <v>45926</v>
      </c>
      <c r="E827" s="1">
        <v>45929</v>
      </c>
      <c r="F827" t="s">
        <v>1009</v>
      </c>
      <c r="G827" t="s">
        <v>1429</v>
      </c>
      <c r="H827" t="s">
        <v>1480</v>
      </c>
      <c r="I827">
        <v>1</v>
      </c>
      <c r="J827" s="2">
        <v>63166.03</v>
      </c>
      <c r="K827" s="3">
        <v>0</v>
      </c>
      <c r="L827" s="2">
        <v>63166.03</v>
      </c>
      <c r="M827" s="2">
        <v>9252.8799999999992</v>
      </c>
      <c r="N827" t="s">
        <v>1496</v>
      </c>
      <c r="O827" t="s">
        <v>1498</v>
      </c>
      <c r="P827" t="s">
        <v>1501</v>
      </c>
    </row>
    <row r="828" spans="1:16" x14ac:dyDescent="0.3">
      <c r="A828">
        <v>827</v>
      </c>
      <c r="B828" t="s">
        <v>797</v>
      </c>
      <c r="C828">
        <v>1</v>
      </c>
      <c r="D828" s="1">
        <v>45926</v>
      </c>
      <c r="E828" s="1">
        <v>45927</v>
      </c>
      <c r="F828" t="s">
        <v>1127</v>
      </c>
      <c r="G828" t="s">
        <v>1401</v>
      </c>
      <c r="H828" t="s">
        <v>1478</v>
      </c>
      <c r="I828">
        <v>3</v>
      </c>
      <c r="J828" s="2">
        <v>50900.49</v>
      </c>
      <c r="K828" s="3">
        <v>0</v>
      </c>
      <c r="L828" s="2">
        <v>152701.47</v>
      </c>
      <c r="M828" s="2">
        <v>23792.22</v>
      </c>
      <c r="N828" t="s">
        <v>1494</v>
      </c>
      <c r="O828" t="s">
        <v>1498</v>
      </c>
      <c r="P828" t="s">
        <v>1501</v>
      </c>
    </row>
    <row r="829" spans="1:16" x14ac:dyDescent="0.3">
      <c r="A829">
        <v>828</v>
      </c>
      <c r="B829" t="s">
        <v>798</v>
      </c>
      <c r="C829">
        <v>2</v>
      </c>
      <c r="D829" s="1">
        <v>45926</v>
      </c>
      <c r="E829" s="1">
        <v>45927</v>
      </c>
      <c r="F829" t="s">
        <v>1139</v>
      </c>
      <c r="G829" t="s">
        <v>1401</v>
      </c>
      <c r="H829" t="s">
        <v>1480</v>
      </c>
      <c r="I829">
        <v>1</v>
      </c>
      <c r="J829" s="2">
        <v>50900.49</v>
      </c>
      <c r="K829" s="3">
        <v>0.25</v>
      </c>
      <c r="L829" s="2">
        <v>38175.370000000003</v>
      </c>
      <c r="M829" s="2">
        <v>-4794.38</v>
      </c>
      <c r="N829" t="s">
        <v>1497</v>
      </c>
      <c r="O829" t="s">
        <v>1498</v>
      </c>
      <c r="P829" t="s">
        <v>1501</v>
      </c>
    </row>
    <row r="830" spans="1:16" x14ac:dyDescent="0.3">
      <c r="A830">
        <v>829</v>
      </c>
      <c r="B830" t="s">
        <v>799</v>
      </c>
      <c r="C830">
        <v>1</v>
      </c>
      <c r="D830" s="1">
        <v>45926</v>
      </c>
      <c r="F830" t="s">
        <v>1182</v>
      </c>
      <c r="G830" t="s">
        <v>1438</v>
      </c>
      <c r="H830" t="s">
        <v>1480</v>
      </c>
      <c r="I830">
        <v>3</v>
      </c>
      <c r="J830" s="2">
        <v>77432.27</v>
      </c>
      <c r="K830" s="3">
        <v>0.15</v>
      </c>
      <c r="L830" s="2">
        <v>197452.29</v>
      </c>
      <c r="M830" s="2">
        <v>-8691.9599999999991</v>
      </c>
      <c r="N830" t="s">
        <v>1496</v>
      </c>
      <c r="O830" t="s">
        <v>1498</v>
      </c>
      <c r="P830" t="s">
        <v>1503</v>
      </c>
    </row>
    <row r="831" spans="1:16" x14ac:dyDescent="0.3">
      <c r="A831">
        <v>830</v>
      </c>
      <c r="B831" t="s">
        <v>800</v>
      </c>
      <c r="C831">
        <v>1</v>
      </c>
      <c r="D831" s="1">
        <v>45927</v>
      </c>
      <c r="E831" s="1">
        <v>45928</v>
      </c>
      <c r="F831" t="s">
        <v>1071</v>
      </c>
      <c r="G831" t="s">
        <v>1406</v>
      </c>
      <c r="H831" t="s">
        <v>1486</v>
      </c>
      <c r="I831">
        <v>1</v>
      </c>
      <c r="J831" s="2">
        <v>150.38</v>
      </c>
      <c r="K831" s="3">
        <v>0</v>
      </c>
      <c r="L831" s="2">
        <v>150.38</v>
      </c>
      <c r="M831" s="2">
        <v>48.61</v>
      </c>
      <c r="N831" t="s">
        <v>1495</v>
      </c>
      <c r="O831" t="s">
        <v>1498</v>
      </c>
      <c r="P831" t="s">
        <v>1501</v>
      </c>
    </row>
    <row r="832" spans="1:16" x14ac:dyDescent="0.3">
      <c r="A832">
        <v>831</v>
      </c>
      <c r="B832" t="s">
        <v>801</v>
      </c>
      <c r="C832">
        <v>1</v>
      </c>
      <c r="D832" s="1">
        <v>45927</v>
      </c>
      <c r="E832" s="1">
        <v>45930</v>
      </c>
      <c r="F832" t="s">
        <v>1105</v>
      </c>
      <c r="G832" t="s">
        <v>1374</v>
      </c>
      <c r="H832" t="s">
        <v>1480</v>
      </c>
      <c r="I832">
        <v>1</v>
      </c>
      <c r="J832" s="2">
        <v>1645.17</v>
      </c>
      <c r="K832" s="3">
        <v>0</v>
      </c>
      <c r="L832" s="2">
        <v>1645.17</v>
      </c>
      <c r="M832" s="2">
        <v>340.93</v>
      </c>
      <c r="N832" t="s">
        <v>1496</v>
      </c>
      <c r="O832" t="s">
        <v>1498</v>
      </c>
      <c r="P832" t="s">
        <v>1501</v>
      </c>
    </row>
    <row r="833" spans="1:16" x14ac:dyDescent="0.3">
      <c r="A833">
        <v>832</v>
      </c>
      <c r="B833" t="s">
        <v>802</v>
      </c>
      <c r="C833">
        <v>2</v>
      </c>
      <c r="D833" s="1">
        <v>45929</v>
      </c>
      <c r="E833" s="1">
        <v>45931</v>
      </c>
      <c r="F833" t="s">
        <v>965</v>
      </c>
      <c r="G833" t="s">
        <v>1414</v>
      </c>
      <c r="H833" t="s">
        <v>1480</v>
      </c>
      <c r="I833">
        <v>1</v>
      </c>
      <c r="J833" s="2">
        <v>20329.61</v>
      </c>
      <c r="K833" s="3">
        <v>0.2</v>
      </c>
      <c r="L833" s="2">
        <v>16263.69</v>
      </c>
      <c r="M833" s="2">
        <v>896.46</v>
      </c>
      <c r="N833" t="s">
        <v>1495</v>
      </c>
      <c r="O833" t="s">
        <v>1498</v>
      </c>
      <c r="P833" t="s">
        <v>1501</v>
      </c>
    </row>
    <row r="834" spans="1:16" x14ac:dyDescent="0.3">
      <c r="A834">
        <v>833</v>
      </c>
      <c r="B834" t="s">
        <v>803</v>
      </c>
      <c r="C834">
        <v>1</v>
      </c>
      <c r="D834" s="1">
        <v>45929</v>
      </c>
      <c r="E834" s="1">
        <v>45930</v>
      </c>
      <c r="F834" t="s">
        <v>1020</v>
      </c>
      <c r="G834" t="s">
        <v>1432</v>
      </c>
      <c r="H834" t="s">
        <v>1480</v>
      </c>
      <c r="I834">
        <v>1</v>
      </c>
      <c r="J834" s="2">
        <v>2490.0500000000002</v>
      </c>
      <c r="K834" s="3">
        <v>0</v>
      </c>
      <c r="L834" s="2">
        <v>2490.0500000000002</v>
      </c>
      <c r="M834" s="2">
        <v>580.75</v>
      </c>
      <c r="N834" t="s">
        <v>1493</v>
      </c>
      <c r="O834" t="s">
        <v>1498</v>
      </c>
      <c r="P834" t="s">
        <v>1501</v>
      </c>
    </row>
    <row r="835" spans="1:16" x14ac:dyDescent="0.3">
      <c r="A835">
        <v>834</v>
      </c>
      <c r="B835" t="s">
        <v>804</v>
      </c>
      <c r="C835">
        <v>1</v>
      </c>
      <c r="D835" s="1">
        <v>45929</v>
      </c>
      <c r="E835" s="1">
        <v>45930</v>
      </c>
      <c r="F835" t="s">
        <v>1189</v>
      </c>
      <c r="G835" t="s">
        <v>1436</v>
      </c>
      <c r="H835" t="s">
        <v>1488</v>
      </c>
      <c r="I835">
        <v>2</v>
      </c>
      <c r="J835" s="2">
        <v>546.80999999999995</v>
      </c>
      <c r="K835" s="3">
        <v>0</v>
      </c>
      <c r="L835" s="2">
        <v>1093.6199999999999</v>
      </c>
      <c r="M835" s="2">
        <v>313.10000000000002</v>
      </c>
      <c r="N835" t="s">
        <v>1494</v>
      </c>
      <c r="O835" t="s">
        <v>1499</v>
      </c>
      <c r="P835" t="s">
        <v>1501</v>
      </c>
    </row>
    <row r="836" spans="1:16" x14ac:dyDescent="0.3">
      <c r="A836">
        <v>835</v>
      </c>
      <c r="B836" t="s">
        <v>805</v>
      </c>
      <c r="C836">
        <v>1</v>
      </c>
      <c r="D836" s="1">
        <v>45930</v>
      </c>
      <c r="E836" s="1">
        <v>45930</v>
      </c>
      <c r="F836" t="s">
        <v>1166</v>
      </c>
      <c r="G836" t="s">
        <v>1374</v>
      </c>
      <c r="H836" t="s">
        <v>1479</v>
      </c>
      <c r="I836">
        <v>2</v>
      </c>
      <c r="J836" s="2">
        <v>1645.17</v>
      </c>
      <c r="K836" s="3">
        <v>0</v>
      </c>
      <c r="L836" s="2">
        <v>3290.34</v>
      </c>
      <c r="M836" s="2">
        <v>681.86</v>
      </c>
      <c r="N836" t="s">
        <v>1496</v>
      </c>
      <c r="O836" t="s">
        <v>1499</v>
      </c>
      <c r="P836" t="s">
        <v>1501</v>
      </c>
    </row>
    <row r="837" spans="1:16" x14ac:dyDescent="0.3">
      <c r="A837">
        <v>836</v>
      </c>
      <c r="B837" t="s">
        <v>806</v>
      </c>
      <c r="C837">
        <v>1</v>
      </c>
      <c r="D837" s="1">
        <v>45930</v>
      </c>
      <c r="E837" s="1">
        <v>45932</v>
      </c>
      <c r="F837" t="s">
        <v>1304</v>
      </c>
      <c r="G837" t="s">
        <v>1375</v>
      </c>
      <c r="H837" t="s">
        <v>1480</v>
      </c>
      <c r="I837">
        <v>2</v>
      </c>
      <c r="J837" s="2">
        <v>35534</v>
      </c>
      <c r="K837" s="3">
        <v>0.1</v>
      </c>
      <c r="L837" s="2">
        <v>63961.2</v>
      </c>
      <c r="M837" s="2">
        <v>4496.32</v>
      </c>
      <c r="N837" t="s">
        <v>1496</v>
      </c>
      <c r="O837" t="s">
        <v>1498</v>
      </c>
      <c r="P837" t="s">
        <v>1501</v>
      </c>
    </row>
    <row r="838" spans="1:16" x14ac:dyDescent="0.3">
      <c r="A838">
        <v>837</v>
      </c>
      <c r="B838" t="s">
        <v>807</v>
      </c>
      <c r="C838">
        <v>2</v>
      </c>
      <c r="D838" s="1">
        <v>45931</v>
      </c>
      <c r="E838" s="1">
        <v>45932</v>
      </c>
      <c r="F838" t="s">
        <v>1091</v>
      </c>
      <c r="G838" t="s">
        <v>1350</v>
      </c>
      <c r="H838" t="s">
        <v>1485</v>
      </c>
      <c r="I838">
        <v>1</v>
      </c>
      <c r="J838" s="2">
        <v>53290.400000000001</v>
      </c>
      <c r="K838" s="3">
        <v>0.1</v>
      </c>
      <c r="L838" s="2">
        <v>47961.36</v>
      </c>
      <c r="M838" s="2">
        <v>1902.64</v>
      </c>
      <c r="N838" t="s">
        <v>1495</v>
      </c>
      <c r="O838" t="s">
        <v>1499</v>
      </c>
      <c r="P838" t="s">
        <v>1501</v>
      </c>
    </row>
    <row r="839" spans="1:16" x14ac:dyDescent="0.3">
      <c r="A839">
        <v>838</v>
      </c>
      <c r="B839" t="s">
        <v>808</v>
      </c>
      <c r="C839">
        <v>1</v>
      </c>
      <c r="D839" s="1">
        <v>45931</v>
      </c>
      <c r="E839" s="1">
        <v>45932</v>
      </c>
      <c r="F839" t="s">
        <v>1057</v>
      </c>
      <c r="G839" t="s">
        <v>1408</v>
      </c>
      <c r="H839" t="s">
        <v>1483</v>
      </c>
      <c r="I839">
        <v>2</v>
      </c>
      <c r="J839" s="2">
        <v>3284.39</v>
      </c>
      <c r="K839" s="3">
        <v>0</v>
      </c>
      <c r="L839" s="2">
        <v>6568.78</v>
      </c>
      <c r="M839" s="2">
        <v>1775.76</v>
      </c>
      <c r="N839" t="s">
        <v>1495</v>
      </c>
      <c r="O839" t="s">
        <v>1498</v>
      </c>
      <c r="P839" t="s">
        <v>1501</v>
      </c>
    </row>
    <row r="840" spans="1:16" x14ac:dyDescent="0.3">
      <c r="A840">
        <v>839</v>
      </c>
      <c r="B840" t="s">
        <v>809</v>
      </c>
      <c r="C840">
        <v>1</v>
      </c>
      <c r="D840" s="1">
        <v>45932</v>
      </c>
      <c r="E840" s="1">
        <v>45933</v>
      </c>
      <c r="F840" t="s">
        <v>1235</v>
      </c>
      <c r="G840" t="s">
        <v>1469</v>
      </c>
      <c r="H840" t="s">
        <v>1481</v>
      </c>
      <c r="I840">
        <v>1</v>
      </c>
      <c r="J840" s="2">
        <v>13987.04</v>
      </c>
      <c r="K840" s="3">
        <v>0.1</v>
      </c>
      <c r="L840" s="2">
        <v>12588.34</v>
      </c>
      <c r="M840" s="2">
        <v>2225.0500000000002</v>
      </c>
      <c r="N840" t="s">
        <v>1496</v>
      </c>
      <c r="O840" t="s">
        <v>1499</v>
      </c>
      <c r="P840" t="s">
        <v>1501</v>
      </c>
    </row>
    <row r="841" spans="1:16" x14ac:dyDescent="0.3">
      <c r="A841">
        <v>840</v>
      </c>
      <c r="B841" t="s">
        <v>810</v>
      </c>
      <c r="C841">
        <v>2</v>
      </c>
      <c r="D841" s="1">
        <v>45932</v>
      </c>
      <c r="E841" s="1">
        <v>45933</v>
      </c>
      <c r="F841" t="s">
        <v>1299</v>
      </c>
      <c r="G841" t="s">
        <v>1364</v>
      </c>
      <c r="H841" t="s">
        <v>1480</v>
      </c>
      <c r="I841">
        <v>1</v>
      </c>
      <c r="J841" s="2">
        <v>590.01</v>
      </c>
      <c r="K841" s="3">
        <v>0</v>
      </c>
      <c r="L841" s="2">
        <v>590.01</v>
      </c>
      <c r="M841" s="2">
        <v>72.55</v>
      </c>
      <c r="N841" t="s">
        <v>1494</v>
      </c>
      <c r="O841" t="s">
        <v>1498</v>
      </c>
      <c r="P841" t="s">
        <v>1501</v>
      </c>
    </row>
    <row r="842" spans="1:16" x14ac:dyDescent="0.3">
      <c r="A842">
        <v>841</v>
      </c>
      <c r="B842" t="s">
        <v>811</v>
      </c>
      <c r="C842">
        <v>1</v>
      </c>
      <c r="D842" s="1">
        <v>45934</v>
      </c>
      <c r="F842" t="s">
        <v>1008</v>
      </c>
      <c r="G842" t="s">
        <v>1395</v>
      </c>
      <c r="H842" t="s">
        <v>1489</v>
      </c>
      <c r="I842">
        <v>1</v>
      </c>
      <c r="J842" s="2">
        <v>5383.63</v>
      </c>
      <c r="K842" s="3">
        <v>0</v>
      </c>
      <c r="L842" s="2">
        <v>5383.63</v>
      </c>
      <c r="M842" s="2">
        <v>1175.04</v>
      </c>
      <c r="N842" t="s">
        <v>1496</v>
      </c>
      <c r="O842" t="s">
        <v>1499</v>
      </c>
      <c r="P842" t="s">
        <v>1503</v>
      </c>
    </row>
    <row r="843" spans="1:16" x14ac:dyDescent="0.3">
      <c r="A843">
        <v>842</v>
      </c>
      <c r="B843" t="s">
        <v>812</v>
      </c>
      <c r="C843">
        <v>1</v>
      </c>
      <c r="D843" s="1">
        <v>45935</v>
      </c>
      <c r="E843" s="1">
        <v>45937</v>
      </c>
      <c r="F843" t="s">
        <v>1075</v>
      </c>
      <c r="G843" t="s">
        <v>1361</v>
      </c>
      <c r="H843" t="s">
        <v>1480</v>
      </c>
      <c r="I843">
        <v>1</v>
      </c>
      <c r="J843" s="2">
        <v>4840.8599999999997</v>
      </c>
      <c r="K843" s="3">
        <v>0.1</v>
      </c>
      <c r="L843" s="2">
        <v>4356.7700000000004</v>
      </c>
      <c r="M843" s="2">
        <v>951.36</v>
      </c>
      <c r="N843" t="s">
        <v>1495</v>
      </c>
      <c r="O843" t="s">
        <v>1499</v>
      </c>
      <c r="P843" t="s">
        <v>1501</v>
      </c>
    </row>
    <row r="844" spans="1:16" x14ac:dyDescent="0.3">
      <c r="A844">
        <v>843</v>
      </c>
      <c r="B844" t="s">
        <v>813</v>
      </c>
      <c r="C844">
        <v>1</v>
      </c>
      <c r="D844" s="1">
        <v>45935</v>
      </c>
      <c r="E844" s="1">
        <v>45936</v>
      </c>
      <c r="F844" t="s">
        <v>1287</v>
      </c>
      <c r="G844" t="s">
        <v>1435</v>
      </c>
      <c r="H844" t="s">
        <v>1492</v>
      </c>
      <c r="I844">
        <v>1</v>
      </c>
      <c r="J844" s="2">
        <v>62926.96</v>
      </c>
      <c r="K844" s="3">
        <v>0</v>
      </c>
      <c r="L844" s="2">
        <v>62926.96</v>
      </c>
      <c r="M844" s="2">
        <v>9214.48</v>
      </c>
      <c r="N844" t="s">
        <v>1494</v>
      </c>
      <c r="O844" t="s">
        <v>1498</v>
      </c>
      <c r="P844" t="s">
        <v>1502</v>
      </c>
    </row>
    <row r="845" spans="1:16" x14ac:dyDescent="0.3">
      <c r="A845">
        <v>844</v>
      </c>
      <c r="B845" t="s">
        <v>814</v>
      </c>
      <c r="C845">
        <v>1</v>
      </c>
      <c r="D845" s="1">
        <v>45935</v>
      </c>
      <c r="E845" s="1">
        <v>45937</v>
      </c>
      <c r="F845" t="s">
        <v>1216</v>
      </c>
      <c r="G845" t="s">
        <v>1453</v>
      </c>
      <c r="H845" t="s">
        <v>1480</v>
      </c>
      <c r="I845">
        <v>2</v>
      </c>
      <c r="J845" s="2">
        <v>507.34</v>
      </c>
      <c r="K845" s="3">
        <v>0.2</v>
      </c>
      <c r="L845" s="2">
        <v>811.74</v>
      </c>
      <c r="M845" s="2">
        <v>184.8</v>
      </c>
      <c r="N845" t="s">
        <v>1496</v>
      </c>
      <c r="O845" t="s">
        <v>1500</v>
      </c>
      <c r="P845" t="s">
        <v>1501</v>
      </c>
    </row>
    <row r="846" spans="1:16" x14ac:dyDescent="0.3">
      <c r="A846">
        <v>845</v>
      </c>
      <c r="B846" t="s">
        <v>815</v>
      </c>
      <c r="C846">
        <v>1</v>
      </c>
      <c r="D846" s="1">
        <v>45935</v>
      </c>
      <c r="E846" s="1">
        <v>45936</v>
      </c>
      <c r="F846" t="s">
        <v>1305</v>
      </c>
      <c r="G846" t="s">
        <v>1368</v>
      </c>
      <c r="H846" t="s">
        <v>1479</v>
      </c>
      <c r="I846">
        <v>1</v>
      </c>
      <c r="J846" s="2">
        <v>1640.09</v>
      </c>
      <c r="K846" s="3">
        <v>0</v>
      </c>
      <c r="L846" s="2">
        <v>1640.09</v>
      </c>
      <c r="M846" s="2">
        <v>324.18</v>
      </c>
      <c r="N846" t="s">
        <v>1495</v>
      </c>
      <c r="O846" t="s">
        <v>1500</v>
      </c>
      <c r="P846" t="s">
        <v>1501</v>
      </c>
    </row>
    <row r="847" spans="1:16" x14ac:dyDescent="0.3">
      <c r="A847">
        <v>846</v>
      </c>
      <c r="B847" t="s">
        <v>816</v>
      </c>
      <c r="C847">
        <v>2</v>
      </c>
      <c r="D847" s="1">
        <v>45936</v>
      </c>
      <c r="E847" s="1">
        <v>45939</v>
      </c>
      <c r="F847" t="s">
        <v>1079</v>
      </c>
      <c r="G847" t="s">
        <v>1439</v>
      </c>
      <c r="H847" t="s">
        <v>1480</v>
      </c>
      <c r="I847">
        <v>1</v>
      </c>
      <c r="J847" s="2">
        <v>2679.96</v>
      </c>
      <c r="K847" s="3">
        <v>0.05</v>
      </c>
      <c r="L847" s="2">
        <v>2545.96</v>
      </c>
      <c r="M847" s="2">
        <v>466.58</v>
      </c>
      <c r="N847" t="s">
        <v>1496</v>
      </c>
      <c r="O847" t="s">
        <v>1498</v>
      </c>
      <c r="P847" t="s">
        <v>1501</v>
      </c>
    </row>
    <row r="848" spans="1:16" x14ac:dyDescent="0.3">
      <c r="A848">
        <v>847</v>
      </c>
      <c r="B848" t="s">
        <v>817</v>
      </c>
      <c r="C848">
        <v>1</v>
      </c>
      <c r="D848" s="1">
        <v>45937</v>
      </c>
      <c r="E848" s="1">
        <v>45937</v>
      </c>
      <c r="F848" t="s">
        <v>1185</v>
      </c>
      <c r="G848" t="s">
        <v>1430</v>
      </c>
      <c r="H848" t="s">
        <v>1485</v>
      </c>
      <c r="I848">
        <v>1</v>
      </c>
      <c r="J848" s="2">
        <v>1148.97</v>
      </c>
      <c r="K848" s="3">
        <v>0</v>
      </c>
      <c r="L848" s="2">
        <v>1148.97</v>
      </c>
      <c r="M848" s="2">
        <v>88.53</v>
      </c>
      <c r="N848" t="s">
        <v>1494</v>
      </c>
      <c r="O848" t="s">
        <v>1499</v>
      </c>
      <c r="P848" t="s">
        <v>1501</v>
      </c>
    </row>
    <row r="849" spans="1:16" x14ac:dyDescent="0.3">
      <c r="A849">
        <v>848</v>
      </c>
      <c r="B849" t="s">
        <v>818</v>
      </c>
      <c r="C849">
        <v>1</v>
      </c>
      <c r="D849" s="1">
        <v>45937</v>
      </c>
      <c r="E849" s="1">
        <v>45940</v>
      </c>
      <c r="F849" t="s">
        <v>1146</v>
      </c>
      <c r="G849" t="s">
        <v>1336</v>
      </c>
      <c r="H849" t="s">
        <v>1480</v>
      </c>
      <c r="I849">
        <v>1</v>
      </c>
      <c r="J849" s="2">
        <v>18469.3</v>
      </c>
      <c r="K849" s="3">
        <v>0.05</v>
      </c>
      <c r="L849" s="2">
        <v>17545.830000000002</v>
      </c>
      <c r="M849" s="2">
        <v>3975.19</v>
      </c>
      <c r="N849" t="s">
        <v>1494</v>
      </c>
      <c r="O849" t="s">
        <v>1499</v>
      </c>
      <c r="P849" t="s">
        <v>1502</v>
      </c>
    </row>
    <row r="850" spans="1:16" x14ac:dyDescent="0.3">
      <c r="A850">
        <v>849</v>
      </c>
      <c r="B850" t="s">
        <v>819</v>
      </c>
      <c r="C850">
        <v>2</v>
      </c>
      <c r="D850" s="1">
        <v>45939</v>
      </c>
      <c r="E850" s="1">
        <v>45939</v>
      </c>
      <c r="F850" t="s">
        <v>1017</v>
      </c>
      <c r="G850" t="s">
        <v>1370</v>
      </c>
      <c r="H850" t="s">
        <v>1485</v>
      </c>
      <c r="I850">
        <v>1</v>
      </c>
      <c r="J850" s="2">
        <v>19480.22</v>
      </c>
      <c r="K850" s="3">
        <v>0</v>
      </c>
      <c r="L850" s="2">
        <v>19480.22</v>
      </c>
      <c r="M850" s="2">
        <v>1671.99</v>
      </c>
      <c r="N850" t="s">
        <v>1494</v>
      </c>
      <c r="O850" t="s">
        <v>1498</v>
      </c>
      <c r="P850" t="s">
        <v>1501</v>
      </c>
    </row>
    <row r="851" spans="1:16" x14ac:dyDescent="0.3">
      <c r="A851">
        <v>850</v>
      </c>
      <c r="B851" t="s">
        <v>820</v>
      </c>
      <c r="C851">
        <v>1</v>
      </c>
      <c r="D851" s="1">
        <v>45939</v>
      </c>
      <c r="E851" s="1">
        <v>45942</v>
      </c>
      <c r="F851" t="s">
        <v>1051</v>
      </c>
      <c r="G851" t="s">
        <v>1411</v>
      </c>
      <c r="H851" t="s">
        <v>1480</v>
      </c>
      <c r="I851">
        <v>2</v>
      </c>
      <c r="J851" s="2">
        <v>65997.17</v>
      </c>
      <c r="K851" s="3">
        <v>0</v>
      </c>
      <c r="L851" s="2">
        <v>131994.34</v>
      </c>
      <c r="M851" s="2">
        <v>16412.36</v>
      </c>
      <c r="N851" t="s">
        <v>1493</v>
      </c>
      <c r="O851" t="s">
        <v>1499</v>
      </c>
      <c r="P851" t="s">
        <v>1501</v>
      </c>
    </row>
    <row r="852" spans="1:16" x14ac:dyDescent="0.3">
      <c r="A852">
        <v>851</v>
      </c>
      <c r="B852" t="s">
        <v>821</v>
      </c>
      <c r="C852">
        <v>1</v>
      </c>
      <c r="D852" s="1">
        <v>45939</v>
      </c>
      <c r="E852" s="1">
        <v>45940</v>
      </c>
      <c r="F852" t="s">
        <v>1159</v>
      </c>
      <c r="G852" t="s">
        <v>1364</v>
      </c>
      <c r="H852" t="s">
        <v>1480</v>
      </c>
      <c r="I852">
        <v>1</v>
      </c>
      <c r="J852" s="2">
        <v>590.01</v>
      </c>
      <c r="K852" s="3">
        <v>0</v>
      </c>
      <c r="L852" s="2">
        <v>590.01</v>
      </c>
      <c r="M852" s="2">
        <v>72.55</v>
      </c>
      <c r="N852" t="s">
        <v>1497</v>
      </c>
      <c r="O852" t="s">
        <v>1499</v>
      </c>
      <c r="P852" t="s">
        <v>1501</v>
      </c>
    </row>
    <row r="853" spans="1:16" x14ac:dyDescent="0.3">
      <c r="A853">
        <v>852</v>
      </c>
      <c r="B853" t="s">
        <v>822</v>
      </c>
      <c r="C853">
        <v>1</v>
      </c>
      <c r="D853" s="1">
        <v>45939</v>
      </c>
      <c r="E853" s="1">
        <v>45941</v>
      </c>
      <c r="F853" t="s">
        <v>1106</v>
      </c>
      <c r="G853" t="s">
        <v>1451</v>
      </c>
      <c r="H853" t="s">
        <v>1480</v>
      </c>
      <c r="I853">
        <v>1</v>
      </c>
      <c r="J853" s="2">
        <v>43188.76</v>
      </c>
      <c r="K853" s="3">
        <v>0</v>
      </c>
      <c r="L853" s="2">
        <v>43188.76</v>
      </c>
      <c r="M853" s="2">
        <v>10182.15</v>
      </c>
      <c r="N853" t="s">
        <v>1494</v>
      </c>
      <c r="O853" t="s">
        <v>1498</v>
      </c>
      <c r="P853" t="s">
        <v>1501</v>
      </c>
    </row>
    <row r="854" spans="1:16" x14ac:dyDescent="0.3">
      <c r="A854">
        <v>853</v>
      </c>
      <c r="B854" t="s">
        <v>823</v>
      </c>
      <c r="C854">
        <v>1</v>
      </c>
      <c r="D854" s="1">
        <v>45941</v>
      </c>
      <c r="E854" s="1">
        <v>45943</v>
      </c>
      <c r="F854" t="s">
        <v>1228</v>
      </c>
      <c r="G854" t="s">
        <v>1449</v>
      </c>
      <c r="H854" t="s">
        <v>1480</v>
      </c>
      <c r="I854">
        <v>1</v>
      </c>
      <c r="J854" s="2">
        <v>22795.96</v>
      </c>
      <c r="K854" s="3">
        <v>0</v>
      </c>
      <c r="L854" s="2">
        <v>22795.96</v>
      </c>
      <c r="M854" s="2">
        <v>5097.3100000000004</v>
      </c>
      <c r="N854" t="s">
        <v>1496</v>
      </c>
      <c r="O854" t="s">
        <v>1499</v>
      </c>
      <c r="P854" t="s">
        <v>1501</v>
      </c>
    </row>
    <row r="855" spans="1:16" x14ac:dyDescent="0.3">
      <c r="A855">
        <v>854</v>
      </c>
      <c r="B855" t="s">
        <v>824</v>
      </c>
      <c r="C855">
        <v>1</v>
      </c>
      <c r="D855" s="1">
        <v>45942</v>
      </c>
      <c r="E855" s="1">
        <v>45943</v>
      </c>
      <c r="F855" t="s">
        <v>1306</v>
      </c>
      <c r="G855" t="s">
        <v>1370</v>
      </c>
      <c r="H855" t="s">
        <v>1480</v>
      </c>
      <c r="I855">
        <v>1</v>
      </c>
      <c r="J855" s="2">
        <v>19480.22</v>
      </c>
      <c r="K855" s="3">
        <v>0</v>
      </c>
      <c r="L855" s="2">
        <v>19480.22</v>
      </c>
      <c r="M855" s="2">
        <v>1671.99</v>
      </c>
      <c r="N855" t="s">
        <v>1494</v>
      </c>
      <c r="O855" t="s">
        <v>1498</v>
      </c>
      <c r="P855" t="s">
        <v>1501</v>
      </c>
    </row>
    <row r="856" spans="1:16" x14ac:dyDescent="0.3">
      <c r="A856">
        <v>855</v>
      </c>
      <c r="B856" t="s">
        <v>824</v>
      </c>
      <c r="C856">
        <v>2</v>
      </c>
      <c r="D856" s="1">
        <v>45942</v>
      </c>
      <c r="E856" s="1">
        <v>45943</v>
      </c>
      <c r="F856" t="s">
        <v>1306</v>
      </c>
      <c r="G856" t="s">
        <v>1433</v>
      </c>
      <c r="H856" t="s">
        <v>1480</v>
      </c>
      <c r="I856">
        <v>2</v>
      </c>
      <c r="J856" s="2">
        <v>2067.91</v>
      </c>
      <c r="K856" s="3">
        <v>0</v>
      </c>
      <c r="L856" s="2">
        <v>4135.82</v>
      </c>
      <c r="M856" s="2">
        <v>1152.96</v>
      </c>
      <c r="N856" t="s">
        <v>1494</v>
      </c>
      <c r="O856" t="s">
        <v>1498</v>
      </c>
      <c r="P856" t="s">
        <v>1501</v>
      </c>
    </row>
    <row r="857" spans="1:16" x14ac:dyDescent="0.3">
      <c r="A857">
        <v>856</v>
      </c>
      <c r="B857" t="s">
        <v>825</v>
      </c>
      <c r="C857">
        <v>1</v>
      </c>
      <c r="D857" s="1">
        <v>45945</v>
      </c>
      <c r="E857" s="1">
        <v>45948</v>
      </c>
      <c r="F857" t="s">
        <v>1058</v>
      </c>
      <c r="G857" t="s">
        <v>1418</v>
      </c>
      <c r="H857" t="s">
        <v>1480</v>
      </c>
      <c r="I857">
        <v>1</v>
      </c>
      <c r="J857" s="2">
        <v>30604.9</v>
      </c>
      <c r="K857" s="3">
        <v>0</v>
      </c>
      <c r="L857" s="2">
        <v>30604.9</v>
      </c>
      <c r="M857" s="2">
        <v>7928.17</v>
      </c>
      <c r="N857" t="s">
        <v>1496</v>
      </c>
      <c r="O857" t="s">
        <v>1500</v>
      </c>
      <c r="P857" t="s">
        <v>1501</v>
      </c>
    </row>
    <row r="858" spans="1:16" x14ac:dyDescent="0.3">
      <c r="A858">
        <v>857</v>
      </c>
      <c r="B858" t="s">
        <v>826</v>
      </c>
      <c r="C858">
        <v>1</v>
      </c>
      <c r="D858" s="1">
        <v>45945</v>
      </c>
      <c r="E858" s="1">
        <v>45946</v>
      </c>
      <c r="F858" t="s">
        <v>1263</v>
      </c>
      <c r="G858" t="s">
        <v>1432</v>
      </c>
      <c r="H858" t="s">
        <v>1480</v>
      </c>
      <c r="I858">
        <v>1</v>
      </c>
      <c r="J858" s="2">
        <v>2490.0500000000002</v>
      </c>
      <c r="K858" s="3">
        <v>0.15</v>
      </c>
      <c r="L858" s="2">
        <v>2116.54</v>
      </c>
      <c r="M858" s="2">
        <v>207.24</v>
      </c>
      <c r="N858" t="s">
        <v>1495</v>
      </c>
      <c r="O858" t="s">
        <v>1498</v>
      </c>
      <c r="P858" t="s">
        <v>1501</v>
      </c>
    </row>
    <row r="859" spans="1:16" x14ac:dyDescent="0.3">
      <c r="A859">
        <v>858</v>
      </c>
      <c r="B859" t="s">
        <v>827</v>
      </c>
      <c r="C859">
        <v>2</v>
      </c>
      <c r="D859" s="1">
        <v>45946</v>
      </c>
      <c r="E859" s="1">
        <v>45949</v>
      </c>
      <c r="F859" t="s">
        <v>1009</v>
      </c>
      <c r="G859" t="s">
        <v>1370</v>
      </c>
      <c r="H859" t="s">
        <v>1480</v>
      </c>
      <c r="I859">
        <v>1</v>
      </c>
      <c r="J859" s="2">
        <v>19480.22</v>
      </c>
      <c r="K859" s="3">
        <v>0</v>
      </c>
      <c r="L859" s="2">
        <v>19480.22</v>
      </c>
      <c r="M859" s="2">
        <v>1671.99</v>
      </c>
      <c r="N859" t="s">
        <v>1495</v>
      </c>
      <c r="O859" t="s">
        <v>1498</v>
      </c>
      <c r="P859" t="s">
        <v>1501</v>
      </c>
    </row>
    <row r="860" spans="1:16" x14ac:dyDescent="0.3">
      <c r="A860">
        <v>859</v>
      </c>
      <c r="B860" t="s">
        <v>828</v>
      </c>
      <c r="C860">
        <v>2</v>
      </c>
      <c r="D860" s="1">
        <v>45946</v>
      </c>
      <c r="E860" s="1">
        <v>45949</v>
      </c>
      <c r="F860" t="s">
        <v>1003</v>
      </c>
      <c r="G860" t="s">
        <v>1410</v>
      </c>
      <c r="H860" t="s">
        <v>1480</v>
      </c>
      <c r="I860">
        <v>2</v>
      </c>
      <c r="J860" s="2">
        <v>1753.24</v>
      </c>
      <c r="K860" s="3">
        <v>0</v>
      </c>
      <c r="L860" s="2">
        <v>3506.48</v>
      </c>
      <c r="M860" s="2">
        <v>1156.5999999999999</v>
      </c>
      <c r="N860" t="s">
        <v>1496</v>
      </c>
      <c r="O860" t="s">
        <v>1499</v>
      </c>
      <c r="P860" t="s">
        <v>1501</v>
      </c>
    </row>
    <row r="861" spans="1:16" x14ac:dyDescent="0.3">
      <c r="A861">
        <v>860</v>
      </c>
      <c r="B861" t="s">
        <v>829</v>
      </c>
      <c r="C861">
        <v>1</v>
      </c>
      <c r="D861" s="1">
        <v>45946</v>
      </c>
      <c r="E861" s="1">
        <v>45948</v>
      </c>
      <c r="F861" t="s">
        <v>967</v>
      </c>
      <c r="G861" t="s">
        <v>1434</v>
      </c>
      <c r="H861" t="s">
        <v>1480</v>
      </c>
      <c r="I861">
        <v>1</v>
      </c>
      <c r="J861" s="2">
        <v>994.69</v>
      </c>
      <c r="K861" s="3">
        <v>0</v>
      </c>
      <c r="L861" s="2">
        <v>994.69</v>
      </c>
      <c r="M861" s="2">
        <v>91.37</v>
      </c>
      <c r="N861" t="s">
        <v>1495</v>
      </c>
      <c r="O861" t="s">
        <v>1498</v>
      </c>
      <c r="P861" t="s">
        <v>1501</v>
      </c>
    </row>
    <row r="862" spans="1:16" x14ac:dyDescent="0.3">
      <c r="A862">
        <v>861</v>
      </c>
      <c r="B862" t="s">
        <v>830</v>
      </c>
      <c r="C862">
        <v>3</v>
      </c>
      <c r="D862" s="1">
        <v>45949</v>
      </c>
      <c r="E862" s="1">
        <v>45952</v>
      </c>
      <c r="F862" t="s">
        <v>1077</v>
      </c>
      <c r="G862" t="s">
        <v>1442</v>
      </c>
      <c r="H862" t="s">
        <v>1480</v>
      </c>
      <c r="I862">
        <v>1</v>
      </c>
      <c r="J862" s="2">
        <v>603.28</v>
      </c>
      <c r="K862" s="3">
        <v>0.05</v>
      </c>
      <c r="L862" s="2">
        <v>573.12</v>
      </c>
      <c r="M862" s="2">
        <v>191.99</v>
      </c>
      <c r="N862" t="s">
        <v>1496</v>
      </c>
      <c r="O862" t="s">
        <v>1498</v>
      </c>
      <c r="P862" t="s">
        <v>1501</v>
      </c>
    </row>
    <row r="863" spans="1:16" x14ac:dyDescent="0.3">
      <c r="A863">
        <v>862</v>
      </c>
      <c r="B863" t="s">
        <v>831</v>
      </c>
      <c r="C863">
        <v>1</v>
      </c>
      <c r="D863" s="1">
        <v>45949</v>
      </c>
      <c r="E863" s="1">
        <v>45951</v>
      </c>
      <c r="F863" t="s">
        <v>1048</v>
      </c>
      <c r="G863" t="s">
        <v>1381</v>
      </c>
      <c r="H863" t="s">
        <v>1480</v>
      </c>
      <c r="I863">
        <v>2</v>
      </c>
      <c r="J863" s="2">
        <v>4870.55</v>
      </c>
      <c r="K863" s="3">
        <v>0</v>
      </c>
      <c r="L863" s="2">
        <v>9741.1</v>
      </c>
      <c r="M863" s="2">
        <v>3953.86</v>
      </c>
      <c r="N863" t="s">
        <v>1496</v>
      </c>
      <c r="O863" t="s">
        <v>1498</v>
      </c>
      <c r="P863" t="s">
        <v>1501</v>
      </c>
    </row>
    <row r="864" spans="1:16" x14ac:dyDescent="0.3">
      <c r="A864">
        <v>863</v>
      </c>
      <c r="B864" t="s">
        <v>832</v>
      </c>
      <c r="C864">
        <v>2</v>
      </c>
      <c r="D864" s="1">
        <v>45950</v>
      </c>
      <c r="E864" s="1">
        <v>45951</v>
      </c>
      <c r="F864" t="s">
        <v>1258</v>
      </c>
      <c r="G864" t="s">
        <v>1453</v>
      </c>
      <c r="H864" t="s">
        <v>1480</v>
      </c>
      <c r="I864">
        <v>1</v>
      </c>
      <c r="J864" s="2">
        <v>507.34</v>
      </c>
      <c r="K864" s="3">
        <v>0</v>
      </c>
      <c r="L864" s="2">
        <v>507.34</v>
      </c>
      <c r="M864" s="2">
        <v>193.87</v>
      </c>
      <c r="N864" t="s">
        <v>1496</v>
      </c>
      <c r="O864" t="s">
        <v>1499</v>
      </c>
      <c r="P864" t="s">
        <v>1501</v>
      </c>
    </row>
    <row r="865" spans="1:16" x14ac:dyDescent="0.3">
      <c r="A865">
        <v>864</v>
      </c>
      <c r="B865" t="s">
        <v>833</v>
      </c>
      <c r="C865">
        <v>2</v>
      </c>
      <c r="D865" s="1">
        <v>45950</v>
      </c>
      <c r="E865" s="1">
        <v>45951</v>
      </c>
      <c r="F865" t="s">
        <v>1259</v>
      </c>
      <c r="G865" t="s">
        <v>1428</v>
      </c>
      <c r="H865" t="s">
        <v>1480</v>
      </c>
      <c r="I865">
        <v>3</v>
      </c>
      <c r="J865" s="2">
        <v>460.36</v>
      </c>
      <c r="K865" s="3">
        <v>0</v>
      </c>
      <c r="L865" s="2">
        <v>1381.08</v>
      </c>
      <c r="M865" s="2">
        <v>132.38999999999999</v>
      </c>
      <c r="N865" t="s">
        <v>1496</v>
      </c>
      <c r="O865" t="s">
        <v>1498</v>
      </c>
      <c r="P865" t="s">
        <v>1501</v>
      </c>
    </row>
    <row r="866" spans="1:16" x14ac:dyDescent="0.3">
      <c r="A866">
        <v>865</v>
      </c>
      <c r="B866" t="s">
        <v>834</v>
      </c>
      <c r="C866">
        <v>1</v>
      </c>
      <c r="D866" s="1">
        <v>45950</v>
      </c>
      <c r="E866" s="1">
        <v>45951</v>
      </c>
      <c r="F866" t="s">
        <v>1175</v>
      </c>
      <c r="G866" t="s">
        <v>1342</v>
      </c>
      <c r="H866" t="s">
        <v>1480</v>
      </c>
      <c r="I866">
        <v>1</v>
      </c>
      <c r="J866" s="2">
        <v>18924.84</v>
      </c>
      <c r="K866" s="3">
        <v>0</v>
      </c>
      <c r="L866" s="2">
        <v>18924.84</v>
      </c>
      <c r="M866" s="2">
        <v>2781.6</v>
      </c>
      <c r="N866" t="s">
        <v>1497</v>
      </c>
      <c r="O866" t="s">
        <v>1498</v>
      </c>
      <c r="P866" t="s">
        <v>1501</v>
      </c>
    </row>
    <row r="867" spans="1:16" x14ac:dyDescent="0.3">
      <c r="A867">
        <v>866</v>
      </c>
      <c r="B867" t="s">
        <v>835</v>
      </c>
      <c r="C867">
        <v>1</v>
      </c>
      <c r="D867" s="1">
        <v>45950</v>
      </c>
      <c r="E867" s="1">
        <v>45953</v>
      </c>
      <c r="F867" t="s">
        <v>1241</v>
      </c>
      <c r="G867" t="s">
        <v>1433</v>
      </c>
      <c r="H867" t="s">
        <v>1480</v>
      </c>
      <c r="I867">
        <v>1</v>
      </c>
      <c r="J867" s="2">
        <v>2067.91</v>
      </c>
      <c r="K867" s="3">
        <v>0</v>
      </c>
      <c r="L867" s="2">
        <v>2067.91</v>
      </c>
      <c r="M867" s="2">
        <v>576.48</v>
      </c>
      <c r="N867" t="s">
        <v>1494</v>
      </c>
      <c r="O867" t="s">
        <v>1498</v>
      </c>
      <c r="P867" t="s">
        <v>1501</v>
      </c>
    </row>
    <row r="868" spans="1:16" x14ac:dyDescent="0.3">
      <c r="A868">
        <v>867</v>
      </c>
      <c r="B868" t="s">
        <v>836</v>
      </c>
      <c r="C868">
        <v>1</v>
      </c>
      <c r="D868" s="1">
        <v>45950</v>
      </c>
      <c r="E868" s="1">
        <v>45952</v>
      </c>
      <c r="F868" t="s">
        <v>1046</v>
      </c>
      <c r="G868" t="s">
        <v>1379</v>
      </c>
      <c r="H868" t="s">
        <v>1480</v>
      </c>
      <c r="I868">
        <v>1</v>
      </c>
      <c r="J868" s="2">
        <v>20939.349999999999</v>
      </c>
      <c r="K868" s="3">
        <v>0</v>
      </c>
      <c r="L868" s="2">
        <v>20939.349999999999</v>
      </c>
      <c r="M868" s="2">
        <v>5833.44</v>
      </c>
      <c r="N868" t="s">
        <v>1496</v>
      </c>
      <c r="O868" t="s">
        <v>1499</v>
      </c>
      <c r="P868" t="s">
        <v>1501</v>
      </c>
    </row>
    <row r="869" spans="1:16" x14ac:dyDescent="0.3">
      <c r="A869">
        <v>868</v>
      </c>
      <c r="B869" t="s">
        <v>837</v>
      </c>
      <c r="C869">
        <v>1</v>
      </c>
      <c r="D869" s="1">
        <v>45951</v>
      </c>
      <c r="E869" s="1">
        <v>45951</v>
      </c>
      <c r="F869" t="s">
        <v>1150</v>
      </c>
      <c r="G869" t="s">
        <v>1467</v>
      </c>
      <c r="H869" t="s">
        <v>1479</v>
      </c>
      <c r="I869">
        <v>2</v>
      </c>
      <c r="J869" s="2">
        <v>16820.04</v>
      </c>
      <c r="K869" s="3">
        <v>0</v>
      </c>
      <c r="L869" s="2">
        <v>33640.080000000002</v>
      </c>
      <c r="M869" s="2">
        <v>8382.34</v>
      </c>
      <c r="N869" t="s">
        <v>1496</v>
      </c>
      <c r="O869" t="s">
        <v>1498</v>
      </c>
      <c r="P869" t="s">
        <v>1501</v>
      </c>
    </row>
    <row r="870" spans="1:16" x14ac:dyDescent="0.3">
      <c r="A870">
        <v>869</v>
      </c>
      <c r="B870" t="s">
        <v>838</v>
      </c>
      <c r="C870">
        <v>1</v>
      </c>
      <c r="D870" s="1">
        <v>45952</v>
      </c>
      <c r="E870" s="1">
        <v>45954</v>
      </c>
      <c r="F870" t="s">
        <v>1230</v>
      </c>
      <c r="G870" t="s">
        <v>1454</v>
      </c>
      <c r="H870" t="s">
        <v>1480</v>
      </c>
      <c r="I870">
        <v>1</v>
      </c>
      <c r="J870" s="2">
        <v>51141.75</v>
      </c>
      <c r="K870" s="3">
        <v>0</v>
      </c>
      <c r="L870" s="2">
        <v>51141.75</v>
      </c>
      <c r="M870" s="2">
        <v>6922.44</v>
      </c>
      <c r="N870" t="s">
        <v>1495</v>
      </c>
      <c r="O870" t="s">
        <v>1499</v>
      </c>
      <c r="P870" t="s">
        <v>1502</v>
      </c>
    </row>
    <row r="871" spans="1:16" x14ac:dyDescent="0.3">
      <c r="A871">
        <v>870</v>
      </c>
      <c r="B871" t="s">
        <v>839</v>
      </c>
      <c r="C871">
        <v>1</v>
      </c>
      <c r="D871" s="1">
        <v>45952</v>
      </c>
      <c r="E871" s="1">
        <v>45953</v>
      </c>
      <c r="F871" t="s">
        <v>1024</v>
      </c>
      <c r="G871" t="s">
        <v>1346</v>
      </c>
      <c r="H871" t="s">
        <v>1481</v>
      </c>
      <c r="I871">
        <v>1</v>
      </c>
      <c r="J871" s="2">
        <v>3324.39</v>
      </c>
      <c r="K871" s="3">
        <v>0</v>
      </c>
      <c r="L871" s="2">
        <v>3324.39</v>
      </c>
      <c r="M871" s="2">
        <v>1234.02</v>
      </c>
      <c r="N871" t="s">
        <v>1497</v>
      </c>
      <c r="O871" t="s">
        <v>1498</v>
      </c>
      <c r="P871" t="s">
        <v>1501</v>
      </c>
    </row>
    <row r="872" spans="1:16" x14ac:dyDescent="0.3">
      <c r="A872">
        <v>871</v>
      </c>
      <c r="B872" t="s">
        <v>840</v>
      </c>
      <c r="C872">
        <v>1</v>
      </c>
      <c r="D872" s="1">
        <v>45952</v>
      </c>
      <c r="E872" s="1">
        <v>45954</v>
      </c>
      <c r="F872" t="s">
        <v>1279</v>
      </c>
      <c r="G872" t="s">
        <v>1349</v>
      </c>
      <c r="H872" t="s">
        <v>1480</v>
      </c>
      <c r="I872">
        <v>4</v>
      </c>
      <c r="J872" s="2">
        <v>2650.66</v>
      </c>
      <c r="K872" s="3">
        <v>0.05</v>
      </c>
      <c r="L872" s="2">
        <v>10072.51</v>
      </c>
      <c r="M872" s="2">
        <v>2913.99</v>
      </c>
      <c r="N872" t="s">
        <v>1493</v>
      </c>
      <c r="O872" t="s">
        <v>1499</v>
      </c>
      <c r="P872" t="s">
        <v>1501</v>
      </c>
    </row>
    <row r="873" spans="1:16" x14ac:dyDescent="0.3">
      <c r="A873">
        <v>872</v>
      </c>
      <c r="B873" t="s">
        <v>841</v>
      </c>
      <c r="C873">
        <v>1</v>
      </c>
      <c r="D873" s="1">
        <v>45954</v>
      </c>
      <c r="E873" s="1">
        <v>45956</v>
      </c>
      <c r="F873" t="s">
        <v>1307</v>
      </c>
      <c r="G873" t="s">
        <v>1453</v>
      </c>
      <c r="H873" t="s">
        <v>1480</v>
      </c>
      <c r="I873">
        <v>2</v>
      </c>
      <c r="J873" s="2">
        <v>507.34</v>
      </c>
      <c r="K873" s="3">
        <v>0</v>
      </c>
      <c r="L873" s="2">
        <v>1014.68</v>
      </c>
      <c r="M873" s="2">
        <v>387.74</v>
      </c>
      <c r="N873" t="s">
        <v>1496</v>
      </c>
      <c r="O873" t="s">
        <v>1499</v>
      </c>
      <c r="P873" t="s">
        <v>1501</v>
      </c>
    </row>
    <row r="874" spans="1:16" x14ac:dyDescent="0.3">
      <c r="A874">
        <v>873</v>
      </c>
      <c r="B874" t="s">
        <v>842</v>
      </c>
      <c r="C874">
        <v>1</v>
      </c>
      <c r="D874" s="1">
        <v>45955</v>
      </c>
      <c r="E874" s="1">
        <v>45957</v>
      </c>
      <c r="F874" t="s">
        <v>1308</v>
      </c>
      <c r="G874" t="s">
        <v>1465</v>
      </c>
      <c r="H874" t="s">
        <v>1480</v>
      </c>
      <c r="I874">
        <v>1</v>
      </c>
      <c r="J874" s="2">
        <v>2687.95</v>
      </c>
      <c r="K874" s="3">
        <v>0.05</v>
      </c>
      <c r="L874" s="2">
        <v>2553.5500000000002</v>
      </c>
      <c r="M874" s="2">
        <v>1057.02</v>
      </c>
      <c r="N874" t="s">
        <v>1496</v>
      </c>
      <c r="O874" t="s">
        <v>1499</v>
      </c>
      <c r="P874" t="s">
        <v>1501</v>
      </c>
    </row>
    <row r="875" spans="1:16" x14ac:dyDescent="0.3">
      <c r="A875">
        <v>874</v>
      </c>
      <c r="B875" t="s">
        <v>843</v>
      </c>
      <c r="C875">
        <v>1</v>
      </c>
      <c r="D875" s="1">
        <v>45955</v>
      </c>
      <c r="E875" s="1">
        <v>45958</v>
      </c>
      <c r="F875" t="s">
        <v>1123</v>
      </c>
      <c r="G875" t="s">
        <v>1459</v>
      </c>
      <c r="H875" t="s">
        <v>1480</v>
      </c>
      <c r="I875">
        <v>1</v>
      </c>
      <c r="J875" s="2">
        <v>814.23</v>
      </c>
      <c r="K875" s="3">
        <v>0</v>
      </c>
      <c r="L875" s="2">
        <v>814.23</v>
      </c>
      <c r="M875" s="2">
        <v>109.8</v>
      </c>
      <c r="N875" t="s">
        <v>1494</v>
      </c>
      <c r="O875" t="s">
        <v>1500</v>
      </c>
      <c r="P875" t="s">
        <v>1501</v>
      </c>
    </row>
    <row r="876" spans="1:16" x14ac:dyDescent="0.3">
      <c r="A876">
        <v>875</v>
      </c>
      <c r="B876" t="s">
        <v>844</v>
      </c>
      <c r="C876">
        <v>2</v>
      </c>
      <c r="D876" s="1">
        <v>45955</v>
      </c>
      <c r="E876" s="1">
        <v>45956</v>
      </c>
      <c r="F876" t="s">
        <v>1124</v>
      </c>
      <c r="G876" t="s">
        <v>1450</v>
      </c>
      <c r="H876" t="s">
        <v>1479</v>
      </c>
      <c r="I876">
        <v>1</v>
      </c>
      <c r="J876" s="2">
        <v>7983.56</v>
      </c>
      <c r="K876" s="3">
        <v>0</v>
      </c>
      <c r="L876" s="2">
        <v>7983.56</v>
      </c>
      <c r="M876" s="2">
        <v>1968.35</v>
      </c>
      <c r="N876" t="s">
        <v>1495</v>
      </c>
      <c r="O876" t="s">
        <v>1498</v>
      </c>
      <c r="P876" t="s">
        <v>1502</v>
      </c>
    </row>
    <row r="877" spans="1:16" x14ac:dyDescent="0.3">
      <c r="A877">
        <v>876</v>
      </c>
      <c r="B877" t="s">
        <v>845</v>
      </c>
      <c r="C877">
        <v>1</v>
      </c>
      <c r="D877" s="1">
        <v>45957</v>
      </c>
      <c r="E877" s="1">
        <v>45960</v>
      </c>
      <c r="F877" t="s">
        <v>1050</v>
      </c>
      <c r="G877" t="s">
        <v>1336</v>
      </c>
      <c r="H877" t="s">
        <v>1480</v>
      </c>
      <c r="I877">
        <v>1</v>
      </c>
      <c r="J877" s="2">
        <v>18469.3</v>
      </c>
      <c r="K877" s="3">
        <v>0.05</v>
      </c>
      <c r="L877" s="2">
        <v>17545.830000000002</v>
      </c>
      <c r="M877" s="2">
        <v>3975.19</v>
      </c>
      <c r="N877" t="s">
        <v>1496</v>
      </c>
      <c r="O877" t="s">
        <v>1498</v>
      </c>
      <c r="P877" t="s">
        <v>1501</v>
      </c>
    </row>
    <row r="878" spans="1:16" x14ac:dyDescent="0.3">
      <c r="A878">
        <v>877</v>
      </c>
      <c r="B878" t="s">
        <v>846</v>
      </c>
      <c r="C878">
        <v>2</v>
      </c>
      <c r="D878" s="1">
        <v>45957</v>
      </c>
      <c r="E878" s="1">
        <v>45958</v>
      </c>
      <c r="F878" t="s">
        <v>1263</v>
      </c>
      <c r="G878" t="s">
        <v>1453</v>
      </c>
      <c r="H878" t="s">
        <v>1480</v>
      </c>
      <c r="I878">
        <v>2</v>
      </c>
      <c r="J878" s="2">
        <v>507.34</v>
      </c>
      <c r="K878" s="3">
        <v>0</v>
      </c>
      <c r="L878" s="2">
        <v>1014.68</v>
      </c>
      <c r="M878" s="2">
        <v>387.74</v>
      </c>
      <c r="N878" t="s">
        <v>1496</v>
      </c>
      <c r="O878" t="s">
        <v>1498</v>
      </c>
      <c r="P878" t="s">
        <v>1501</v>
      </c>
    </row>
    <row r="879" spans="1:16" x14ac:dyDescent="0.3">
      <c r="A879">
        <v>878</v>
      </c>
      <c r="B879" t="s">
        <v>847</v>
      </c>
      <c r="C879">
        <v>2</v>
      </c>
      <c r="D879" s="1">
        <v>45957</v>
      </c>
      <c r="E879" s="1">
        <v>45960</v>
      </c>
      <c r="F879" t="s">
        <v>1221</v>
      </c>
      <c r="G879" t="s">
        <v>1369</v>
      </c>
      <c r="H879" t="s">
        <v>1480</v>
      </c>
      <c r="I879">
        <v>1</v>
      </c>
      <c r="J879" s="2">
        <v>23968.04</v>
      </c>
      <c r="K879" s="3">
        <v>0.05</v>
      </c>
      <c r="L879" s="2">
        <v>22769.64</v>
      </c>
      <c r="M879" s="2">
        <v>5498.52</v>
      </c>
      <c r="N879" t="s">
        <v>1495</v>
      </c>
      <c r="O879" t="s">
        <v>1498</v>
      </c>
      <c r="P879" t="s">
        <v>1501</v>
      </c>
    </row>
    <row r="880" spans="1:16" x14ac:dyDescent="0.3">
      <c r="A880">
        <v>879</v>
      </c>
      <c r="B880" t="s">
        <v>848</v>
      </c>
      <c r="C880">
        <v>2</v>
      </c>
      <c r="D880" s="1">
        <v>45957</v>
      </c>
      <c r="E880" s="1">
        <v>45958</v>
      </c>
      <c r="F880" t="s">
        <v>965</v>
      </c>
      <c r="G880" t="s">
        <v>1342</v>
      </c>
      <c r="H880" t="s">
        <v>1490</v>
      </c>
      <c r="I880">
        <v>1</v>
      </c>
      <c r="J880" s="2">
        <v>18924.84</v>
      </c>
      <c r="K880" s="3">
        <v>0</v>
      </c>
      <c r="L880" s="2">
        <v>18924.84</v>
      </c>
      <c r="M880" s="2">
        <v>2781.6</v>
      </c>
      <c r="N880" t="s">
        <v>1493</v>
      </c>
      <c r="O880" t="s">
        <v>1499</v>
      </c>
      <c r="P880" t="s">
        <v>1501</v>
      </c>
    </row>
    <row r="881" spans="1:16" x14ac:dyDescent="0.3">
      <c r="A881">
        <v>880</v>
      </c>
      <c r="B881" t="s">
        <v>849</v>
      </c>
      <c r="C881">
        <v>1</v>
      </c>
      <c r="D881" s="1">
        <v>45960</v>
      </c>
      <c r="E881" s="1">
        <v>45961</v>
      </c>
      <c r="F881" t="s">
        <v>1075</v>
      </c>
      <c r="G881" t="s">
        <v>1413</v>
      </c>
      <c r="H881" t="s">
        <v>1480</v>
      </c>
      <c r="I881">
        <v>1</v>
      </c>
      <c r="J881" s="2">
        <v>771.89</v>
      </c>
      <c r="K881" s="3">
        <v>0</v>
      </c>
      <c r="L881" s="2">
        <v>771.89</v>
      </c>
      <c r="M881" s="2">
        <v>220.44</v>
      </c>
      <c r="N881" t="s">
        <v>1496</v>
      </c>
      <c r="O881" t="s">
        <v>1498</v>
      </c>
      <c r="P881" t="s">
        <v>1501</v>
      </c>
    </row>
    <row r="882" spans="1:16" x14ac:dyDescent="0.3">
      <c r="A882">
        <v>881</v>
      </c>
      <c r="B882" t="s">
        <v>850</v>
      </c>
      <c r="C882">
        <v>1</v>
      </c>
      <c r="D882" s="1">
        <v>45961</v>
      </c>
      <c r="E882" s="1">
        <v>45963</v>
      </c>
      <c r="F882" t="s">
        <v>1062</v>
      </c>
      <c r="G882" t="s">
        <v>1425</v>
      </c>
      <c r="H882" t="s">
        <v>1480</v>
      </c>
      <c r="I882">
        <v>1</v>
      </c>
      <c r="J882" s="2">
        <v>6347.66</v>
      </c>
      <c r="K882" s="3">
        <v>0.05</v>
      </c>
      <c r="L882" s="2">
        <v>6030.28</v>
      </c>
      <c r="M882" s="2">
        <v>1426.11</v>
      </c>
      <c r="N882" t="s">
        <v>1496</v>
      </c>
      <c r="O882" t="s">
        <v>1499</v>
      </c>
      <c r="P882" t="s">
        <v>1501</v>
      </c>
    </row>
    <row r="883" spans="1:16" x14ac:dyDescent="0.3">
      <c r="A883">
        <v>882</v>
      </c>
      <c r="B883" t="s">
        <v>851</v>
      </c>
      <c r="C883">
        <v>1</v>
      </c>
      <c r="D883" s="1">
        <v>45961</v>
      </c>
      <c r="E883" s="1">
        <v>45961</v>
      </c>
      <c r="F883" t="s">
        <v>1009</v>
      </c>
      <c r="G883" t="s">
        <v>1435</v>
      </c>
      <c r="H883" t="s">
        <v>1481</v>
      </c>
      <c r="I883">
        <v>3</v>
      </c>
      <c r="J883" s="2">
        <v>62926.96</v>
      </c>
      <c r="K883" s="3">
        <v>0.05</v>
      </c>
      <c r="L883" s="2">
        <v>179341.84</v>
      </c>
      <c r="M883" s="2">
        <v>18204.400000000001</v>
      </c>
      <c r="N883" t="s">
        <v>1496</v>
      </c>
      <c r="O883" t="s">
        <v>1498</v>
      </c>
      <c r="P883" t="s">
        <v>1501</v>
      </c>
    </row>
    <row r="884" spans="1:16" x14ac:dyDescent="0.3">
      <c r="A884">
        <v>883</v>
      </c>
      <c r="B884" t="s">
        <v>852</v>
      </c>
      <c r="C884">
        <v>1</v>
      </c>
      <c r="D884" s="1">
        <v>45961</v>
      </c>
      <c r="E884" s="1">
        <v>45962</v>
      </c>
      <c r="F884" t="s">
        <v>1193</v>
      </c>
      <c r="G884" t="s">
        <v>1476</v>
      </c>
      <c r="H884" t="s">
        <v>1480</v>
      </c>
      <c r="I884">
        <v>3</v>
      </c>
      <c r="J884" s="2">
        <v>114.74</v>
      </c>
      <c r="K884" s="3">
        <v>0</v>
      </c>
      <c r="L884" s="2">
        <v>344.22</v>
      </c>
      <c r="M884" s="2">
        <v>82.74</v>
      </c>
      <c r="N884" t="s">
        <v>1494</v>
      </c>
      <c r="O884" t="s">
        <v>1498</v>
      </c>
      <c r="P884" t="s">
        <v>1501</v>
      </c>
    </row>
    <row r="885" spans="1:16" x14ac:dyDescent="0.3">
      <c r="A885">
        <v>884</v>
      </c>
      <c r="B885" t="s">
        <v>852</v>
      </c>
      <c r="C885">
        <v>2</v>
      </c>
      <c r="D885" s="1">
        <v>45961</v>
      </c>
      <c r="E885" s="1">
        <v>45962</v>
      </c>
      <c r="F885" t="s">
        <v>1193</v>
      </c>
      <c r="G885" t="s">
        <v>1415</v>
      </c>
      <c r="H885" t="s">
        <v>1480</v>
      </c>
      <c r="I885">
        <v>1</v>
      </c>
      <c r="J885" s="2">
        <v>4772.1499999999996</v>
      </c>
      <c r="K885" s="3">
        <v>0.2</v>
      </c>
      <c r="L885" s="2">
        <v>3817.72</v>
      </c>
      <c r="M885" s="2">
        <v>255.63</v>
      </c>
      <c r="N885" t="s">
        <v>1494</v>
      </c>
      <c r="O885" t="s">
        <v>1498</v>
      </c>
      <c r="P885" t="s">
        <v>1501</v>
      </c>
    </row>
    <row r="886" spans="1:16" x14ac:dyDescent="0.3">
      <c r="A886">
        <v>885</v>
      </c>
      <c r="B886" t="s">
        <v>853</v>
      </c>
      <c r="C886">
        <v>2</v>
      </c>
      <c r="D886" s="1">
        <v>45961</v>
      </c>
      <c r="E886" s="1">
        <v>45962</v>
      </c>
      <c r="F886" t="s">
        <v>973</v>
      </c>
      <c r="G886" t="s">
        <v>1412</v>
      </c>
      <c r="H886" t="s">
        <v>1490</v>
      </c>
      <c r="I886">
        <v>1</v>
      </c>
      <c r="J886" s="2">
        <v>78073.17</v>
      </c>
      <c r="K886" s="3">
        <v>0</v>
      </c>
      <c r="L886" s="2">
        <v>78073.17</v>
      </c>
      <c r="M886" s="2">
        <v>12188.31</v>
      </c>
      <c r="N886" t="s">
        <v>1495</v>
      </c>
      <c r="O886" t="s">
        <v>1498</v>
      </c>
      <c r="P886" t="s">
        <v>1501</v>
      </c>
    </row>
    <row r="887" spans="1:16" x14ac:dyDescent="0.3">
      <c r="A887">
        <v>886</v>
      </c>
      <c r="B887" t="s">
        <v>854</v>
      </c>
      <c r="C887">
        <v>1</v>
      </c>
      <c r="D887" s="1">
        <v>45962</v>
      </c>
      <c r="E887" s="1">
        <v>45962</v>
      </c>
      <c r="F887" t="s">
        <v>1100</v>
      </c>
      <c r="G887" t="s">
        <v>1343</v>
      </c>
      <c r="H887" t="s">
        <v>1485</v>
      </c>
      <c r="I887">
        <v>2</v>
      </c>
      <c r="J887" s="2">
        <v>7138.26</v>
      </c>
      <c r="K887" s="3">
        <v>0</v>
      </c>
      <c r="L887" s="2">
        <v>14276.52</v>
      </c>
      <c r="M887" s="2">
        <v>3327.94</v>
      </c>
      <c r="N887" t="s">
        <v>1495</v>
      </c>
      <c r="O887" t="s">
        <v>1499</v>
      </c>
      <c r="P887" t="s">
        <v>1501</v>
      </c>
    </row>
    <row r="888" spans="1:16" x14ac:dyDescent="0.3">
      <c r="A888">
        <v>887</v>
      </c>
      <c r="B888" t="s">
        <v>855</v>
      </c>
      <c r="C888">
        <v>1</v>
      </c>
      <c r="D888" s="1">
        <v>45962</v>
      </c>
      <c r="E888" s="1">
        <v>45962</v>
      </c>
      <c r="F888" t="s">
        <v>998</v>
      </c>
      <c r="G888" t="s">
        <v>1385</v>
      </c>
      <c r="H888" t="s">
        <v>1484</v>
      </c>
      <c r="I888">
        <v>1</v>
      </c>
      <c r="J888" s="2">
        <v>46757.35</v>
      </c>
      <c r="K888" s="3">
        <v>0.05</v>
      </c>
      <c r="L888" s="2">
        <v>44419.48</v>
      </c>
      <c r="M888" s="2">
        <v>2229.2600000000002</v>
      </c>
      <c r="N888" t="s">
        <v>1496</v>
      </c>
      <c r="O888" t="s">
        <v>1498</v>
      </c>
      <c r="P888" t="s">
        <v>1501</v>
      </c>
    </row>
    <row r="889" spans="1:16" x14ac:dyDescent="0.3">
      <c r="A889">
        <v>888</v>
      </c>
      <c r="B889" t="s">
        <v>856</v>
      </c>
      <c r="C889">
        <v>2</v>
      </c>
      <c r="D889" s="1">
        <v>45963</v>
      </c>
      <c r="E889" s="1">
        <v>45964</v>
      </c>
      <c r="F889" t="s">
        <v>1162</v>
      </c>
      <c r="G889" t="s">
        <v>1365</v>
      </c>
      <c r="H889" t="s">
        <v>1488</v>
      </c>
      <c r="I889">
        <v>1</v>
      </c>
      <c r="J889" s="2">
        <v>1749.13</v>
      </c>
      <c r="K889" s="3">
        <v>0.15</v>
      </c>
      <c r="L889" s="2">
        <v>1486.76</v>
      </c>
      <c r="M889" s="2">
        <v>380.6</v>
      </c>
      <c r="N889" t="s">
        <v>1496</v>
      </c>
      <c r="O889" t="s">
        <v>1498</v>
      </c>
      <c r="P889" t="s">
        <v>1501</v>
      </c>
    </row>
    <row r="890" spans="1:16" x14ac:dyDescent="0.3">
      <c r="A890">
        <v>889</v>
      </c>
      <c r="B890" t="s">
        <v>857</v>
      </c>
      <c r="C890">
        <v>1</v>
      </c>
      <c r="D890" s="1">
        <v>45963</v>
      </c>
      <c r="F890" t="s">
        <v>1072</v>
      </c>
      <c r="G890" t="s">
        <v>1331</v>
      </c>
      <c r="H890" t="s">
        <v>1482</v>
      </c>
      <c r="I890">
        <v>1</v>
      </c>
      <c r="J890" s="2">
        <v>1520.12</v>
      </c>
      <c r="K890" s="3">
        <v>0</v>
      </c>
      <c r="L890" s="2">
        <v>1520.12</v>
      </c>
      <c r="M890" s="2">
        <v>547.69000000000005</v>
      </c>
      <c r="N890" t="s">
        <v>1493</v>
      </c>
      <c r="O890" t="s">
        <v>1499</v>
      </c>
      <c r="P890" t="s">
        <v>1503</v>
      </c>
    </row>
    <row r="891" spans="1:16" x14ac:dyDescent="0.3">
      <c r="A891">
        <v>890</v>
      </c>
      <c r="B891" t="s">
        <v>858</v>
      </c>
      <c r="C891">
        <v>1</v>
      </c>
      <c r="D891" s="1">
        <v>45963</v>
      </c>
      <c r="E891" s="1">
        <v>45964</v>
      </c>
      <c r="F891" t="s">
        <v>1086</v>
      </c>
      <c r="G891" t="s">
        <v>1448</v>
      </c>
      <c r="H891" t="s">
        <v>1487</v>
      </c>
      <c r="I891">
        <v>1</v>
      </c>
      <c r="J891" s="2">
        <v>579.75</v>
      </c>
      <c r="K891" s="3">
        <v>0</v>
      </c>
      <c r="L891" s="2">
        <v>579.75</v>
      </c>
      <c r="M891" s="2">
        <v>188.26</v>
      </c>
      <c r="N891" t="s">
        <v>1497</v>
      </c>
      <c r="O891" t="s">
        <v>1499</v>
      </c>
      <c r="P891" t="s">
        <v>1501</v>
      </c>
    </row>
    <row r="892" spans="1:16" x14ac:dyDescent="0.3">
      <c r="A892">
        <v>891</v>
      </c>
      <c r="B892" t="s">
        <v>859</v>
      </c>
      <c r="C892">
        <v>1</v>
      </c>
      <c r="D892" s="1">
        <v>45963</v>
      </c>
      <c r="E892" s="1">
        <v>45964</v>
      </c>
      <c r="F892" t="s">
        <v>1127</v>
      </c>
      <c r="G892" t="s">
        <v>1472</v>
      </c>
      <c r="H892" t="s">
        <v>1480</v>
      </c>
      <c r="I892">
        <v>1</v>
      </c>
      <c r="J892" s="2">
        <v>16791.75</v>
      </c>
      <c r="K892" s="3">
        <v>0.1</v>
      </c>
      <c r="L892" s="2">
        <v>15112.58</v>
      </c>
      <c r="M892" s="2">
        <v>-323.47000000000003</v>
      </c>
      <c r="N892" t="s">
        <v>1496</v>
      </c>
      <c r="O892" t="s">
        <v>1498</v>
      </c>
      <c r="P892" t="s">
        <v>1501</v>
      </c>
    </row>
    <row r="893" spans="1:16" x14ac:dyDescent="0.3">
      <c r="A893">
        <v>892</v>
      </c>
      <c r="B893" t="s">
        <v>860</v>
      </c>
      <c r="C893">
        <v>1</v>
      </c>
      <c r="D893" s="1">
        <v>45963</v>
      </c>
      <c r="E893" s="1">
        <v>45966</v>
      </c>
      <c r="F893" t="s">
        <v>1243</v>
      </c>
      <c r="G893" t="s">
        <v>1360</v>
      </c>
      <c r="H893" t="s">
        <v>1480</v>
      </c>
      <c r="I893">
        <v>1</v>
      </c>
      <c r="J893" s="2">
        <v>1166.3499999999999</v>
      </c>
      <c r="K893" s="3">
        <v>0</v>
      </c>
      <c r="L893" s="2">
        <v>1166.3499999999999</v>
      </c>
      <c r="M893" s="2">
        <v>136.61000000000001</v>
      </c>
      <c r="N893" t="s">
        <v>1496</v>
      </c>
      <c r="O893" t="s">
        <v>1499</v>
      </c>
      <c r="P893" t="s">
        <v>1501</v>
      </c>
    </row>
    <row r="894" spans="1:16" x14ac:dyDescent="0.3">
      <c r="A894">
        <v>893</v>
      </c>
      <c r="B894" t="s">
        <v>861</v>
      </c>
      <c r="C894">
        <v>1</v>
      </c>
      <c r="D894" s="1">
        <v>45965</v>
      </c>
      <c r="E894" s="1">
        <v>45967</v>
      </c>
      <c r="F894" t="s">
        <v>1039</v>
      </c>
      <c r="G894" t="s">
        <v>1381</v>
      </c>
      <c r="H894" t="s">
        <v>1480</v>
      </c>
      <c r="I894">
        <v>1</v>
      </c>
      <c r="J894" s="2">
        <v>4870.55</v>
      </c>
      <c r="K894" s="3">
        <v>0.2</v>
      </c>
      <c r="L894" s="2">
        <v>3896.44</v>
      </c>
      <c r="M894" s="2">
        <v>1002.82</v>
      </c>
      <c r="N894" t="s">
        <v>1497</v>
      </c>
      <c r="O894" t="s">
        <v>1498</v>
      </c>
      <c r="P894" t="s">
        <v>1501</v>
      </c>
    </row>
    <row r="895" spans="1:16" x14ac:dyDescent="0.3">
      <c r="A895">
        <v>894</v>
      </c>
      <c r="B895" t="s">
        <v>862</v>
      </c>
      <c r="C895">
        <v>1</v>
      </c>
      <c r="D895" s="1">
        <v>45965</v>
      </c>
      <c r="E895" s="1">
        <v>45968</v>
      </c>
      <c r="F895" t="s">
        <v>1309</v>
      </c>
      <c r="G895" t="s">
        <v>1476</v>
      </c>
      <c r="H895" t="s">
        <v>1480</v>
      </c>
      <c r="I895">
        <v>1</v>
      </c>
      <c r="J895" s="2">
        <v>114.74</v>
      </c>
      <c r="K895" s="3">
        <v>0</v>
      </c>
      <c r="L895" s="2">
        <v>114.74</v>
      </c>
      <c r="M895" s="2">
        <v>27.58</v>
      </c>
      <c r="N895" t="s">
        <v>1494</v>
      </c>
      <c r="O895" t="s">
        <v>1499</v>
      </c>
      <c r="P895" t="s">
        <v>1501</v>
      </c>
    </row>
    <row r="896" spans="1:16" x14ac:dyDescent="0.3">
      <c r="A896">
        <v>895</v>
      </c>
      <c r="B896" t="s">
        <v>863</v>
      </c>
      <c r="C896">
        <v>1</v>
      </c>
      <c r="D896" s="1">
        <v>45965</v>
      </c>
      <c r="E896" s="1">
        <v>45966</v>
      </c>
      <c r="F896" t="s">
        <v>1125</v>
      </c>
      <c r="G896" t="s">
        <v>1473</v>
      </c>
      <c r="H896" t="s">
        <v>1478</v>
      </c>
      <c r="I896">
        <v>1</v>
      </c>
      <c r="J896" s="2">
        <v>9143.2999999999993</v>
      </c>
      <c r="K896" s="3">
        <v>0</v>
      </c>
      <c r="L896" s="2">
        <v>9143.2999999999993</v>
      </c>
      <c r="M896" s="2">
        <v>1980.95</v>
      </c>
      <c r="N896" t="s">
        <v>1495</v>
      </c>
      <c r="O896" t="s">
        <v>1500</v>
      </c>
      <c r="P896" t="s">
        <v>1501</v>
      </c>
    </row>
    <row r="897" spans="1:16" x14ac:dyDescent="0.3">
      <c r="A897">
        <v>896</v>
      </c>
      <c r="B897" t="s">
        <v>864</v>
      </c>
      <c r="C897">
        <v>2</v>
      </c>
      <c r="D897" s="1">
        <v>45967</v>
      </c>
      <c r="E897" s="1">
        <v>45968</v>
      </c>
      <c r="F897" t="s">
        <v>975</v>
      </c>
      <c r="G897" t="s">
        <v>1362</v>
      </c>
      <c r="H897" t="s">
        <v>1484</v>
      </c>
      <c r="I897">
        <v>4</v>
      </c>
      <c r="J897" s="2">
        <v>375.5</v>
      </c>
      <c r="K897" s="3">
        <v>0</v>
      </c>
      <c r="L897" s="2">
        <v>1502</v>
      </c>
      <c r="M897" s="2">
        <v>584.6</v>
      </c>
      <c r="N897" t="s">
        <v>1495</v>
      </c>
      <c r="O897" t="s">
        <v>1498</v>
      </c>
      <c r="P897" t="s">
        <v>1501</v>
      </c>
    </row>
    <row r="898" spans="1:16" x14ac:dyDescent="0.3">
      <c r="A898">
        <v>897</v>
      </c>
      <c r="B898" t="s">
        <v>865</v>
      </c>
      <c r="C898">
        <v>1</v>
      </c>
      <c r="D898" s="1">
        <v>45968</v>
      </c>
      <c r="E898" s="1">
        <v>45969</v>
      </c>
      <c r="F898" t="s">
        <v>1310</v>
      </c>
      <c r="G898" t="s">
        <v>1367</v>
      </c>
      <c r="H898" t="s">
        <v>1488</v>
      </c>
      <c r="I898">
        <v>2</v>
      </c>
      <c r="J898" s="2">
        <v>27891.1</v>
      </c>
      <c r="K898" s="3">
        <v>0</v>
      </c>
      <c r="L898" s="2">
        <v>55782.2</v>
      </c>
      <c r="M898" s="2">
        <v>15685.08</v>
      </c>
      <c r="N898" t="s">
        <v>1495</v>
      </c>
      <c r="O898" t="s">
        <v>1500</v>
      </c>
      <c r="P898" t="s">
        <v>1501</v>
      </c>
    </row>
    <row r="899" spans="1:16" x14ac:dyDescent="0.3">
      <c r="A899">
        <v>898</v>
      </c>
      <c r="B899" t="s">
        <v>866</v>
      </c>
      <c r="C899">
        <v>2</v>
      </c>
      <c r="D899" s="1">
        <v>45969</v>
      </c>
      <c r="F899" t="s">
        <v>1101</v>
      </c>
      <c r="G899" t="s">
        <v>1404</v>
      </c>
      <c r="H899" t="s">
        <v>1480</v>
      </c>
      <c r="I899">
        <v>1</v>
      </c>
      <c r="J899" s="2">
        <v>44125.88</v>
      </c>
      <c r="K899" s="3">
        <v>0.15</v>
      </c>
      <c r="L899" s="2">
        <v>37507</v>
      </c>
      <c r="M899" s="2">
        <v>3192.31</v>
      </c>
      <c r="N899" t="s">
        <v>1494</v>
      </c>
      <c r="O899" t="s">
        <v>1498</v>
      </c>
      <c r="P899" t="s">
        <v>1503</v>
      </c>
    </row>
    <row r="900" spans="1:16" x14ac:dyDescent="0.3">
      <c r="A900">
        <v>899</v>
      </c>
      <c r="B900" t="s">
        <v>867</v>
      </c>
      <c r="C900">
        <v>1</v>
      </c>
      <c r="D900" s="1">
        <v>45969</v>
      </c>
      <c r="E900" s="1">
        <v>45969</v>
      </c>
      <c r="F900" t="s">
        <v>1311</v>
      </c>
      <c r="G900" t="s">
        <v>1460</v>
      </c>
      <c r="H900" t="s">
        <v>1485</v>
      </c>
      <c r="I900">
        <v>2</v>
      </c>
      <c r="J900" s="2">
        <v>4883.8599999999997</v>
      </c>
      <c r="K900" s="3">
        <v>0</v>
      </c>
      <c r="L900" s="2">
        <v>9767.7199999999993</v>
      </c>
      <c r="M900" s="2">
        <v>3354.98</v>
      </c>
      <c r="N900" t="s">
        <v>1493</v>
      </c>
      <c r="O900" t="s">
        <v>1498</v>
      </c>
      <c r="P900" t="s">
        <v>1501</v>
      </c>
    </row>
    <row r="901" spans="1:16" x14ac:dyDescent="0.3">
      <c r="A901">
        <v>900</v>
      </c>
      <c r="B901" t="s">
        <v>868</v>
      </c>
      <c r="C901">
        <v>1</v>
      </c>
      <c r="D901" s="1">
        <v>45970</v>
      </c>
      <c r="E901" s="1">
        <v>45971</v>
      </c>
      <c r="F901" t="s">
        <v>1295</v>
      </c>
      <c r="G901" t="s">
        <v>1374</v>
      </c>
      <c r="H901" t="s">
        <v>1480</v>
      </c>
      <c r="I901">
        <v>2</v>
      </c>
      <c r="J901" s="2">
        <v>1645.17</v>
      </c>
      <c r="K901" s="3">
        <v>0.05</v>
      </c>
      <c r="L901" s="2">
        <v>3125.82</v>
      </c>
      <c r="M901" s="2">
        <v>517.34</v>
      </c>
      <c r="N901" t="s">
        <v>1496</v>
      </c>
      <c r="O901" t="s">
        <v>1500</v>
      </c>
      <c r="P901" t="s">
        <v>1501</v>
      </c>
    </row>
    <row r="902" spans="1:16" x14ac:dyDescent="0.3">
      <c r="A902">
        <v>901</v>
      </c>
      <c r="B902" t="s">
        <v>869</v>
      </c>
      <c r="C902">
        <v>1</v>
      </c>
      <c r="D902" s="1">
        <v>45970</v>
      </c>
      <c r="E902" s="1">
        <v>45971</v>
      </c>
      <c r="F902" t="s">
        <v>1200</v>
      </c>
      <c r="G902" t="s">
        <v>1331</v>
      </c>
      <c r="H902" t="s">
        <v>1480</v>
      </c>
      <c r="I902">
        <v>1</v>
      </c>
      <c r="J902" s="2">
        <v>1520.12</v>
      </c>
      <c r="K902" s="3">
        <v>0</v>
      </c>
      <c r="L902" s="2">
        <v>1520.12</v>
      </c>
      <c r="M902" s="2">
        <v>547.69000000000005</v>
      </c>
      <c r="N902" t="s">
        <v>1494</v>
      </c>
      <c r="O902" t="s">
        <v>1499</v>
      </c>
      <c r="P902" t="s">
        <v>1501</v>
      </c>
    </row>
    <row r="903" spans="1:16" x14ac:dyDescent="0.3">
      <c r="A903">
        <v>902</v>
      </c>
      <c r="B903" t="s">
        <v>870</v>
      </c>
      <c r="C903">
        <v>1</v>
      </c>
      <c r="D903" s="1">
        <v>45970</v>
      </c>
      <c r="E903" s="1">
        <v>45971</v>
      </c>
      <c r="F903" t="s">
        <v>1312</v>
      </c>
      <c r="G903" t="s">
        <v>1425</v>
      </c>
      <c r="H903" t="s">
        <v>1489</v>
      </c>
      <c r="I903">
        <v>2</v>
      </c>
      <c r="J903" s="2">
        <v>6347.66</v>
      </c>
      <c r="K903" s="3">
        <v>0</v>
      </c>
      <c r="L903" s="2">
        <v>12695.32</v>
      </c>
      <c r="M903" s="2">
        <v>3486.98</v>
      </c>
      <c r="N903" t="s">
        <v>1494</v>
      </c>
      <c r="O903" t="s">
        <v>1500</v>
      </c>
      <c r="P903" t="s">
        <v>1501</v>
      </c>
    </row>
    <row r="904" spans="1:16" x14ac:dyDescent="0.3">
      <c r="A904">
        <v>903</v>
      </c>
      <c r="B904" t="s">
        <v>871</v>
      </c>
      <c r="C904">
        <v>1</v>
      </c>
      <c r="D904" s="1">
        <v>45970</v>
      </c>
      <c r="E904" s="1">
        <v>45971</v>
      </c>
      <c r="F904" t="s">
        <v>1188</v>
      </c>
      <c r="G904" t="s">
        <v>1448</v>
      </c>
      <c r="H904" t="s">
        <v>1480</v>
      </c>
      <c r="I904">
        <v>2</v>
      </c>
      <c r="J904" s="2">
        <v>579.75</v>
      </c>
      <c r="K904" s="3">
        <v>0</v>
      </c>
      <c r="L904" s="2">
        <v>1159.5</v>
      </c>
      <c r="M904" s="2">
        <v>376.52</v>
      </c>
      <c r="N904" t="s">
        <v>1496</v>
      </c>
      <c r="O904" t="s">
        <v>1498</v>
      </c>
      <c r="P904" t="s">
        <v>1502</v>
      </c>
    </row>
    <row r="905" spans="1:16" x14ac:dyDescent="0.3">
      <c r="A905">
        <v>904</v>
      </c>
      <c r="B905" t="s">
        <v>872</v>
      </c>
      <c r="C905">
        <v>1</v>
      </c>
      <c r="D905" s="1">
        <v>45971</v>
      </c>
      <c r="E905" s="1">
        <v>45972</v>
      </c>
      <c r="F905" t="s">
        <v>1083</v>
      </c>
      <c r="G905" t="s">
        <v>1424</v>
      </c>
      <c r="H905" t="s">
        <v>1479</v>
      </c>
      <c r="I905">
        <v>1</v>
      </c>
      <c r="J905" s="2">
        <v>31609.79</v>
      </c>
      <c r="K905" s="3">
        <v>0</v>
      </c>
      <c r="L905" s="2">
        <v>31609.79</v>
      </c>
      <c r="M905" s="2">
        <v>3440.18</v>
      </c>
      <c r="N905" t="s">
        <v>1493</v>
      </c>
      <c r="O905" t="s">
        <v>1498</v>
      </c>
      <c r="P905" t="s">
        <v>1501</v>
      </c>
    </row>
    <row r="906" spans="1:16" x14ac:dyDescent="0.3">
      <c r="A906">
        <v>905</v>
      </c>
      <c r="B906" t="s">
        <v>873</v>
      </c>
      <c r="C906">
        <v>2</v>
      </c>
      <c r="D906" s="1">
        <v>45971</v>
      </c>
      <c r="E906" s="1">
        <v>45971</v>
      </c>
      <c r="F906" t="s">
        <v>1051</v>
      </c>
      <c r="G906" t="s">
        <v>1384</v>
      </c>
      <c r="H906" t="s">
        <v>1487</v>
      </c>
      <c r="I906">
        <v>1</v>
      </c>
      <c r="J906" s="2">
        <v>35937.699999999997</v>
      </c>
      <c r="K906" s="3">
        <v>0</v>
      </c>
      <c r="L906" s="2">
        <v>35937.699999999997</v>
      </c>
      <c r="M906" s="2">
        <v>10629.44</v>
      </c>
      <c r="N906" t="s">
        <v>1497</v>
      </c>
      <c r="O906" t="s">
        <v>1498</v>
      </c>
      <c r="P906" t="s">
        <v>1501</v>
      </c>
    </row>
    <row r="907" spans="1:16" x14ac:dyDescent="0.3">
      <c r="A907">
        <v>906</v>
      </c>
      <c r="B907" t="s">
        <v>874</v>
      </c>
      <c r="C907">
        <v>1</v>
      </c>
      <c r="D907" s="1">
        <v>45972</v>
      </c>
      <c r="E907" s="1">
        <v>45974</v>
      </c>
      <c r="F907" t="s">
        <v>973</v>
      </c>
      <c r="G907" t="s">
        <v>1333</v>
      </c>
      <c r="H907" t="s">
        <v>1480</v>
      </c>
      <c r="I907">
        <v>1</v>
      </c>
      <c r="J907" s="2">
        <v>16375.46</v>
      </c>
      <c r="K907" s="3">
        <v>0</v>
      </c>
      <c r="L907" s="2">
        <v>16375.46</v>
      </c>
      <c r="M907" s="2">
        <v>2074.31</v>
      </c>
      <c r="N907" t="s">
        <v>1497</v>
      </c>
      <c r="O907" t="s">
        <v>1499</v>
      </c>
      <c r="P907" t="s">
        <v>1501</v>
      </c>
    </row>
    <row r="908" spans="1:16" x14ac:dyDescent="0.3">
      <c r="A908">
        <v>907</v>
      </c>
      <c r="B908" t="s">
        <v>875</v>
      </c>
      <c r="C908">
        <v>1</v>
      </c>
      <c r="D908" s="1">
        <v>45972</v>
      </c>
      <c r="E908" s="1">
        <v>45974</v>
      </c>
      <c r="F908" t="s">
        <v>1106</v>
      </c>
      <c r="G908" t="s">
        <v>1405</v>
      </c>
      <c r="H908" t="s">
        <v>1480</v>
      </c>
      <c r="I908">
        <v>1</v>
      </c>
      <c r="J908" s="2">
        <v>57633.32</v>
      </c>
      <c r="K908" s="3">
        <v>0</v>
      </c>
      <c r="L908" s="2">
        <v>57633.32</v>
      </c>
      <c r="M908" s="2">
        <v>7200.49</v>
      </c>
      <c r="N908" t="s">
        <v>1494</v>
      </c>
      <c r="O908" t="s">
        <v>1498</v>
      </c>
      <c r="P908" t="s">
        <v>1501</v>
      </c>
    </row>
    <row r="909" spans="1:16" x14ac:dyDescent="0.3">
      <c r="A909">
        <v>908</v>
      </c>
      <c r="B909" t="s">
        <v>876</v>
      </c>
      <c r="C909">
        <v>1</v>
      </c>
      <c r="D909" s="1">
        <v>45972</v>
      </c>
      <c r="E909" s="1">
        <v>45974</v>
      </c>
      <c r="F909" t="s">
        <v>989</v>
      </c>
      <c r="G909" t="s">
        <v>1404</v>
      </c>
      <c r="H909" t="s">
        <v>1480</v>
      </c>
      <c r="I909">
        <v>1</v>
      </c>
      <c r="J909" s="2">
        <v>44125.88</v>
      </c>
      <c r="K909" s="3">
        <v>0</v>
      </c>
      <c r="L909" s="2">
        <v>44125.88</v>
      </c>
      <c r="M909" s="2">
        <v>9811.19</v>
      </c>
      <c r="N909" t="s">
        <v>1496</v>
      </c>
      <c r="O909" t="s">
        <v>1499</v>
      </c>
      <c r="P909" t="s">
        <v>1501</v>
      </c>
    </row>
    <row r="910" spans="1:16" x14ac:dyDescent="0.3">
      <c r="A910">
        <v>909</v>
      </c>
      <c r="B910" t="s">
        <v>877</v>
      </c>
      <c r="C910">
        <v>1</v>
      </c>
      <c r="D910" s="1">
        <v>45973</v>
      </c>
      <c r="E910" s="1">
        <v>45975</v>
      </c>
      <c r="F910" t="s">
        <v>1005</v>
      </c>
      <c r="G910" t="s">
        <v>1405</v>
      </c>
      <c r="H910" t="s">
        <v>1480</v>
      </c>
      <c r="I910">
        <v>3</v>
      </c>
      <c r="J910" s="2">
        <v>57633.32</v>
      </c>
      <c r="K910" s="3">
        <v>0</v>
      </c>
      <c r="L910" s="2">
        <v>172899.96</v>
      </c>
      <c r="M910" s="2">
        <v>21601.47</v>
      </c>
      <c r="N910" t="s">
        <v>1496</v>
      </c>
      <c r="O910" t="s">
        <v>1498</v>
      </c>
      <c r="P910" t="s">
        <v>1501</v>
      </c>
    </row>
    <row r="911" spans="1:16" x14ac:dyDescent="0.3">
      <c r="A911">
        <v>910</v>
      </c>
      <c r="B911" t="s">
        <v>878</v>
      </c>
      <c r="C911">
        <v>1</v>
      </c>
      <c r="D911" s="1">
        <v>45973</v>
      </c>
      <c r="E911" s="1">
        <v>45975</v>
      </c>
      <c r="F911" t="s">
        <v>1236</v>
      </c>
      <c r="G911" t="s">
        <v>1473</v>
      </c>
      <c r="H911" t="s">
        <v>1480</v>
      </c>
      <c r="I911">
        <v>3</v>
      </c>
      <c r="J911" s="2">
        <v>9143.2999999999993</v>
      </c>
      <c r="K911" s="3">
        <v>0.05</v>
      </c>
      <c r="L911" s="2">
        <v>26058.400000000001</v>
      </c>
      <c r="M911" s="2">
        <v>4571.3500000000004</v>
      </c>
      <c r="N911" t="s">
        <v>1493</v>
      </c>
      <c r="O911" t="s">
        <v>1499</v>
      </c>
      <c r="P911" t="s">
        <v>1501</v>
      </c>
    </row>
    <row r="912" spans="1:16" x14ac:dyDescent="0.3">
      <c r="A912">
        <v>911</v>
      </c>
      <c r="B912" t="s">
        <v>879</v>
      </c>
      <c r="C912">
        <v>1</v>
      </c>
      <c r="D912" s="1">
        <v>45973</v>
      </c>
      <c r="E912" s="1">
        <v>45973</v>
      </c>
      <c r="F912" t="s">
        <v>1187</v>
      </c>
      <c r="G912" t="s">
        <v>1364</v>
      </c>
      <c r="H912" t="s">
        <v>1479</v>
      </c>
      <c r="I912">
        <v>1</v>
      </c>
      <c r="J912" s="2">
        <v>590.01</v>
      </c>
      <c r="K912" s="3">
        <v>0</v>
      </c>
      <c r="L912" s="2">
        <v>590.01</v>
      </c>
      <c r="M912" s="2">
        <v>72.55</v>
      </c>
      <c r="N912" t="s">
        <v>1493</v>
      </c>
      <c r="O912" t="s">
        <v>1498</v>
      </c>
      <c r="P912" t="s">
        <v>1501</v>
      </c>
    </row>
    <row r="913" spans="1:16" x14ac:dyDescent="0.3">
      <c r="A913">
        <v>912</v>
      </c>
      <c r="B913" t="s">
        <v>880</v>
      </c>
      <c r="C913">
        <v>1</v>
      </c>
      <c r="D913" s="1">
        <v>45973</v>
      </c>
      <c r="E913" s="1">
        <v>45973</v>
      </c>
      <c r="F913" t="s">
        <v>1086</v>
      </c>
      <c r="G913" t="s">
        <v>1348</v>
      </c>
      <c r="H913" t="s">
        <v>1492</v>
      </c>
      <c r="I913">
        <v>1</v>
      </c>
      <c r="J913" s="2">
        <v>921.12</v>
      </c>
      <c r="K913" s="3">
        <v>0</v>
      </c>
      <c r="L913" s="2">
        <v>921.12</v>
      </c>
      <c r="M913" s="2">
        <v>383.08</v>
      </c>
      <c r="N913" t="s">
        <v>1495</v>
      </c>
      <c r="O913" t="s">
        <v>1498</v>
      </c>
      <c r="P913" t="s">
        <v>1501</v>
      </c>
    </row>
    <row r="914" spans="1:16" x14ac:dyDescent="0.3">
      <c r="A914">
        <v>913</v>
      </c>
      <c r="B914" t="s">
        <v>881</v>
      </c>
      <c r="C914">
        <v>1</v>
      </c>
      <c r="D914" s="1">
        <v>45973</v>
      </c>
      <c r="E914" s="1">
        <v>45973</v>
      </c>
      <c r="F914" t="s">
        <v>1014</v>
      </c>
      <c r="G914" t="s">
        <v>1428</v>
      </c>
      <c r="H914" t="s">
        <v>1489</v>
      </c>
      <c r="I914">
        <v>1</v>
      </c>
      <c r="J914" s="2">
        <v>460.36</v>
      </c>
      <c r="K914" s="3">
        <v>0</v>
      </c>
      <c r="L914" s="2">
        <v>460.36</v>
      </c>
      <c r="M914" s="2">
        <v>44.13</v>
      </c>
      <c r="N914" t="s">
        <v>1495</v>
      </c>
      <c r="O914" t="s">
        <v>1499</v>
      </c>
      <c r="P914" t="s">
        <v>1502</v>
      </c>
    </row>
    <row r="915" spans="1:16" x14ac:dyDescent="0.3">
      <c r="A915">
        <v>914</v>
      </c>
      <c r="B915" t="s">
        <v>882</v>
      </c>
      <c r="C915">
        <v>1</v>
      </c>
      <c r="D915" s="1">
        <v>45976</v>
      </c>
      <c r="E915" s="1">
        <v>45977</v>
      </c>
      <c r="F915" t="s">
        <v>1073</v>
      </c>
      <c r="G915" t="s">
        <v>1368</v>
      </c>
      <c r="H915" t="s">
        <v>1480</v>
      </c>
      <c r="I915">
        <v>1</v>
      </c>
      <c r="J915" s="2">
        <v>1640.09</v>
      </c>
      <c r="K915" s="3">
        <v>0.2</v>
      </c>
      <c r="L915" s="2">
        <v>1312.07</v>
      </c>
      <c r="M915" s="2">
        <v>-3.84</v>
      </c>
      <c r="N915" t="s">
        <v>1495</v>
      </c>
      <c r="O915" t="s">
        <v>1498</v>
      </c>
      <c r="P915" t="s">
        <v>1501</v>
      </c>
    </row>
    <row r="916" spans="1:16" x14ac:dyDescent="0.3">
      <c r="A916">
        <v>915</v>
      </c>
      <c r="B916" t="s">
        <v>883</v>
      </c>
      <c r="C916">
        <v>1</v>
      </c>
      <c r="D916" s="1">
        <v>45976</v>
      </c>
      <c r="E916" s="1">
        <v>45976</v>
      </c>
      <c r="F916" t="s">
        <v>1169</v>
      </c>
      <c r="G916" t="s">
        <v>1427</v>
      </c>
      <c r="H916" t="s">
        <v>1486</v>
      </c>
      <c r="I916">
        <v>1</v>
      </c>
      <c r="J916" s="2">
        <v>687.56</v>
      </c>
      <c r="K916" s="3">
        <v>0</v>
      </c>
      <c r="L916" s="2">
        <v>687.56</v>
      </c>
      <c r="M916" s="2">
        <v>235.13</v>
      </c>
      <c r="N916" t="s">
        <v>1493</v>
      </c>
      <c r="O916" t="s">
        <v>1498</v>
      </c>
      <c r="P916" t="s">
        <v>1501</v>
      </c>
    </row>
    <row r="917" spans="1:16" x14ac:dyDescent="0.3">
      <c r="A917">
        <v>916</v>
      </c>
      <c r="B917" t="s">
        <v>884</v>
      </c>
      <c r="C917">
        <v>1</v>
      </c>
      <c r="D917" s="1">
        <v>45976</v>
      </c>
      <c r="F917" t="s">
        <v>1112</v>
      </c>
      <c r="G917" t="s">
        <v>1371</v>
      </c>
      <c r="H917" t="s">
        <v>1485</v>
      </c>
      <c r="I917">
        <v>1</v>
      </c>
      <c r="J917" s="2">
        <v>5245.11</v>
      </c>
      <c r="K917" s="3">
        <v>0</v>
      </c>
      <c r="L917" s="2">
        <v>5245.11</v>
      </c>
      <c r="M917" s="2">
        <v>1943.95</v>
      </c>
      <c r="N917" t="s">
        <v>1494</v>
      </c>
      <c r="O917" t="s">
        <v>1498</v>
      </c>
      <c r="P917" t="s">
        <v>1503</v>
      </c>
    </row>
    <row r="918" spans="1:16" x14ac:dyDescent="0.3">
      <c r="A918">
        <v>917</v>
      </c>
      <c r="B918" t="s">
        <v>885</v>
      </c>
      <c r="C918">
        <v>1</v>
      </c>
      <c r="D918" s="1">
        <v>45977</v>
      </c>
      <c r="E918" s="1">
        <v>45977</v>
      </c>
      <c r="F918" t="s">
        <v>1172</v>
      </c>
      <c r="G918" t="s">
        <v>1447</v>
      </c>
      <c r="H918" t="s">
        <v>1490</v>
      </c>
      <c r="I918">
        <v>2</v>
      </c>
      <c r="J918" s="2">
        <v>4260.03</v>
      </c>
      <c r="K918" s="3">
        <v>0</v>
      </c>
      <c r="L918" s="2">
        <v>8520.06</v>
      </c>
      <c r="M918" s="2">
        <v>1461.76</v>
      </c>
      <c r="N918" t="s">
        <v>1494</v>
      </c>
      <c r="O918" t="s">
        <v>1498</v>
      </c>
      <c r="P918" t="s">
        <v>1501</v>
      </c>
    </row>
    <row r="919" spans="1:16" x14ac:dyDescent="0.3">
      <c r="A919">
        <v>918</v>
      </c>
      <c r="B919" t="s">
        <v>886</v>
      </c>
      <c r="C919">
        <v>1</v>
      </c>
      <c r="D919" s="1">
        <v>45977</v>
      </c>
      <c r="E919" s="1">
        <v>45978</v>
      </c>
      <c r="F919" t="s">
        <v>1092</v>
      </c>
      <c r="G919" t="s">
        <v>1431</v>
      </c>
      <c r="H919" t="s">
        <v>1480</v>
      </c>
      <c r="I919">
        <v>1</v>
      </c>
      <c r="J919" s="2">
        <v>9677.85</v>
      </c>
      <c r="K919" s="3">
        <v>0</v>
      </c>
      <c r="L919" s="2">
        <v>9677.85</v>
      </c>
      <c r="M919" s="2">
        <v>1902.17</v>
      </c>
      <c r="N919" t="s">
        <v>1495</v>
      </c>
      <c r="O919" t="s">
        <v>1499</v>
      </c>
      <c r="P919" t="s">
        <v>1501</v>
      </c>
    </row>
    <row r="920" spans="1:16" x14ac:dyDescent="0.3">
      <c r="A920">
        <v>919</v>
      </c>
      <c r="B920" t="s">
        <v>887</v>
      </c>
      <c r="C920">
        <v>2</v>
      </c>
      <c r="D920" s="1">
        <v>45978</v>
      </c>
      <c r="F920" t="s">
        <v>1233</v>
      </c>
      <c r="G920" t="s">
        <v>1365</v>
      </c>
      <c r="H920" t="s">
        <v>1492</v>
      </c>
      <c r="I920">
        <v>1</v>
      </c>
      <c r="J920" s="2">
        <v>1749.13</v>
      </c>
      <c r="K920" s="3">
        <v>0.15</v>
      </c>
      <c r="L920" s="2">
        <v>1486.76</v>
      </c>
      <c r="M920" s="2">
        <v>380.6</v>
      </c>
      <c r="N920" t="s">
        <v>1496</v>
      </c>
      <c r="O920" t="s">
        <v>1499</v>
      </c>
      <c r="P920" t="s">
        <v>1503</v>
      </c>
    </row>
    <row r="921" spans="1:16" x14ac:dyDescent="0.3">
      <c r="A921">
        <v>920</v>
      </c>
      <c r="B921" t="s">
        <v>888</v>
      </c>
      <c r="C921">
        <v>1</v>
      </c>
      <c r="D921" s="1">
        <v>45978</v>
      </c>
      <c r="E921" s="1">
        <v>45980</v>
      </c>
      <c r="F921" t="s">
        <v>1151</v>
      </c>
      <c r="G921" t="s">
        <v>1397</v>
      </c>
      <c r="H921" t="s">
        <v>1480</v>
      </c>
      <c r="I921">
        <v>1</v>
      </c>
      <c r="J921" s="2">
        <v>42202.74</v>
      </c>
      <c r="K921" s="3">
        <v>0.2</v>
      </c>
      <c r="L921" s="2">
        <v>33762.19</v>
      </c>
      <c r="M921" s="2">
        <v>-652.79</v>
      </c>
      <c r="N921" t="s">
        <v>1496</v>
      </c>
      <c r="O921" t="s">
        <v>1499</v>
      </c>
      <c r="P921" t="s">
        <v>1501</v>
      </c>
    </row>
    <row r="922" spans="1:16" x14ac:dyDescent="0.3">
      <c r="A922">
        <v>921</v>
      </c>
      <c r="B922" t="s">
        <v>889</v>
      </c>
      <c r="C922">
        <v>1</v>
      </c>
      <c r="D922" s="1">
        <v>45978</v>
      </c>
      <c r="E922" s="1">
        <v>45978</v>
      </c>
      <c r="F922" t="s">
        <v>1313</v>
      </c>
      <c r="G922" t="s">
        <v>1383</v>
      </c>
      <c r="H922" t="s">
        <v>1485</v>
      </c>
      <c r="I922">
        <v>2</v>
      </c>
      <c r="J922" s="2">
        <v>17693.080000000002</v>
      </c>
      <c r="K922" s="3">
        <v>0.25</v>
      </c>
      <c r="L922" s="2">
        <v>26539.62</v>
      </c>
      <c r="M922" s="2">
        <v>-1754.46</v>
      </c>
      <c r="N922" t="s">
        <v>1495</v>
      </c>
      <c r="O922" t="s">
        <v>1498</v>
      </c>
      <c r="P922" t="s">
        <v>1502</v>
      </c>
    </row>
    <row r="923" spans="1:16" x14ac:dyDescent="0.3">
      <c r="A923">
        <v>922</v>
      </c>
      <c r="B923" t="s">
        <v>890</v>
      </c>
      <c r="C923">
        <v>1</v>
      </c>
      <c r="D923" s="1">
        <v>45980</v>
      </c>
      <c r="E923" s="1">
        <v>45982</v>
      </c>
      <c r="F923" t="s">
        <v>1113</v>
      </c>
      <c r="G923" t="s">
        <v>1392</v>
      </c>
      <c r="H923" t="s">
        <v>1480</v>
      </c>
      <c r="I923">
        <v>1</v>
      </c>
      <c r="J923" s="2">
        <v>17688.330000000002</v>
      </c>
      <c r="K923" s="3">
        <v>0.05</v>
      </c>
      <c r="L923" s="2">
        <v>16803.91</v>
      </c>
      <c r="M923" s="2">
        <v>2019.47</v>
      </c>
      <c r="N923" t="s">
        <v>1496</v>
      </c>
      <c r="O923" t="s">
        <v>1500</v>
      </c>
      <c r="P923" t="s">
        <v>1501</v>
      </c>
    </row>
    <row r="924" spans="1:16" x14ac:dyDescent="0.3">
      <c r="A924">
        <v>923</v>
      </c>
      <c r="B924" t="s">
        <v>891</v>
      </c>
      <c r="C924">
        <v>1</v>
      </c>
      <c r="D924" s="1">
        <v>45980</v>
      </c>
      <c r="E924" s="1">
        <v>45980</v>
      </c>
      <c r="F924" t="s">
        <v>1048</v>
      </c>
      <c r="G924" t="s">
        <v>1454</v>
      </c>
      <c r="H924" t="s">
        <v>1488</v>
      </c>
      <c r="I924">
        <v>2</v>
      </c>
      <c r="J924" s="2">
        <v>51141.75</v>
      </c>
      <c r="K924" s="3">
        <v>0</v>
      </c>
      <c r="L924" s="2">
        <v>102283.5</v>
      </c>
      <c r="M924" s="2">
        <v>13844.88</v>
      </c>
      <c r="N924" t="s">
        <v>1495</v>
      </c>
      <c r="O924" t="s">
        <v>1499</v>
      </c>
      <c r="P924" t="s">
        <v>1501</v>
      </c>
    </row>
    <row r="925" spans="1:16" x14ac:dyDescent="0.3">
      <c r="A925">
        <v>924</v>
      </c>
      <c r="B925" t="s">
        <v>892</v>
      </c>
      <c r="C925">
        <v>1</v>
      </c>
      <c r="D925" s="1">
        <v>45982</v>
      </c>
      <c r="E925" s="1">
        <v>45983</v>
      </c>
      <c r="F925" t="s">
        <v>1079</v>
      </c>
      <c r="G925" t="s">
        <v>1414</v>
      </c>
      <c r="H925" t="s">
        <v>1480</v>
      </c>
      <c r="I925">
        <v>1</v>
      </c>
      <c r="J925" s="2">
        <v>20329.61</v>
      </c>
      <c r="K925" s="3">
        <v>0</v>
      </c>
      <c r="L925" s="2">
        <v>20329.61</v>
      </c>
      <c r="M925" s="2">
        <v>4962.38</v>
      </c>
      <c r="N925" t="s">
        <v>1496</v>
      </c>
      <c r="O925" t="s">
        <v>1498</v>
      </c>
      <c r="P925" t="s">
        <v>1501</v>
      </c>
    </row>
    <row r="926" spans="1:16" x14ac:dyDescent="0.3">
      <c r="A926">
        <v>925</v>
      </c>
      <c r="B926" t="s">
        <v>893</v>
      </c>
      <c r="C926">
        <v>2</v>
      </c>
      <c r="D926" s="1">
        <v>45982</v>
      </c>
      <c r="E926" s="1">
        <v>45983</v>
      </c>
      <c r="F926" t="s">
        <v>1263</v>
      </c>
      <c r="G926" t="s">
        <v>1448</v>
      </c>
      <c r="H926" t="s">
        <v>1478</v>
      </c>
      <c r="I926">
        <v>1</v>
      </c>
      <c r="J926" s="2">
        <v>579.75</v>
      </c>
      <c r="K926" s="3">
        <v>0</v>
      </c>
      <c r="L926" s="2">
        <v>579.75</v>
      </c>
      <c r="M926" s="2">
        <v>188.26</v>
      </c>
      <c r="N926" t="s">
        <v>1495</v>
      </c>
      <c r="O926" t="s">
        <v>1499</v>
      </c>
      <c r="P926" t="s">
        <v>1501</v>
      </c>
    </row>
    <row r="927" spans="1:16" x14ac:dyDescent="0.3">
      <c r="A927">
        <v>926</v>
      </c>
      <c r="B927" t="s">
        <v>894</v>
      </c>
      <c r="C927">
        <v>1</v>
      </c>
      <c r="D927" s="1">
        <v>45984</v>
      </c>
      <c r="E927" s="1">
        <v>45985</v>
      </c>
      <c r="F927" t="s">
        <v>1259</v>
      </c>
      <c r="G927" t="s">
        <v>1466</v>
      </c>
      <c r="H927" t="s">
        <v>1490</v>
      </c>
      <c r="I927">
        <v>1</v>
      </c>
      <c r="J927" s="2">
        <v>800.48</v>
      </c>
      <c r="K927" s="3">
        <v>0</v>
      </c>
      <c r="L927" s="2">
        <v>800.48</v>
      </c>
      <c r="M927" s="2">
        <v>286.16000000000003</v>
      </c>
      <c r="N927" t="s">
        <v>1494</v>
      </c>
      <c r="O927" t="s">
        <v>1498</v>
      </c>
      <c r="P927" t="s">
        <v>1501</v>
      </c>
    </row>
    <row r="928" spans="1:16" x14ac:dyDescent="0.3">
      <c r="A928">
        <v>927</v>
      </c>
      <c r="B928" t="s">
        <v>895</v>
      </c>
      <c r="C928">
        <v>2</v>
      </c>
      <c r="D928" s="1">
        <v>45984</v>
      </c>
      <c r="E928" s="1">
        <v>45984</v>
      </c>
      <c r="F928" t="s">
        <v>967</v>
      </c>
      <c r="G928" t="s">
        <v>1465</v>
      </c>
      <c r="H928" t="s">
        <v>1479</v>
      </c>
      <c r="I928">
        <v>1</v>
      </c>
      <c r="J928" s="2">
        <v>2687.95</v>
      </c>
      <c r="K928" s="3">
        <v>0</v>
      </c>
      <c r="L928" s="2">
        <v>2687.95</v>
      </c>
      <c r="M928" s="2">
        <v>1191.42</v>
      </c>
      <c r="N928" t="s">
        <v>1496</v>
      </c>
      <c r="O928" t="s">
        <v>1499</v>
      </c>
      <c r="P928" t="s">
        <v>1501</v>
      </c>
    </row>
    <row r="929" spans="1:16" x14ac:dyDescent="0.3">
      <c r="A929">
        <v>928</v>
      </c>
      <c r="B929" t="s">
        <v>896</v>
      </c>
      <c r="C929">
        <v>1</v>
      </c>
      <c r="D929" s="1">
        <v>45984</v>
      </c>
      <c r="E929" s="1">
        <v>45984</v>
      </c>
      <c r="F929" t="s">
        <v>977</v>
      </c>
      <c r="G929" t="s">
        <v>1344</v>
      </c>
      <c r="H929" t="s">
        <v>1483</v>
      </c>
      <c r="I929">
        <v>1</v>
      </c>
      <c r="J929" s="2">
        <v>555.59</v>
      </c>
      <c r="K929" s="3">
        <v>0</v>
      </c>
      <c r="L929" s="2">
        <v>555.59</v>
      </c>
      <c r="M929" s="2">
        <v>176.49</v>
      </c>
      <c r="N929" t="s">
        <v>1496</v>
      </c>
      <c r="O929" t="s">
        <v>1500</v>
      </c>
      <c r="P929" t="s">
        <v>1501</v>
      </c>
    </row>
    <row r="930" spans="1:16" x14ac:dyDescent="0.3">
      <c r="A930">
        <v>929</v>
      </c>
      <c r="B930" t="s">
        <v>897</v>
      </c>
      <c r="C930">
        <v>2</v>
      </c>
      <c r="D930" s="1">
        <v>45984</v>
      </c>
      <c r="E930" s="1">
        <v>45984</v>
      </c>
      <c r="F930" t="s">
        <v>971</v>
      </c>
      <c r="G930" t="s">
        <v>1469</v>
      </c>
      <c r="H930" t="s">
        <v>1484</v>
      </c>
      <c r="I930">
        <v>1</v>
      </c>
      <c r="J930" s="2">
        <v>13987.04</v>
      </c>
      <c r="K930" s="3">
        <v>0</v>
      </c>
      <c r="L930" s="2">
        <v>13987.04</v>
      </c>
      <c r="M930" s="2">
        <v>3623.75</v>
      </c>
      <c r="N930" t="s">
        <v>1495</v>
      </c>
      <c r="O930" t="s">
        <v>1499</v>
      </c>
      <c r="P930" t="s">
        <v>1501</v>
      </c>
    </row>
    <row r="931" spans="1:16" x14ac:dyDescent="0.3">
      <c r="A931">
        <v>930</v>
      </c>
      <c r="B931" t="s">
        <v>898</v>
      </c>
      <c r="C931">
        <v>1</v>
      </c>
      <c r="D931" s="1">
        <v>45985</v>
      </c>
      <c r="E931" s="1">
        <v>45986</v>
      </c>
      <c r="F931" t="s">
        <v>1300</v>
      </c>
      <c r="G931" t="s">
        <v>1344</v>
      </c>
      <c r="H931" t="s">
        <v>1480</v>
      </c>
      <c r="I931">
        <v>1</v>
      </c>
      <c r="J931" s="2">
        <v>555.59</v>
      </c>
      <c r="K931" s="3">
        <v>0.2</v>
      </c>
      <c r="L931" s="2">
        <v>444.47</v>
      </c>
      <c r="M931" s="2">
        <v>65.37</v>
      </c>
      <c r="N931" t="s">
        <v>1494</v>
      </c>
      <c r="O931" t="s">
        <v>1498</v>
      </c>
      <c r="P931" t="s">
        <v>1501</v>
      </c>
    </row>
    <row r="932" spans="1:16" x14ac:dyDescent="0.3">
      <c r="A932">
        <v>931</v>
      </c>
      <c r="B932" t="s">
        <v>899</v>
      </c>
      <c r="C932">
        <v>2</v>
      </c>
      <c r="D932" s="1">
        <v>45985</v>
      </c>
      <c r="E932" s="1">
        <v>45988</v>
      </c>
      <c r="F932" t="s">
        <v>1095</v>
      </c>
      <c r="G932" t="s">
        <v>1342</v>
      </c>
      <c r="H932" t="s">
        <v>1480</v>
      </c>
      <c r="I932">
        <v>1</v>
      </c>
      <c r="J932" s="2">
        <v>18924.84</v>
      </c>
      <c r="K932" s="3">
        <v>0</v>
      </c>
      <c r="L932" s="2">
        <v>18924.84</v>
      </c>
      <c r="M932" s="2">
        <v>2781.6</v>
      </c>
      <c r="N932" t="s">
        <v>1495</v>
      </c>
      <c r="O932" t="s">
        <v>1498</v>
      </c>
      <c r="P932" t="s">
        <v>1501</v>
      </c>
    </row>
    <row r="933" spans="1:16" x14ac:dyDescent="0.3">
      <c r="A933">
        <v>932</v>
      </c>
      <c r="B933" t="s">
        <v>900</v>
      </c>
      <c r="C933">
        <v>1</v>
      </c>
      <c r="D933" s="1">
        <v>45985</v>
      </c>
      <c r="E933" s="1">
        <v>45987</v>
      </c>
      <c r="F933" t="s">
        <v>988</v>
      </c>
      <c r="G933" t="s">
        <v>1386</v>
      </c>
      <c r="H933" t="s">
        <v>1480</v>
      </c>
      <c r="I933">
        <v>2</v>
      </c>
      <c r="J933" s="2">
        <v>1094.7</v>
      </c>
      <c r="K933" s="3">
        <v>0.05</v>
      </c>
      <c r="L933" s="2">
        <v>2079.9299999999998</v>
      </c>
      <c r="M933" s="2">
        <v>18.489999999999998</v>
      </c>
      <c r="N933" t="s">
        <v>1496</v>
      </c>
      <c r="O933" t="s">
        <v>1498</v>
      </c>
      <c r="P933" t="s">
        <v>1501</v>
      </c>
    </row>
    <row r="934" spans="1:16" x14ac:dyDescent="0.3">
      <c r="A934">
        <v>933</v>
      </c>
      <c r="B934" t="s">
        <v>901</v>
      </c>
      <c r="C934">
        <v>1</v>
      </c>
      <c r="D934" s="1">
        <v>45986</v>
      </c>
      <c r="E934" s="1">
        <v>45986</v>
      </c>
      <c r="F934" t="s">
        <v>990</v>
      </c>
      <c r="G934" t="s">
        <v>1456</v>
      </c>
      <c r="H934" t="s">
        <v>1484</v>
      </c>
      <c r="I934">
        <v>1</v>
      </c>
      <c r="J934" s="2">
        <v>43108.17</v>
      </c>
      <c r="K934" s="3">
        <v>0</v>
      </c>
      <c r="L934" s="2">
        <v>43108.17</v>
      </c>
      <c r="M934" s="2">
        <v>7530.62</v>
      </c>
      <c r="N934" t="s">
        <v>1494</v>
      </c>
      <c r="O934" t="s">
        <v>1500</v>
      </c>
      <c r="P934" t="s">
        <v>1501</v>
      </c>
    </row>
    <row r="935" spans="1:16" x14ac:dyDescent="0.3">
      <c r="A935">
        <v>934</v>
      </c>
      <c r="B935" t="s">
        <v>902</v>
      </c>
      <c r="C935">
        <v>1</v>
      </c>
      <c r="D935" s="1">
        <v>45986</v>
      </c>
      <c r="E935" s="1">
        <v>45989</v>
      </c>
      <c r="F935" t="s">
        <v>1314</v>
      </c>
      <c r="G935" t="s">
        <v>1442</v>
      </c>
      <c r="H935" t="s">
        <v>1480</v>
      </c>
      <c r="I935">
        <v>2</v>
      </c>
      <c r="J935" s="2">
        <v>603.28</v>
      </c>
      <c r="K935" s="3">
        <v>0.05</v>
      </c>
      <c r="L935" s="2">
        <v>1146.23</v>
      </c>
      <c r="M935" s="2">
        <v>383.97</v>
      </c>
      <c r="N935" t="s">
        <v>1495</v>
      </c>
      <c r="O935" t="s">
        <v>1499</v>
      </c>
      <c r="P935" t="s">
        <v>1502</v>
      </c>
    </row>
    <row r="936" spans="1:16" x14ac:dyDescent="0.3">
      <c r="A936">
        <v>935</v>
      </c>
      <c r="B936" t="s">
        <v>902</v>
      </c>
      <c r="C936">
        <v>2</v>
      </c>
      <c r="D936" s="1">
        <v>45986</v>
      </c>
      <c r="E936" s="1">
        <v>45989</v>
      </c>
      <c r="F936" t="s">
        <v>1314</v>
      </c>
      <c r="G936" t="s">
        <v>1453</v>
      </c>
      <c r="H936" t="s">
        <v>1480</v>
      </c>
      <c r="I936">
        <v>1</v>
      </c>
      <c r="J936" s="2">
        <v>507.34</v>
      </c>
      <c r="K936" s="3">
        <v>0</v>
      </c>
      <c r="L936" s="2">
        <v>507.34</v>
      </c>
      <c r="M936" s="2">
        <v>193.87</v>
      </c>
      <c r="N936" t="s">
        <v>1495</v>
      </c>
      <c r="O936" t="s">
        <v>1499</v>
      </c>
      <c r="P936" t="s">
        <v>1502</v>
      </c>
    </row>
    <row r="937" spans="1:16" x14ac:dyDescent="0.3">
      <c r="A937">
        <v>936</v>
      </c>
      <c r="B937" t="s">
        <v>903</v>
      </c>
      <c r="C937">
        <v>1</v>
      </c>
      <c r="D937" s="1">
        <v>45986</v>
      </c>
      <c r="E937" s="1">
        <v>45987</v>
      </c>
      <c r="F937" t="s">
        <v>1315</v>
      </c>
      <c r="G937" t="s">
        <v>1404</v>
      </c>
      <c r="H937" t="s">
        <v>1480</v>
      </c>
      <c r="I937">
        <v>2</v>
      </c>
      <c r="J937" s="2">
        <v>44125.88</v>
      </c>
      <c r="K937" s="3">
        <v>0</v>
      </c>
      <c r="L937" s="2">
        <v>88251.76</v>
      </c>
      <c r="M937" s="2">
        <v>19622.38</v>
      </c>
      <c r="N937" t="s">
        <v>1496</v>
      </c>
      <c r="O937" t="s">
        <v>1498</v>
      </c>
      <c r="P937" t="s">
        <v>1501</v>
      </c>
    </row>
    <row r="938" spans="1:16" x14ac:dyDescent="0.3">
      <c r="A938">
        <v>937</v>
      </c>
      <c r="B938" t="s">
        <v>904</v>
      </c>
      <c r="C938">
        <v>1</v>
      </c>
      <c r="D938" s="1">
        <v>45987</v>
      </c>
      <c r="E938" s="1">
        <v>45988</v>
      </c>
      <c r="F938" t="s">
        <v>1044</v>
      </c>
      <c r="G938" t="s">
        <v>1448</v>
      </c>
      <c r="H938" t="s">
        <v>1489</v>
      </c>
      <c r="I938">
        <v>1</v>
      </c>
      <c r="J938" s="2">
        <v>579.75</v>
      </c>
      <c r="K938" s="3">
        <v>0</v>
      </c>
      <c r="L938" s="2">
        <v>579.75</v>
      </c>
      <c r="M938" s="2">
        <v>188.26</v>
      </c>
      <c r="N938" t="s">
        <v>1494</v>
      </c>
      <c r="O938" t="s">
        <v>1498</v>
      </c>
      <c r="P938" t="s">
        <v>1501</v>
      </c>
    </row>
    <row r="939" spans="1:16" x14ac:dyDescent="0.3">
      <c r="A939">
        <v>938</v>
      </c>
      <c r="B939" t="s">
        <v>905</v>
      </c>
      <c r="C939">
        <v>1</v>
      </c>
      <c r="D939" s="1">
        <v>45988</v>
      </c>
      <c r="E939" s="1">
        <v>45989</v>
      </c>
      <c r="F939" t="s">
        <v>1316</v>
      </c>
      <c r="G939" t="s">
        <v>1363</v>
      </c>
      <c r="H939" t="s">
        <v>1491</v>
      </c>
      <c r="I939">
        <v>1</v>
      </c>
      <c r="J939" s="2">
        <v>23041.22</v>
      </c>
      <c r="K939" s="3">
        <v>0</v>
      </c>
      <c r="L939" s="2">
        <v>23041.22</v>
      </c>
      <c r="M939" s="2">
        <v>4964.74</v>
      </c>
      <c r="N939" t="s">
        <v>1495</v>
      </c>
      <c r="O939" t="s">
        <v>1498</v>
      </c>
      <c r="P939" t="s">
        <v>1501</v>
      </c>
    </row>
    <row r="940" spans="1:16" x14ac:dyDescent="0.3">
      <c r="A940">
        <v>939</v>
      </c>
      <c r="B940" t="s">
        <v>906</v>
      </c>
      <c r="C940">
        <v>1</v>
      </c>
      <c r="D940" s="1">
        <v>45989</v>
      </c>
      <c r="E940" s="1">
        <v>45989</v>
      </c>
      <c r="F940" t="s">
        <v>1149</v>
      </c>
      <c r="G940" t="s">
        <v>1402</v>
      </c>
      <c r="H940" t="s">
        <v>1487</v>
      </c>
      <c r="I940">
        <v>1</v>
      </c>
      <c r="J940" s="2">
        <v>1419.44</v>
      </c>
      <c r="K940" s="3">
        <v>0.15</v>
      </c>
      <c r="L940" s="2">
        <v>1206.52</v>
      </c>
      <c r="M940" s="2">
        <v>-105.98</v>
      </c>
      <c r="N940" t="s">
        <v>1496</v>
      </c>
      <c r="O940" t="s">
        <v>1499</v>
      </c>
      <c r="P940" t="s">
        <v>1501</v>
      </c>
    </row>
    <row r="941" spans="1:16" x14ac:dyDescent="0.3">
      <c r="A941">
        <v>940</v>
      </c>
      <c r="B941" t="s">
        <v>907</v>
      </c>
      <c r="C941">
        <v>1</v>
      </c>
      <c r="D941" s="1">
        <v>45989</v>
      </c>
      <c r="E941" s="1">
        <v>45992</v>
      </c>
      <c r="F941" t="s">
        <v>986</v>
      </c>
      <c r="G941" t="s">
        <v>1393</v>
      </c>
      <c r="H941" t="s">
        <v>1480</v>
      </c>
      <c r="I941">
        <v>1</v>
      </c>
      <c r="J941" s="2">
        <v>3230.07</v>
      </c>
      <c r="K941" s="3">
        <v>0</v>
      </c>
      <c r="L941" s="2">
        <v>3230.07</v>
      </c>
      <c r="M941" s="2">
        <v>1361.52</v>
      </c>
      <c r="N941" t="s">
        <v>1494</v>
      </c>
      <c r="O941" t="s">
        <v>1498</v>
      </c>
      <c r="P941" t="s">
        <v>1501</v>
      </c>
    </row>
    <row r="942" spans="1:16" x14ac:dyDescent="0.3">
      <c r="A942">
        <v>941</v>
      </c>
      <c r="B942" t="s">
        <v>907</v>
      </c>
      <c r="C942">
        <v>2</v>
      </c>
      <c r="D942" s="1">
        <v>45989</v>
      </c>
      <c r="E942" s="1">
        <v>45992</v>
      </c>
      <c r="F942" t="s">
        <v>986</v>
      </c>
      <c r="G942" t="s">
        <v>1453</v>
      </c>
      <c r="H942" t="s">
        <v>1480</v>
      </c>
      <c r="I942">
        <v>1</v>
      </c>
      <c r="J942" s="2">
        <v>507.34</v>
      </c>
      <c r="K942" s="3">
        <v>0.1</v>
      </c>
      <c r="L942" s="2">
        <v>456.61</v>
      </c>
      <c r="M942" s="2">
        <v>143.13999999999999</v>
      </c>
      <c r="N942" t="s">
        <v>1494</v>
      </c>
      <c r="O942" t="s">
        <v>1498</v>
      </c>
      <c r="P942" t="s">
        <v>1501</v>
      </c>
    </row>
    <row r="943" spans="1:16" x14ac:dyDescent="0.3">
      <c r="A943">
        <v>942</v>
      </c>
      <c r="B943" t="s">
        <v>908</v>
      </c>
      <c r="C943">
        <v>1</v>
      </c>
      <c r="D943" s="1">
        <v>45990</v>
      </c>
      <c r="E943" s="1">
        <v>45991</v>
      </c>
      <c r="F943" t="s">
        <v>1050</v>
      </c>
      <c r="G943" t="s">
        <v>1470</v>
      </c>
      <c r="H943" t="s">
        <v>1486</v>
      </c>
      <c r="I943">
        <v>2</v>
      </c>
      <c r="J943" s="2">
        <v>4551.28</v>
      </c>
      <c r="K943" s="3">
        <v>0.05</v>
      </c>
      <c r="L943" s="2">
        <v>8647.43</v>
      </c>
      <c r="M943" s="2">
        <v>3307.09</v>
      </c>
      <c r="N943" t="s">
        <v>1494</v>
      </c>
      <c r="O943" t="s">
        <v>1498</v>
      </c>
      <c r="P943" t="s">
        <v>1502</v>
      </c>
    </row>
    <row r="944" spans="1:16" x14ac:dyDescent="0.3">
      <c r="A944">
        <v>943</v>
      </c>
      <c r="B944" t="s">
        <v>909</v>
      </c>
      <c r="C944">
        <v>1</v>
      </c>
      <c r="D944" s="1">
        <v>45990</v>
      </c>
      <c r="E944" s="1">
        <v>45991</v>
      </c>
      <c r="F944" t="s">
        <v>1317</v>
      </c>
      <c r="G944" t="s">
        <v>1338</v>
      </c>
      <c r="H944" t="s">
        <v>1480</v>
      </c>
      <c r="I944">
        <v>2</v>
      </c>
      <c r="J944" s="2">
        <v>1151.02</v>
      </c>
      <c r="K944" s="3">
        <v>0</v>
      </c>
      <c r="L944" s="2">
        <v>2302.04</v>
      </c>
      <c r="M944" s="2">
        <v>299.10000000000002</v>
      </c>
      <c r="N944" t="s">
        <v>1494</v>
      </c>
      <c r="O944" t="s">
        <v>1499</v>
      </c>
      <c r="P944" t="s">
        <v>1501</v>
      </c>
    </row>
    <row r="945" spans="1:16" x14ac:dyDescent="0.3">
      <c r="A945">
        <v>944</v>
      </c>
      <c r="B945" t="s">
        <v>910</v>
      </c>
      <c r="C945">
        <v>1</v>
      </c>
      <c r="D945" s="1">
        <v>45990</v>
      </c>
      <c r="E945" s="1">
        <v>45992</v>
      </c>
      <c r="F945" t="s">
        <v>1145</v>
      </c>
      <c r="G945" t="s">
        <v>1338</v>
      </c>
      <c r="H945" t="s">
        <v>1480</v>
      </c>
      <c r="I945">
        <v>1</v>
      </c>
      <c r="J945" s="2">
        <v>1151.02</v>
      </c>
      <c r="K945" s="3">
        <v>0</v>
      </c>
      <c r="L945" s="2">
        <v>1151.02</v>
      </c>
      <c r="M945" s="2">
        <v>149.55000000000001</v>
      </c>
      <c r="N945" t="s">
        <v>1493</v>
      </c>
      <c r="O945" t="s">
        <v>1499</v>
      </c>
      <c r="P945" t="s">
        <v>1501</v>
      </c>
    </row>
    <row r="946" spans="1:16" x14ac:dyDescent="0.3">
      <c r="A946">
        <v>945</v>
      </c>
      <c r="B946" t="s">
        <v>911</v>
      </c>
      <c r="C946">
        <v>3</v>
      </c>
      <c r="D946" s="1">
        <v>45991</v>
      </c>
      <c r="E946" s="1">
        <v>45992</v>
      </c>
      <c r="F946" t="s">
        <v>1318</v>
      </c>
      <c r="G946" t="s">
        <v>1450</v>
      </c>
      <c r="H946" t="s">
        <v>1485</v>
      </c>
      <c r="I946">
        <v>2</v>
      </c>
      <c r="J946" s="2">
        <v>7983.56</v>
      </c>
      <c r="K946" s="3">
        <v>0.15</v>
      </c>
      <c r="L946" s="2">
        <v>13572.05</v>
      </c>
      <c r="M946" s="2">
        <v>1541.63</v>
      </c>
      <c r="N946" t="s">
        <v>1496</v>
      </c>
      <c r="O946" t="s">
        <v>1498</v>
      </c>
      <c r="P946" t="s">
        <v>1501</v>
      </c>
    </row>
    <row r="947" spans="1:16" x14ac:dyDescent="0.3">
      <c r="A947">
        <v>946</v>
      </c>
      <c r="B947" t="s">
        <v>912</v>
      </c>
      <c r="C947">
        <v>1</v>
      </c>
      <c r="D947" s="1">
        <v>45991</v>
      </c>
      <c r="E947" s="1">
        <v>45991</v>
      </c>
      <c r="F947" t="s">
        <v>1236</v>
      </c>
      <c r="G947" t="s">
        <v>1358</v>
      </c>
      <c r="H947" t="s">
        <v>1490</v>
      </c>
      <c r="I947">
        <v>1</v>
      </c>
      <c r="J947" s="2">
        <v>37487.300000000003</v>
      </c>
      <c r="K947" s="3">
        <v>0</v>
      </c>
      <c r="L947" s="2">
        <v>37487.300000000003</v>
      </c>
      <c r="M947" s="2">
        <v>3603.55</v>
      </c>
      <c r="N947" t="s">
        <v>1496</v>
      </c>
      <c r="O947" t="s">
        <v>1498</v>
      </c>
      <c r="P947" t="s">
        <v>1501</v>
      </c>
    </row>
    <row r="948" spans="1:16" x14ac:dyDescent="0.3">
      <c r="A948">
        <v>947</v>
      </c>
      <c r="B948" t="s">
        <v>913</v>
      </c>
      <c r="C948">
        <v>1</v>
      </c>
      <c r="D948" s="1">
        <v>45991</v>
      </c>
      <c r="E948" s="1">
        <v>45994</v>
      </c>
      <c r="F948" t="s">
        <v>1176</v>
      </c>
      <c r="G948" t="s">
        <v>1357</v>
      </c>
      <c r="H948" t="s">
        <v>1480</v>
      </c>
      <c r="I948">
        <v>1</v>
      </c>
      <c r="J948" s="2">
        <v>986.91</v>
      </c>
      <c r="K948" s="3">
        <v>0.05</v>
      </c>
      <c r="L948" s="2">
        <v>937.56</v>
      </c>
      <c r="M948" s="2">
        <v>79.38</v>
      </c>
      <c r="N948" t="s">
        <v>1496</v>
      </c>
      <c r="O948" t="s">
        <v>1498</v>
      </c>
      <c r="P948" t="s">
        <v>1501</v>
      </c>
    </row>
    <row r="949" spans="1:16" x14ac:dyDescent="0.3">
      <c r="A949">
        <v>948</v>
      </c>
      <c r="B949" t="s">
        <v>914</v>
      </c>
      <c r="C949">
        <v>1</v>
      </c>
      <c r="D949" s="1">
        <v>45992</v>
      </c>
      <c r="E949" s="1">
        <v>45994</v>
      </c>
      <c r="F949" t="s">
        <v>1031</v>
      </c>
      <c r="G949" t="s">
        <v>1401</v>
      </c>
      <c r="H949" t="s">
        <v>1480</v>
      </c>
      <c r="I949">
        <v>1</v>
      </c>
      <c r="J949" s="2">
        <v>50900.49</v>
      </c>
      <c r="K949" s="3">
        <v>0</v>
      </c>
      <c r="L949" s="2">
        <v>50900.49</v>
      </c>
      <c r="M949" s="2">
        <v>7930.74</v>
      </c>
      <c r="N949" t="s">
        <v>1496</v>
      </c>
      <c r="O949" t="s">
        <v>1498</v>
      </c>
      <c r="P949" t="s">
        <v>1501</v>
      </c>
    </row>
    <row r="950" spans="1:16" x14ac:dyDescent="0.3">
      <c r="A950">
        <v>949</v>
      </c>
      <c r="B950" t="s">
        <v>915</v>
      </c>
      <c r="C950">
        <v>1</v>
      </c>
      <c r="D950" s="1">
        <v>45992</v>
      </c>
      <c r="E950" s="1">
        <v>45993</v>
      </c>
      <c r="F950" t="s">
        <v>1299</v>
      </c>
      <c r="G950" t="s">
        <v>1414</v>
      </c>
      <c r="H950" t="s">
        <v>1480</v>
      </c>
      <c r="I950">
        <v>3</v>
      </c>
      <c r="J950" s="2">
        <v>20329.61</v>
      </c>
      <c r="K950" s="3">
        <v>0.15</v>
      </c>
      <c r="L950" s="2">
        <v>51840.51</v>
      </c>
      <c r="M950" s="2">
        <v>5738.82</v>
      </c>
      <c r="N950" t="s">
        <v>1496</v>
      </c>
      <c r="O950" t="s">
        <v>1498</v>
      </c>
      <c r="P950" t="s">
        <v>1501</v>
      </c>
    </row>
    <row r="951" spans="1:16" x14ac:dyDescent="0.3">
      <c r="A951">
        <v>950</v>
      </c>
      <c r="B951" t="s">
        <v>916</v>
      </c>
      <c r="C951">
        <v>2</v>
      </c>
      <c r="D951" s="1">
        <v>45993</v>
      </c>
      <c r="E951" s="1">
        <v>45996</v>
      </c>
      <c r="F951" t="s">
        <v>997</v>
      </c>
      <c r="G951" t="s">
        <v>1363</v>
      </c>
      <c r="H951" t="s">
        <v>1480</v>
      </c>
      <c r="I951">
        <v>1</v>
      </c>
      <c r="J951" s="2">
        <v>23041.22</v>
      </c>
      <c r="K951" s="3">
        <v>0</v>
      </c>
      <c r="L951" s="2">
        <v>23041.22</v>
      </c>
      <c r="M951" s="2">
        <v>4964.74</v>
      </c>
      <c r="N951" t="s">
        <v>1496</v>
      </c>
      <c r="O951" t="s">
        <v>1500</v>
      </c>
      <c r="P951" t="s">
        <v>1501</v>
      </c>
    </row>
    <row r="952" spans="1:16" x14ac:dyDescent="0.3">
      <c r="A952">
        <v>951</v>
      </c>
      <c r="B952" t="s">
        <v>917</v>
      </c>
      <c r="C952">
        <v>1</v>
      </c>
      <c r="D952" s="1">
        <v>45993</v>
      </c>
      <c r="E952" s="1">
        <v>45994</v>
      </c>
      <c r="F952" t="s">
        <v>976</v>
      </c>
      <c r="G952" t="s">
        <v>1434</v>
      </c>
      <c r="H952" t="s">
        <v>1490</v>
      </c>
      <c r="I952">
        <v>1</v>
      </c>
      <c r="J952" s="2">
        <v>994.69</v>
      </c>
      <c r="K952" s="3">
        <v>0</v>
      </c>
      <c r="L952" s="2">
        <v>994.69</v>
      </c>
      <c r="M952" s="2">
        <v>91.37</v>
      </c>
      <c r="N952" t="s">
        <v>1497</v>
      </c>
      <c r="O952" t="s">
        <v>1498</v>
      </c>
      <c r="P952" t="s">
        <v>1501</v>
      </c>
    </row>
    <row r="953" spans="1:16" x14ac:dyDescent="0.3">
      <c r="A953">
        <v>952</v>
      </c>
      <c r="B953" t="s">
        <v>918</v>
      </c>
      <c r="C953">
        <v>1</v>
      </c>
      <c r="D953" s="1">
        <v>45995</v>
      </c>
      <c r="E953" s="1">
        <v>45996</v>
      </c>
      <c r="F953" t="s">
        <v>1197</v>
      </c>
      <c r="G953" t="s">
        <v>1345</v>
      </c>
      <c r="H953" t="s">
        <v>1480</v>
      </c>
      <c r="I953">
        <v>1</v>
      </c>
      <c r="J953" s="2">
        <v>8112.78</v>
      </c>
      <c r="K953" s="3">
        <v>0.1</v>
      </c>
      <c r="L953" s="2">
        <v>7301.5</v>
      </c>
      <c r="M953" s="2">
        <v>423.78</v>
      </c>
      <c r="N953" t="s">
        <v>1496</v>
      </c>
      <c r="O953" t="s">
        <v>1498</v>
      </c>
      <c r="P953" t="s">
        <v>1501</v>
      </c>
    </row>
    <row r="954" spans="1:16" x14ac:dyDescent="0.3">
      <c r="A954">
        <v>953</v>
      </c>
      <c r="B954" t="s">
        <v>919</v>
      </c>
      <c r="C954">
        <v>2</v>
      </c>
      <c r="D954" s="1">
        <v>45995</v>
      </c>
      <c r="E954" s="1">
        <v>45997</v>
      </c>
      <c r="F954" t="s">
        <v>1075</v>
      </c>
      <c r="G954" t="s">
        <v>1474</v>
      </c>
      <c r="H954" t="s">
        <v>1480</v>
      </c>
      <c r="I954">
        <v>2</v>
      </c>
      <c r="J954" s="2">
        <v>12355.9</v>
      </c>
      <c r="K954" s="3">
        <v>0.1</v>
      </c>
      <c r="L954" s="2">
        <v>22240.62</v>
      </c>
      <c r="M954" s="2">
        <v>3119.56</v>
      </c>
      <c r="N954" t="s">
        <v>1496</v>
      </c>
      <c r="O954" t="s">
        <v>1498</v>
      </c>
      <c r="P954" t="s">
        <v>1501</v>
      </c>
    </row>
    <row r="955" spans="1:16" x14ac:dyDescent="0.3">
      <c r="A955">
        <v>954</v>
      </c>
      <c r="B955" t="s">
        <v>920</v>
      </c>
      <c r="C955">
        <v>1</v>
      </c>
      <c r="D955" s="1">
        <v>45995</v>
      </c>
      <c r="E955" s="1">
        <v>45998</v>
      </c>
      <c r="F955" t="s">
        <v>1183</v>
      </c>
      <c r="G955" t="s">
        <v>1401</v>
      </c>
      <c r="H955" t="s">
        <v>1480</v>
      </c>
      <c r="I955">
        <v>1</v>
      </c>
      <c r="J955" s="2">
        <v>50900.49</v>
      </c>
      <c r="K955" s="3">
        <v>0</v>
      </c>
      <c r="L955" s="2">
        <v>50900.49</v>
      </c>
      <c r="M955" s="2">
        <v>7930.74</v>
      </c>
      <c r="N955" t="s">
        <v>1496</v>
      </c>
      <c r="O955" t="s">
        <v>1499</v>
      </c>
      <c r="P955" t="s">
        <v>1501</v>
      </c>
    </row>
    <row r="956" spans="1:16" x14ac:dyDescent="0.3">
      <c r="A956">
        <v>955</v>
      </c>
      <c r="B956" t="s">
        <v>921</v>
      </c>
      <c r="C956">
        <v>3</v>
      </c>
      <c r="D956" s="1">
        <v>45995</v>
      </c>
      <c r="E956" s="1">
        <v>45998</v>
      </c>
      <c r="F956" t="s">
        <v>1265</v>
      </c>
      <c r="G956" t="s">
        <v>1459</v>
      </c>
      <c r="H956" t="s">
        <v>1480</v>
      </c>
      <c r="I956">
        <v>1</v>
      </c>
      <c r="J956" s="2">
        <v>814.23</v>
      </c>
      <c r="K956" s="3">
        <v>0</v>
      </c>
      <c r="L956" s="2">
        <v>814.23</v>
      </c>
      <c r="M956" s="2">
        <v>109.8</v>
      </c>
      <c r="N956" t="s">
        <v>1494</v>
      </c>
      <c r="O956" t="s">
        <v>1499</v>
      </c>
      <c r="P956" t="s">
        <v>1501</v>
      </c>
    </row>
    <row r="957" spans="1:16" x14ac:dyDescent="0.3">
      <c r="A957">
        <v>956</v>
      </c>
      <c r="B957" t="s">
        <v>922</v>
      </c>
      <c r="C957">
        <v>1</v>
      </c>
      <c r="D957" s="1">
        <v>45996</v>
      </c>
      <c r="E957" s="1">
        <v>45996</v>
      </c>
      <c r="F957" t="s">
        <v>967</v>
      </c>
      <c r="G957" t="s">
        <v>1333</v>
      </c>
      <c r="H957" t="s">
        <v>1489</v>
      </c>
      <c r="I957">
        <v>1</v>
      </c>
      <c r="J957" s="2">
        <v>16375.46</v>
      </c>
      <c r="K957" s="3">
        <v>0.1</v>
      </c>
      <c r="L957" s="2">
        <v>14737.91</v>
      </c>
      <c r="M957" s="2">
        <v>436.76</v>
      </c>
      <c r="N957" t="s">
        <v>1494</v>
      </c>
      <c r="O957" t="s">
        <v>1499</v>
      </c>
      <c r="P957" t="s">
        <v>1502</v>
      </c>
    </row>
    <row r="958" spans="1:16" x14ac:dyDescent="0.3">
      <c r="A958">
        <v>957</v>
      </c>
      <c r="B958" t="s">
        <v>923</v>
      </c>
      <c r="C958">
        <v>1</v>
      </c>
      <c r="D958" s="1">
        <v>45996</v>
      </c>
      <c r="E958" s="1">
        <v>45997</v>
      </c>
      <c r="F958" t="s">
        <v>1041</v>
      </c>
      <c r="G958" t="s">
        <v>1472</v>
      </c>
      <c r="H958" t="s">
        <v>1488</v>
      </c>
      <c r="I958">
        <v>3</v>
      </c>
      <c r="J958" s="2">
        <v>16791.75</v>
      </c>
      <c r="K958" s="3">
        <v>0</v>
      </c>
      <c r="L958" s="2">
        <v>50375.25</v>
      </c>
      <c r="M958" s="2">
        <v>4067.1</v>
      </c>
      <c r="N958" t="s">
        <v>1494</v>
      </c>
      <c r="O958" t="s">
        <v>1499</v>
      </c>
      <c r="P958" t="s">
        <v>1501</v>
      </c>
    </row>
    <row r="959" spans="1:16" x14ac:dyDescent="0.3">
      <c r="A959">
        <v>958</v>
      </c>
      <c r="B959" t="s">
        <v>923</v>
      </c>
      <c r="C959">
        <v>2</v>
      </c>
      <c r="D959" s="1">
        <v>45996</v>
      </c>
      <c r="E959" s="1">
        <v>45997</v>
      </c>
      <c r="F959" t="s">
        <v>1041</v>
      </c>
      <c r="G959" t="s">
        <v>1399</v>
      </c>
      <c r="H959" t="s">
        <v>1488</v>
      </c>
      <c r="I959">
        <v>2</v>
      </c>
      <c r="J959" s="2">
        <v>711.86</v>
      </c>
      <c r="K959" s="3">
        <v>0</v>
      </c>
      <c r="L959" s="2">
        <v>1423.72</v>
      </c>
      <c r="M959" s="2">
        <v>145.6</v>
      </c>
      <c r="N959" t="s">
        <v>1494</v>
      </c>
      <c r="O959" t="s">
        <v>1499</v>
      </c>
      <c r="P959" t="s">
        <v>1501</v>
      </c>
    </row>
    <row r="960" spans="1:16" x14ac:dyDescent="0.3">
      <c r="A960">
        <v>959</v>
      </c>
      <c r="B960" t="s">
        <v>924</v>
      </c>
      <c r="C960">
        <v>1</v>
      </c>
      <c r="D960" s="1">
        <v>45996</v>
      </c>
      <c r="E960" s="1">
        <v>45999</v>
      </c>
      <c r="F960" t="s">
        <v>1319</v>
      </c>
      <c r="G960" t="s">
        <v>1426</v>
      </c>
      <c r="H960" t="s">
        <v>1480</v>
      </c>
      <c r="I960">
        <v>2</v>
      </c>
      <c r="J960" s="2">
        <v>33135.4</v>
      </c>
      <c r="K960" s="3">
        <v>0</v>
      </c>
      <c r="L960" s="2">
        <v>66270.8</v>
      </c>
      <c r="M960" s="2">
        <v>17286.580000000002</v>
      </c>
      <c r="N960" t="s">
        <v>1493</v>
      </c>
      <c r="O960" t="s">
        <v>1498</v>
      </c>
      <c r="P960" t="s">
        <v>1501</v>
      </c>
    </row>
    <row r="961" spans="1:16" x14ac:dyDescent="0.3">
      <c r="A961">
        <v>960</v>
      </c>
      <c r="B961" t="s">
        <v>925</v>
      </c>
      <c r="C961">
        <v>2</v>
      </c>
      <c r="D961" s="1">
        <v>45996</v>
      </c>
      <c r="E961" s="1">
        <v>45996</v>
      </c>
      <c r="F961" t="s">
        <v>965</v>
      </c>
      <c r="G961" t="s">
        <v>1477</v>
      </c>
      <c r="H961" t="s">
        <v>1490</v>
      </c>
      <c r="I961">
        <v>1</v>
      </c>
      <c r="J961" s="2">
        <v>43142.95</v>
      </c>
      <c r="K961" s="3">
        <v>0.05</v>
      </c>
      <c r="L961" s="2">
        <v>40985.800000000003</v>
      </c>
      <c r="M961" s="2">
        <v>5873.72</v>
      </c>
      <c r="N961" t="s">
        <v>1494</v>
      </c>
      <c r="O961" t="s">
        <v>1499</v>
      </c>
      <c r="P961" t="s">
        <v>1501</v>
      </c>
    </row>
    <row r="962" spans="1:16" x14ac:dyDescent="0.3">
      <c r="A962">
        <v>961</v>
      </c>
      <c r="B962" t="s">
        <v>926</v>
      </c>
      <c r="C962">
        <v>2</v>
      </c>
      <c r="D962" s="1">
        <v>45999</v>
      </c>
      <c r="E962" s="1">
        <v>46001</v>
      </c>
      <c r="F962" t="s">
        <v>1320</v>
      </c>
      <c r="G962" t="s">
        <v>1463</v>
      </c>
      <c r="H962" t="s">
        <v>1480</v>
      </c>
      <c r="I962">
        <v>1</v>
      </c>
      <c r="J962" s="2">
        <v>2936.96</v>
      </c>
      <c r="K962" s="3">
        <v>0</v>
      </c>
      <c r="L962" s="2">
        <v>2936.96</v>
      </c>
      <c r="M962" s="2">
        <v>960.44</v>
      </c>
      <c r="N962" t="s">
        <v>1495</v>
      </c>
      <c r="O962" t="s">
        <v>1498</v>
      </c>
      <c r="P962" t="s">
        <v>1501</v>
      </c>
    </row>
    <row r="963" spans="1:16" x14ac:dyDescent="0.3">
      <c r="A963">
        <v>962</v>
      </c>
      <c r="B963" t="s">
        <v>927</v>
      </c>
      <c r="C963">
        <v>2</v>
      </c>
      <c r="D963" s="1">
        <v>45999</v>
      </c>
      <c r="E963" s="1">
        <v>46000</v>
      </c>
      <c r="F963" t="s">
        <v>1152</v>
      </c>
      <c r="G963" t="s">
        <v>1424</v>
      </c>
      <c r="H963" t="s">
        <v>1490</v>
      </c>
      <c r="I963">
        <v>1</v>
      </c>
      <c r="J963" s="2">
        <v>31609.79</v>
      </c>
      <c r="K963" s="3">
        <v>0</v>
      </c>
      <c r="L963" s="2">
        <v>31609.79</v>
      </c>
      <c r="M963" s="2">
        <v>3440.18</v>
      </c>
      <c r="N963" t="s">
        <v>1497</v>
      </c>
      <c r="O963" t="s">
        <v>1498</v>
      </c>
      <c r="P963" t="s">
        <v>1502</v>
      </c>
    </row>
    <row r="964" spans="1:16" x14ac:dyDescent="0.3">
      <c r="A964">
        <v>963</v>
      </c>
      <c r="B964" t="s">
        <v>928</v>
      </c>
      <c r="C964">
        <v>1</v>
      </c>
      <c r="D964" s="1">
        <v>46000</v>
      </c>
      <c r="E964" s="1">
        <v>46003</v>
      </c>
      <c r="F964" t="s">
        <v>1029</v>
      </c>
      <c r="G964" t="s">
        <v>1403</v>
      </c>
      <c r="H964" t="s">
        <v>1480</v>
      </c>
      <c r="I964">
        <v>1</v>
      </c>
      <c r="J964" s="2">
        <v>24758.98</v>
      </c>
      <c r="K964" s="3">
        <v>0</v>
      </c>
      <c r="L964" s="2">
        <v>24758.98</v>
      </c>
      <c r="M964" s="2">
        <v>4169.6000000000004</v>
      </c>
      <c r="N964" t="s">
        <v>1496</v>
      </c>
      <c r="O964" t="s">
        <v>1499</v>
      </c>
      <c r="P964" t="s">
        <v>1501</v>
      </c>
    </row>
    <row r="965" spans="1:16" x14ac:dyDescent="0.3">
      <c r="A965">
        <v>964</v>
      </c>
      <c r="B965" t="s">
        <v>929</v>
      </c>
      <c r="C965">
        <v>1</v>
      </c>
      <c r="D965" s="1">
        <v>46002</v>
      </c>
      <c r="E965" s="1">
        <v>46002</v>
      </c>
      <c r="F965" t="s">
        <v>1134</v>
      </c>
      <c r="G965" t="s">
        <v>1421</v>
      </c>
      <c r="H965" t="s">
        <v>1491</v>
      </c>
      <c r="I965">
        <v>2</v>
      </c>
      <c r="J965" s="2">
        <v>227.54</v>
      </c>
      <c r="K965" s="3">
        <v>0</v>
      </c>
      <c r="L965" s="2">
        <v>455.08</v>
      </c>
      <c r="M965" s="2">
        <v>66.400000000000006</v>
      </c>
      <c r="N965" t="s">
        <v>1495</v>
      </c>
      <c r="O965" t="s">
        <v>1500</v>
      </c>
      <c r="P965" t="s">
        <v>1501</v>
      </c>
    </row>
    <row r="966" spans="1:16" x14ac:dyDescent="0.3">
      <c r="A966">
        <v>965</v>
      </c>
      <c r="B966" t="s">
        <v>930</v>
      </c>
      <c r="C966">
        <v>2</v>
      </c>
      <c r="D966" s="1">
        <v>46002</v>
      </c>
      <c r="E966" s="1">
        <v>46005</v>
      </c>
      <c r="F966" t="s">
        <v>1321</v>
      </c>
      <c r="G966" t="s">
        <v>1465</v>
      </c>
      <c r="H966" t="s">
        <v>1480</v>
      </c>
      <c r="I966">
        <v>2</v>
      </c>
      <c r="J966" s="2">
        <v>2687.95</v>
      </c>
      <c r="K966" s="3">
        <v>0.05</v>
      </c>
      <c r="L966" s="2">
        <v>5107.1000000000004</v>
      </c>
      <c r="M966" s="2">
        <v>2114.04</v>
      </c>
      <c r="N966" t="s">
        <v>1496</v>
      </c>
      <c r="O966" t="s">
        <v>1499</v>
      </c>
      <c r="P966" t="s">
        <v>1501</v>
      </c>
    </row>
    <row r="967" spans="1:16" x14ac:dyDescent="0.3">
      <c r="A967">
        <v>966</v>
      </c>
      <c r="B967" t="s">
        <v>931</v>
      </c>
      <c r="C967">
        <v>1</v>
      </c>
      <c r="D967" s="1">
        <v>46002</v>
      </c>
      <c r="E967" s="1">
        <v>46003</v>
      </c>
      <c r="F967" t="s">
        <v>1211</v>
      </c>
      <c r="G967" t="s">
        <v>1399</v>
      </c>
      <c r="H967" t="s">
        <v>1487</v>
      </c>
      <c r="I967">
        <v>2</v>
      </c>
      <c r="J967" s="2">
        <v>711.86</v>
      </c>
      <c r="K967" s="3">
        <v>0</v>
      </c>
      <c r="L967" s="2">
        <v>1423.72</v>
      </c>
      <c r="M967" s="2">
        <v>145.6</v>
      </c>
      <c r="N967" t="s">
        <v>1494</v>
      </c>
      <c r="O967" t="s">
        <v>1498</v>
      </c>
      <c r="P967" t="s">
        <v>1501</v>
      </c>
    </row>
    <row r="968" spans="1:16" x14ac:dyDescent="0.3">
      <c r="A968">
        <v>967</v>
      </c>
      <c r="B968" t="s">
        <v>932</v>
      </c>
      <c r="C968">
        <v>2</v>
      </c>
      <c r="D968" s="1">
        <v>46003</v>
      </c>
      <c r="E968" s="1">
        <v>46004</v>
      </c>
      <c r="F968" t="s">
        <v>1086</v>
      </c>
      <c r="G968" t="s">
        <v>1436</v>
      </c>
      <c r="H968" t="s">
        <v>1487</v>
      </c>
      <c r="I968">
        <v>1</v>
      </c>
      <c r="J968" s="2">
        <v>546.80999999999995</v>
      </c>
      <c r="K968" s="3">
        <v>0.15</v>
      </c>
      <c r="L968" s="2">
        <v>464.79</v>
      </c>
      <c r="M968" s="2">
        <v>74.53</v>
      </c>
      <c r="N968" t="s">
        <v>1497</v>
      </c>
      <c r="O968" t="s">
        <v>1498</v>
      </c>
      <c r="P968" t="s">
        <v>1501</v>
      </c>
    </row>
    <row r="969" spans="1:16" x14ac:dyDescent="0.3">
      <c r="A969">
        <v>968</v>
      </c>
      <c r="B969" t="s">
        <v>933</v>
      </c>
      <c r="C969">
        <v>1</v>
      </c>
      <c r="D969" s="1">
        <v>46003</v>
      </c>
      <c r="F969" t="s">
        <v>1322</v>
      </c>
      <c r="G969" t="s">
        <v>1354</v>
      </c>
      <c r="H969" t="s">
        <v>1480</v>
      </c>
      <c r="I969">
        <v>1</v>
      </c>
      <c r="J969" s="2">
        <v>45654.38</v>
      </c>
      <c r="K969" s="3">
        <v>0.2</v>
      </c>
      <c r="L969" s="2">
        <v>36523.5</v>
      </c>
      <c r="M969" s="2">
        <v>3823.62</v>
      </c>
      <c r="N969" t="s">
        <v>1495</v>
      </c>
      <c r="O969" t="s">
        <v>1498</v>
      </c>
      <c r="P969" t="s">
        <v>1503</v>
      </c>
    </row>
    <row r="970" spans="1:16" x14ac:dyDescent="0.3">
      <c r="A970">
        <v>969</v>
      </c>
      <c r="B970" t="s">
        <v>934</v>
      </c>
      <c r="C970">
        <v>1</v>
      </c>
      <c r="D970" s="1">
        <v>46003</v>
      </c>
      <c r="E970" s="1">
        <v>46006</v>
      </c>
      <c r="F970" t="s">
        <v>1314</v>
      </c>
      <c r="G970" t="s">
        <v>1427</v>
      </c>
      <c r="H970" t="s">
        <v>1480</v>
      </c>
      <c r="I970">
        <v>3</v>
      </c>
      <c r="J970" s="2">
        <v>687.56</v>
      </c>
      <c r="K970" s="3">
        <v>0</v>
      </c>
      <c r="L970" s="2">
        <v>2062.6799999999998</v>
      </c>
      <c r="M970" s="2">
        <v>705.39</v>
      </c>
      <c r="N970" t="s">
        <v>1495</v>
      </c>
      <c r="O970" t="s">
        <v>1499</v>
      </c>
      <c r="P970" t="s">
        <v>1501</v>
      </c>
    </row>
    <row r="971" spans="1:16" x14ac:dyDescent="0.3">
      <c r="A971">
        <v>970</v>
      </c>
      <c r="B971" t="s">
        <v>935</v>
      </c>
      <c r="C971">
        <v>1</v>
      </c>
      <c r="D971" s="1">
        <v>46003</v>
      </c>
      <c r="E971" s="1">
        <v>46003</v>
      </c>
      <c r="F971" t="s">
        <v>1101</v>
      </c>
      <c r="G971" t="s">
        <v>1376</v>
      </c>
      <c r="H971" t="s">
        <v>1484</v>
      </c>
      <c r="I971">
        <v>1</v>
      </c>
      <c r="J971" s="2">
        <v>5444.12</v>
      </c>
      <c r="K971" s="3">
        <v>0</v>
      </c>
      <c r="L971" s="2">
        <v>5444.12</v>
      </c>
      <c r="M971" s="2">
        <v>2427.61</v>
      </c>
      <c r="N971" t="s">
        <v>1496</v>
      </c>
      <c r="O971" t="s">
        <v>1499</v>
      </c>
      <c r="P971" t="s">
        <v>1501</v>
      </c>
    </row>
    <row r="972" spans="1:16" x14ac:dyDescent="0.3">
      <c r="A972">
        <v>971</v>
      </c>
      <c r="B972" t="s">
        <v>936</v>
      </c>
      <c r="C972">
        <v>1</v>
      </c>
      <c r="D972" s="1">
        <v>46003</v>
      </c>
      <c r="E972" s="1">
        <v>46006</v>
      </c>
      <c r="F972" t="s">
        <v>1016</v>
      </c>
      <c r="G972" t="s">
        <v>1333</v>
      </c>
      <c r="H972" t="s">
        <v>1480</v>
      </c>
      <c r="I972">
        <v>1</v>
      </c>
      <c r="J972" s="2">
        <v>16375.46</v>
      </c>
      <c r="K972" s="3">
        <v>0</v>
      </c>
      <c r="L972" s="2">
        <v>16375.46</v>
      </c>
      <c r="M972" s="2">
        <v>2074.31</v>
      </c>
      <c r="N972" t="s">
        <v>1493</v>
      </c>
      <c r="O972" t="s">
        <v>1498</v>
      </c>
      <c r="P972" t="s">
        <v>1501</v>
      </c>
    </row>
    <row r="973" spans="1:16" x14ac:dyDescent="0.3">
      <c r="A973">
        <v>972</v>
      </c>
      <c r="B973" t="s">
        <v>937</v>
      </c>
      <c r="C973">
        <v>1</v>
      </c>
      <c r="D973" s="1">
        <v>46004</v>
      </c>
      <c r="E973" s="1">
        <v>46005</v>
      </c>
      <c r="F973" t="s">
        <v>1114</v>
      </c>
      <c r="G973" t="s">
        <v>1377</v>
      </c>
      <c r="H973" t="s">
        <v>1491</v>
      </c>
      <c r="I973">
        <v>1</v>
      </c>
      <c r="J973" s="2">
        <v>43870.05</v>
      </c>
      <c r="K973" s="3">
        <v>0</v>
      </c>
      <c r="L973" s="2">
        <v>43870.05</v>
      </c>
      <c r="M973" s="2">
        <v>8494.89</v>
      </c>
      <c r="N973" t="s">
        <v>1494</v>
      </c>
      <c r="O973" t="s">
        <v>1498</v>
      </c>
      <c r="P973" t="s">
        <v>1501</v>
      </c>
    </row>
    <row r="974" spans="1:16" x14ac:dyDescent="0.3">
      <c r="A974">
        <v>973</v>
      </c>
      <c r="B974" t="s">
        <v>938</v>
      </c>
      <c r="C974">
        <v>2</v>
      </c>
      <c r="D974" s="1">
        <v>46004</v>
      </c>
      <c r="E974" s="1">
        <v>46005</v>
      </c>
      <c r="F974" t="s">
        <v>1151</v>
      </c>
      <c r="G974" t="s">
        <v>1405</v>
      </c>
      <c r="H974" t="s">
        <v>1480</v>
      </c>
      <c r="I974">
        <v>3</v>
      </c>
      <c r="J974" s="2">
        <v>57633.32</v>
      </c>
      <c r="K974" s="3">
        <v>0</v>
      </c>
      <c r="L974" s="2">
        <v>172899.96</v>
      </c>
      <c r="M974" s="2">
        <v>21601.47</v>
      </c>
      <c r="N974" t="s">
        <v>1496</v>
      </c>
      <c r="O974" t="s">
        <v>1499</v>
      </c>
      <c r="P974" t="s">
        <v>1501</v>
      </c>
    </row>
    <row r="975" spans="1:16" x14ac:dyDescent="0.3">
      <c r="A975">
        <v>974</v>
      </c>
      <c r="B975" t="s">
        <v>939</v>
      </c>
      <c r="C975">
        <v>1</v>
      </c>
      <c r="D975" s="1">
        <v>46004</v>
      </c>
      <c r="E975" s="1">
        <v>46005</v>
      </c>
      <c r="F975" t="s">
        <v>1323</v>
      </c>
      <c r="G975" t="s">
        <v>1376</v>
      </c>
      <c r="H975" t="s">
        <v>1482</v>
      </c>
      <c r="I975">
        <v>1</v>
      </c>
      <c r="J975" s="2">
        <v>5444.12</v>
      </c>
      <c r="K975" s="3">
        <v>0</v>
      </c>
      <c r="L975" s="2">
        <v>5444.12</v>
      </c>
      <c r="M975" s="2">
        <v>2427.61</v>
      </c>
      <c r="N975" t="s">
        <v>1496</v>
      </c>
      <c r="O975" t="s">
        <v>1499</v>
      </c>
      <c r="P975" t="s">
        <v>1501</v>
      </c>
    </row>
    <row r="976" spans="1:16" x14ac:dyDescent="0.3">
      <c r="A976">
        <v>975</v>
      </c>
      <c r="B976" t="s">
        <v>940</v>
      </c>
      <c r="C976">
        <v>1</v>
      </c>
      <c r="D976" s="1">
        <v>46006</v>
      </c>
      <c r="E976" s="1">
        <v>46009</v>
      </c>
      <c r="F976" t="s">
        <v>1150</v>
      </c>
      <c r="G976" t="s">
        <v>1451</v>
      </c>
      <c r="H976" t="s">
        <v>1480</v>
      </c>
      <c r="I976">
        <v>2</v>
      </c>
      <c r="J976" s="2">
        <v>43188.76</v>
      </c>
      <c r="K976" s="3">
        <v>0</v>
      </c>
      <c r="L976" s="2">
        <v>86377.52</v>
      </c>
      <c r="M976" s="2">
        <v>20364.3</v>
      </c>
      <c r="N976" t="s">
        <v>1496</v>
      </c>
      <c r="O976" t="s">
        <v>1498</v>
      </c>
      <c r="P976" t="s">
        <v>1501</v>
      </c>
    </row>
    <row r="977" spans="1:16" x14ac:dyDescent="0.3">
      <c r="A977">
        <v>976</v>
      </c>
      <c r="B977" t="s">
        <v>941</v>
      </c>
      <c r="C977">
        <v>1</v>
      </c>
      <c r="D977" s="1">
        <v>46009</v>
      </c>
      <c r="E977" s="1">
        <v>46010</v>
      </c>
      <c r="F977" t="s">
        <v>1217</v>
      </c>
      <c r="G977" t="s">
        <v>1344</v>
      </c>
      <c r="H977" t="s">
        <v>1480</v>
      </c>
      <c r="I977">
        <v>3</v>
      </c>
      <c r="J977" s="2">
        <v>555.59</v>
      </c>
      <c r="K977" s="3">
        <v>0.1</v>
      </c>
      <c r="L977" s="2">
        <v>1500.09</v>
      </c>
      <c r="M977" s="2">
        <v>362.79</v>
      </c>
      <c r="N977" t="s">
        <v>1494</v>
      </c>
      <c r="O977" t="s">
        <v>1498</v>
      </c>
      <c r="P977" t="s">
        <v>1501</v>
      </c>
    </row>
    <row r="978" spans="1:16" x14ac:dyDescent="0.3">
      <c r="A978">
        <v>977</v>
      </c>
      <c r="B978" t="s">
        <v>942</v>
      </c>
      <c r="C978">
        <v>1</v>
      </c>
      <c r="D978" s="1">
        <v>46009</v>
      </c>
      <c r="E978" s="1">
        <v>46009</v>
      </c>
      <c r="F978" t="s">
        <v>1324</v>
      </c>
      <c r="G978" t="s">
        <v>1345</v>
      </c>
      <c r="H978" t="s">
        <v>1489</v>
      </c>
      <c r="I978">
        <v>1</v>
      </c>
      <c r="J978" s="2">
        <v>8112.78</v>
      </c>
      <c r="K978" s="3">
        <v>0</v>
      </c>
      <c r="L978" s="2">
        <v>8112.78</v>
      </c>
      <c r="M978" s="2">
        <v>1235.06</v>
      </c>
      <c r="N978" t="s">
        <v>1494</v>
      </c>
      <c r="O978" t="s">
        <v>1498</v>
      </c>
      <c r="P978" t="s">
        <v>1502</v>
      </c>
    </row>
    <row r="979" spans="1:16" x14ac:dyDescent="0.3">
      <c r="A979">
        <v>978</v>
      </c>
      <c r="B979" t="s">
        <v>943</v>
      </c>
      <c r="C979">
        <v>1</v>
      </c>
      <c r="D979" s="1">
        <v>46009</v>
      </c>
      <c r="E979" s="1">
        <v>46010</v>
      </c>
      <c r="F979" t="s">
        <v>1325</v>
      </c>
      <c r="G979" t="s">
        <v>1413</v>
      </c>
      <c r="H979" t="s">
        <v>1489</v>
      </c>
      <c r="I979">
        <v>1</v>
      </c>
      <c r="J979" s="2">
        <v>771.89</v>
      </c>
      <c r="K979" s="3">
        <v>0</v>
      </c>
      <c r="L979" s="2">
        <v>771.89</v>
      </c>
      <c r="M979" s="2">
        <v>220.44</v>
      </c>
      <c r="N979" t="s">
        <v>1497</v>
      </c>
      <c r="O979" t="s">
        <v>1499</v>
      </c>
      <c r="P979" t="s">
        <v>1501</v>
      </c>
    </row>
    <row r="980" spans="1:16" x14ac:dyDescent="0.3">
      <c r="A980">
        <v>979</v>
      </c>
      <c r="B980" t="s">
        <v>943</v>
      </c>
      <c r="C980">
        <v>1</v>
      </c>
      <c r="D980" s="1">
        <v>46009</v>
      </c>
      <c r="E980" s="1">
        <v>46010</v>
      </c>
      <c r="F980" t="s">
        <v>1325</v>
      </c>
      <c r="G980" t="s">
        <v>1413</v>
      </c>
      <c r="H980" t="s">
        <v>1489</v>
      </c>
      <c r="I980">
        <v>1</v>
      </c>
      <c r="J980" s="2">
        <v>771.89</v>
      </c>
      <c r="K980" s="3">
        <v>0</v>
      </c>
      <c r="L980" s="2">
        <v>771.89</v>
      </c>
      <c r="M980" s="2">
        <v>220.44</v>
      </c>
      <c r="N980" t="s">
        <v>1497</v>
      </c>
      <c r="O980" t="s">
        <v>1499</v>
      </c>
      <c r="P980" t="s">
        <v>1501</v>
      </c>
    </row>
    <row r="981" spans="1:16" x14ac:dyDescent="0.3">
      <c r="A981">
        <v>980</v>
      </c>
      <c r="B981" t="s">
        <v>944</v>
      </c>
      <c r="C981">
        <v>1</v>
      </c>
      <c r="D981" s="1">
        <v>46010</v>
      </c>
      <c r="E981" s="1">
        <v>46011</v>
      </c>
      <c r="F981" t="s">
        <v>1024</v>
      </c>
      <c r="G981" t="s">
        <v>1430</v>
      </c>
      <c r="H981" t="s">
        <v>1486</v>
      </c>
      <c r="I981">
        <v>2</v>
      </c>
      <c r="J981" s="2">
        <v>1148.97</v>
      </c>
      <c r="K981" s="3">
        <v>0</v>
      </c>
      <c r="L981" s="2">
        <v>2297.94</v>
      </c>
      <c r="M981" s="2">
        <v>177.06</v>
      </c>
      <c r="N981" t="s">
        <v>1494</v>
      </c>
      <c r="O981" t="s">
        <v>1499</v>
      </c>
      <c r="P981" t="s">
        <v>1501</v>
      </c>
    </row>
    <row r="982" spans="1:16" x14ac:dyDescent="0.3">
      <c r="A982">
        <v>981</v>
      </c>
      <c r="B982" t="s">
        <v>945</v>
      </c>
      <c r="C982">
        <v>1</v>
      </c>
      <c r="D982" s="1">
        <v>46010</v>
      </c>
      <c r="E982" s="1">
        <v>46012</v>
      </c>
      <c r="F982" t="s">
        <v>1239</v>
      </c>
      <c r="G982" t="s">
        <v>1429</v>
      </c>
      <c r="H982" t="s">
        <v>1480</v>
      </c>
      <c r="I982">
        <v>1</v>
      </c>
      <c r="J982" s="2">
        <v>63166.03</v>
      </c>
      <c r="K982" s="3">
        <v>0</v>
      </c>
      <c r="L982" s="2">
        <v>63166.03</v>
      </c>
      <c r="M982" s="2">
        <v>9252.8799999999992</v>
      </c>
      <c r="N982" t="s">
        <v>1495</v>
      </c>
      <c r="O982" t="s">
        <v>1498</v>
      </c>
      <c r="P982" t="s">
        <v>1501</v>
      </c>
    </row>
    <row r="983" spans="1:16" x14ac:dyDescent="0.3">
      <c r="A983">
        <v>982</v>
      </c>
      <c r="B983" t="s">
        <v>946</v>
      </c>
      <c r="C983">
        <v>1</v>
      </c>
      <c r="D983" s="1">
        <v>46011</v>
      </c>
      <c r="E983" s="1">
        <v>46011</v>
      </c>
      <c r="F983" t="s">
        <v>1326</v>
      </c>
      <c r="G983" t="s">
        <v>1362</v>
      </c>
      <c r="H983" t="s">
        <v>1489</v>
      </c>
      <c r="I983">
        <v>3</v>
      </c>
      <c r="J983" s="2">
        <v>375.5</v>
      </c>
      <c r="K983" s="3">
        <v>0.05</v>
      </c>
      <c r="L983" s="2">
        <v>1070.17</v>
      </c>
      <c r="M983" s="2">
        <v>382.12</v>
      </c>
      <c r="N983" t="s">
        <v>1496</v>
      </c>
      <c r="O983" t="s">
        <v>1499</v>
      </c>
      <c r="P983" t="s">
        <v>1501</v>
      </c>
    </row>
    <row r="984" spans="1:16" x14ac:dyDescent="0.3">
      <c r="A984">
        <v>983</v>
      </c>
      <c r="B984" t="s">
        <v>947</v>
      </c>
      <c r="C984">
        <v>2</v>
      </c>
      <c r="D984" s="1">
        <v>46011</v>
      </c>
      <c r="E984" s="1">
        <v>46012</v>
      </c>
      <c r="F984" t="s">
        <v>1093</v>
      </c>
      <c r="G984" t="s">
        <v>1437</v>
      </c>
      <c r="H984" t="s">
        <v>1490</v>
      </c>
      <c r="I984">
        <v>2</v>
      </c>
      <c r="J984" s="2">
        <v>53802.83</v>
      </c>
      <c r="K984" s="3">
        <v>0</v>
      </c>
      <c r="L984" s="2">
        <v>107605.66</v>
      </c>
      <c r="M984" s="2">
        <v>13677.72</v>
      </c>
      <c r="N984" t="s">
        <v>1495</v>
      </c>
      <c r="O984" t="s">
        <v>1498</v>
      </c>
      <c r="P984" t="s">
        <v>1501</v>
      </c>
    </row>
    <row r="985" spans="1:16" x14ac:dyDescent="0.3">
      <c r="A985">
        <v>984</v>
      </c>
      <c r="B985" t="s">
        <v>948</v>
      </c>
      <c r="C985">
        <v>2</v>
      </c>
      <c r="D985" s="1">
        <v>46011</v>
      </c>
      <c r="E985" s="1">
        <v>46011</v>
      </c>
      <c r="F985" t="s">
        <v>1005</v>
      </c>
      <c r="G985" t="s">
        <v>1430</v>
      </c>
      <c r="H985" t="s">
        <v>1482</v>
      </c>
      <c r="I985">
        <v>1</v>
      </c>
      <c r="J985" s="2">
        <v>1148.97</v>
      </c>
      <c r="K985" s="3">
        <v>0.15</v>
      </c>
      <c r="L985" s="2">
        <v>976.62</v>
      </c>
      <c r="M985" s="2">
        <v>-83.82</v>
      </c>
      <c r="N985" t="s">
        <v>1494</v>
      </c>
      <c r="O985" t="s">
        <v>1499</v>
      </c>
      <c r="P985" t="s">
        <v>1501</v>
      </c>
    </row>
    <row r="986" spans="1:16" x14ac:dyDescent="0.3">
      <c r="A986">
        <v>985</v>
      </c>
      <c r="B986" t="s">
        <v>949</v>
      </c>
      <c r="C986">
        <v>1</v>
      </c>
      <c r="D986" s="1">
        <v>46012</v>
      </c>
      <c r="E986" s="1">
        <v>46013</v>
      </c>
      <c r="F986" t="s">
        <v>1224</v>
      </c>
      <c r="G986" t="s">
        <v>1465</v>
      </c>
      <c r="H986" t="s">
        <v>1486</v>
      </c>
      <c r="I986">
        <v>1</v>
      </c>
      <c r="J986" s="2">
        <v>2687.95</v>
      </c>
      <c r="K986" s="3">
        <v>0</v>
      </c>
      <c r="L986" s="2">
        <v>2687.95</v>
      </c>
      <c r="M986" s="2">
        <v>1191.42</v>
      </c>
      <c r="N986" t="s">
        <v>1494</v>
      </c>
      <c r="O986" t="s">
        <v>1498</v>
      </c>
      <c r="P986" t="s">
        <v>1501</v>
      </c>
    </row>
    <row r="987" spans="1:16" x14ac:dyDescent="0.3">
      <c r="A987">
        <v>986</v>
      </c>
      <c r="B987" t="s">
        <v>950</v>
      </c>
      <c r="C987">
        <v>1</v>
      </c>
      <c r="D987" s="1">
        <v>46013</v>
      </c>
      <c r="E987" s="1">
        <v>46013</v>
      </c>
      <c r="F987" t="s">
        <v>1092</v>
      </c>
      <c r="G987" t="s">
        <v>1427</v>
      </c>
      <c r="H987" t="s">
        <v>1482</v>
      </c>
      <c r="I987">
        <v>1</v>
      </c>
      <c r="J987" s="2">
        <v>687.56</v>
      </c>
      <c r="K987" s="3">
        <v>0.2</v>
      </c>
      <c r="L987" s="2">
        <v>550.04999999999995</v>
      </c>
      <c r="M987" s="2">
        <v>97.62</v>
      </c>
      <c r="N987" t="s">
        <v>1493</v>
      </c>
      <c r="O987" t="s">
        <v>1498</v>
      </c>
      <c r="P987" t="s">
        <v>1501</v>
      </c>
    </row>
    <row r="988" spans="1:16" x14ac:dyDescent="0.3">
      <c r="A988">
        <v>987</v>
      </c>
      <c r="B988" t="s">
        <v>951</v>
      </c>
      <c r="C988">
        <v>1</v>
      </c>
      <c r="D988" s="1">
        <v>46014</v>
      </c>
      <c r="E988" s="1">
        <v>46017</v>
      </c>
      <c r="F988" t="s">
        <v>1163</v>
      </c>
      <c r="G988" t="s">
        <v>1385</v>
      </c>
      <c r="H988" t="s">
        <v>1480</v>
      </c>
      <c r="I988">
        <v>1</v>
      </c>
      <c r="J988" s="2">
        <v>46757.35</v>
      </c>
      <c r="K988" s="3">
        <v>0</v>
      </c>
      <c r="L988" s="2">
        <v>46757.35</v>
      </c>
      <c r="M988" s="2">
        <v>4567.13</v>
      </c>
      <c r="N988" t="s">
        <v>1494</v>
      </c>
      <c r="O988" t="s">
        <v>1498</v>
      </c>
      <c r="P988" t="s">
        <v>1501</v>
      </c>
    </row>
    <row r="989" spans="1:16" x14ac:dyDescent="0.3">
      <c r="A989">
        <v>988</v>
      </c>
      <c r="B989" t="s">
        <v>952</v>
      </c>
      <c r="C989">
        <v>1</v>
      </c>
      <c r="D989" s="1">
        <v>46014</v>
      </c>
      <c r="F989" t="s">
        <v>1175</v>
      </c>
      <c r="G989" t="s">
        <v>1401</v>
      </c>
      <c r="H989" t="s">
        <v>1480</v>
      </c>
      <c r="I989">
        <v>1</v>
      </c>
      <c r="J989" s="2">
        <v>50900.49</v>
      </c>
      <c r="K989" s="3">
        <v>0</v>
      </c>
      <c r="L989" s="2">
        <v>50900.49</v>
      </c>
      <c r="M989" s="2">
        <v>7930.74</v>
      </c>
      <c r="N989" t="s">
        <v>1497</v>
      </c>
      <c r="O989" t="s">
        <v>1500</v>
      </c>
      <c r="P989" t="s">
        <v>1503</v>
      </c>
    </row>
    <row r="990" spans="1:16" x14ac:dyDescent="0.3">
      <c r="A990">
        <v>989</v>
      </c>
      <c r="B990" t="s">
        <v>953</v>
      </c>
      <c r="C990">
        <v>1</v>
      </c>
      <c r="D990" s="1">
        <v>46014</v>
      </c>
      <c r="E990" s="1">
        <v>46015</v>
      </c>
      <c r="F990" t="s">
        <v>1077</v>
      </c>
      <c r="G990" t="s">
        <v>1383</v>
      </c>
      <c r="H990" t="s">
        <v>1491</v>
      </c>
      <c r="I990">
        <v>1</v>
      </c>
      <c r="J990" s="2">
        <v>17693.080000000002</v>
      </c>
      <c r="K990" s="3">
        <v>0</v>
      </c>
      <c r="L990" s="2">
        <v>17693.080000000002</v>
      </c>
      <c r="M990" s="2">
        <v>3546.04</v>
      </c>
      <c r="N990" t="s">
        <v>1496</v>
      </c>
      <c r="O990" t="s">
        <v>1499</v>
      </c>
      <c r="P990" t="s">
        <v>1501</v>
      </c>
    </row>
    <row r="991" spans="1:16" x14ac:dyDescent="0.3">
      <c r="A991">
        <v>990</v>
      </c>
      <c r="B991" t="s">
        <v>954</v>
      </c>
      <c r="C991">
        <v>1</v>
      </c>
      <c r="D991" s="1">
        <v>46014</v>
      </c>
      <c r="E991" s="1">
        <v>46015</v>
      </c>
      <c r="F991" t="s">
        <v>1187</v>
      </c>
      <c r="G991" t="s">
        <v>1376</v>
      </c>
      <c r="H991" t="s">
        <v>1480</v>
      </c>
      <c r="I991">
        <v>1</v>
      </c>
      <c r="J991" s="2">
        <v>5444.12</v>
      </c>
      <c r="K991" s="3">
        <v>0.1</v>
      </c>
      <c r="L991" s="2">
        <v>4899.71</v>
      </c>
      <c r="M991" s="2">
        <v>1883.2</v>
      </c>
      <c r="N991" t="s">
        <v>1496</v>
      </c>
      <c r="O991" t="s">
        <v>1498</v>
      </c>
      <c r="P991" t="s">
        <v>1501</v>
      </c>
    </row>
    <row r="992" spans="1:16" x14ac:dyDescent="0.3">
      <c r="A992">
        <v>991</v>
      </c>
      <c r="B992" t="s">
        <v>955</v>
      </c>
      <c r="C992">
        <v>2</v>
      </c>
      <c r="D992" s="1">
        <v>46018</v>
      </c>
      <c r="E992" s="1">
        <v>46019</v>
      </c>
      <c r="F992" t="s">
        <v>1273</v>
      </c>
      <c r="G992" t="s">
        <v>1444</v>
      </c>
      <c r="H992" t="s">
        <v>1480</v>
      </c>
      <c r="I992">
        <v>1</v>
      </c>
      <c r="J992" s="2">
        <v>1054.31</v>
      </c>
      <c r="K992" s="3">
        <v>0</v>
      </c>
      <c r="L992" s="2">
        <v>1054.31</v>
      </c>
      <c r="M992" s="2">
        <v>310.83999999999997</v>
      </c>
      <c r="N992" t="s">
        <v>1494</v>
      </c>
      <c r="O992" t="s">
        <v>1499</v>
      </c>
      <c r="P992" t="s">
        <v>1501</v>
      </c>
    </row>
    <row r="993" spans="1:16" x14ac:dyDescent="0.3">
      <c r="A993">
        <v>992</v>
      </c>
      <c r="B993" t="s">
        <v>956</v>
      </c>
      <c r="C993">
        <v>1</v>
      </c>
      <c r="D993" s="1">
        <v>46018</v>
      </c>
      <c r="E993" s="1">
        <v>46019</v>
      </c>
      <c r="F993" t="s">
        <v>1327</v>
      </c>
      <c r="G993" t="s">
        <v>1373</v>
      </c>
      <c r="H993" t="s">
        <v>1492</v>
      </c>
      <c r="I993">
        <v>1</v>
      </c>
      <c r="J993" s="2">
        <v>1404.85</v>
      </c>
      <c r="K993" s="3">
        <v>0.15</v>
      </c>
      <c r="L993" s="2">
        <v>1194.1199999999999</v>
      </c>
      <c r="M993" s="2">
        <v>-78.97</v>
      </c>
      <c r="N993" t="s">
        <v>1496</v>
      </c>
      <c r="O993" t="s">
        <v>1499</v>
      </c>
      <c r="P993" t="s">
        <v>1501</v>
      </c>
    </row>
    <row r="994" spans="1:16" x14ac:dyDescent="0.3">
      <c r="A994">
        <v>993</v>
      </c>
      <c r="B994" t="s">
        <v>957</v>
      </c>
      <c r="C994">
        <v>2</v>
      </c>
      <c r="D994" s="1">
        <v>46019</v>
      </c>
      <c r="E994" s="1">
        <v>46020</v>
      </c>
      <c r="F994" t="s">
        <v>1328</v>
      </c>
      <c r="G994" t="s">
        <v>1383</v>
      </c>
      <c r="H994" t="s">
        <v>1485</v>
      </c>
      <c r="I994">
        <v>4</v>
      </c>
      <c r="J994" s="2">
        <v>17693.080000000002</v>
      </c>
      <c r="K994" s="3">
        <v>0.1</v>
      </c>
      <c r="L994" s="2">
        <v>63695.09</v>
      </c>
      <c r="M994" s="2">
        <v>7106.93</v>
      </c>
      <c r="N994" t="s">
        <v>1496</v>
      </c>
      <c r="O994" t="s">
        <v>1500</v>
      </c>
      <c r="P994" t="s">
        <v>1501</v>
      </c>
    </row>
    <row r="995" spans="1:16" x14ac:dyDescent="0.3">
      <c r="A995">
        <v>994</v>
      </c>
      <c r="B995" t="s">
        <v>958</v>
      </c>
      <c r="C995">
        <v>1</v>
      </c>
      <c r="D995" s="1">
        <v>46019</v>
      </c>
      <c r="E995" s="1">
        <v>46020</v>
      </c>
      <c r="F995" t="s">
        <v>1223</v>
      </c>
      <c r="G995" t="s">
        <v>1348</v>
      </c>
      <c r="H995" t="s">
        <v>1488</v>
      </c>
      <c r="I995">
        <v>1</v>
      </c>
      <c r="J995" s="2">
        <v>921.12</v>
      </c>
      <c r="K995" s="3">
        <v>0</v>
      </c>
      <c r="L995" s="2">
        <v>921.12</v>
      </c>
      <c r="M995" s="2">
        <v>383.08</v>
      </c>
      <c r="N995" t="s">
        <v>1496</v>
      </c>
      <c r="O995" t="s">
        <v>1498</v>
      </c>
      <c r="P995" t="s">
        <v>1501</v>
      </c>
    </row>
    <row r="996" spans="1:16" x14ac:dyDescent="0.3">
      <c r="A996">
        <v>995</v>
      </c>
      <c r="B996" t="s">
        <v>959</v>
      </c>
      <c r="C996">
        <v>1</v>
      </c>
      <c r="D996" s="1">
        <v>46020</v>
      </c>
      <c r="E996" s="1">
        <v>46021</v>
      </c>
      <c r="F996" t="s">
        <v>1005</v>
      </c>
      <c r="G996" t="s">
        <v>1372</v>
      </c>
      <c r="H996" t="s">
        <v>1478</v>
      </c>
      <c r="I996">
        <v>2</v>
      </c>
      <c r="J996" s="2">
        <v>22695.17</v>
      </c>
      <c r="K996" s="3">
        <v>0.15</v>
      </c>
      <c r="L996" s="2">
        <v>38581.79</v>
      </c>
      <c r="M996" s="2">
        <v>263.47000000000003</v>
      </c>
      <c r="N996" t="s">
        <v>1496</v>
      </c>
      <c r="O996" t="s">
        <v>1498</v>
      </c>
      <c r="P996" t="s">
        <v>1501</v>
      </c>
    </row>
    <row r="997" spans="1:16" x14ac:dyDescent="0.3">
      <c r="A997">
        <v>996</v>
      </c>
      <c r="B997" t="s">
        <v>960</v>
      </c>
      <c r="C997">
        <v>2</v>
      </c>
      <c r="D997" s="1">
        <v>46021</v>
      </c>
      <c r="E997" s="1">
        <v>46024</v>
      </c>
      <c r="F997" t="s">
        <v>1071</v>
      </c>
      <c r="G997" t="s">
        <v>1390</v>
      </c>
      <c r="H997" t="s">
        <v>1480</v>
      </c>
      <c r="I997">
        <v>1</v>
      </c>
      <c r="J997" s="2">
        <v>38147.39</v>
      </c>
      <c r="K997" s="3">
        <v>0.05</v>
      </c>
      <c r="L997" s="2">
        <v>36240.019999999997</v>
      </c>
      <c r="M997" s="2">
        <v>8942.67</v>
      </c>
      <c r="N997" t="s">
        <v>1495</v>
      </c>
      <c r="O997" t="s">
        <v>1498</v>
      </c>
      <c r="P997" t="s">
        <v>1501</v>
      </c>
    </row>
    <row r="998" spans="1:16" x14ac:dyDescent="0.3">
      <c r="A998">
        <v>997</v>
      </c>
      <c r="B998" t="s">
        <v>961</v>
      </c>
      <c r="C998">
        <v>1</v>
      </c>
      <c r="D998" s="1">
        <v>46021</v>
      </c>
      <c r="E998" s="1">
        <v>46022</v>
      </c>
      <c r="F998" t="s">
        <v>1083</v>
      </c>
      <c r="G998" t="s">
        <v>1430</v>
      </c>
      <c r="H998" t="s">
        <v>1492</v>
      </c>
      <c r="I998">
        <v>1</v>
      </c>
      <c r="J998" s="2">
        <v>1148.97</v>
      </c>
      <c r="K998" s="3">
        <v>0.1</v>
      </c>
      <c r="L998" s="2">
        <v>1034.07</v>
      </c>
      <c r="M998" s="2">
        <v>-26.37</v>
      </c>
      <c r="N998" t="s">
        <v>1493</v>
      </c>
      <c r="O998" t="s">
        <v>1498</v>
      </c>
      <c r="P998" t="s">
        <v>1501</v>
      </c>
    </row>
    <row r="999" spans="1:16" x14ac:dyDescent="0.3">
      <c r="A999">
        <v>998</v>
      </c>
      <c r="B999" t="s">
        <v>962</v>
      </c>
      <c r="C999">
        <v>1</v>
      </c>
      <c r="D999" s="1">
        <v>46021</v>
      </c>
      <c r="E999" s="1">
        <v>46022</v>
      </c>
      <c r="F999" t="s">
        <v>1087</v>
      </c>
      <c r="G999" t="s">
        <v>1350</v>
      </c>
      <c r="H999" t="s">
        <v>1478</v>
      </c>
      <c r="I999">
        <v>1</v>
      </c>
      <c r="J999" s="2">
        <v>53290.400000000001</v>
      </c>
      <c r="K999" s="3">
        <v>0</v>
      </c>
      <c r="L999" s="2">
        <v>53290.400000000001</v>
      </c>
      <c r="M999" s="2">
        <v>7231.68</v>
      </c>
      <c r="N999" t="s">
        <v>1496</v>
      </c>
      <c r="O999" t="s">
        <v>1498</v>
      </c>
      <c r="P999" t="s">
        <v>1501</v>
      </c>
    </row>
    <row r="1000" spans="1:16" x14ac:dyDescent="0.3">
      <c r="A1000">
        <v>999</v>
      </c>
      <c r="B1000" t="s">
        <v>963</v>
      </c>
      <c r="C1000">
        <v>2</v>
      </c>
      <c r="D1000" s="1">
        <v>46022</v>
      </c>
      <c r="E1000" s="1">
        <v>46022</v>
      </c>
      <c r="F1000" t="s">
        <v>1008</v>
      </c>
      <c r="G1000" t="s">
        <v>1350</v>
      </c>
      <c r="H1000" t="s">
        <v>1489</v>
      </c>
      <c r="I1000">
        <v>1</v>
      </c>
      <c r="J1000" s="2">
        <v>53290.400000000001</v>
      </c>
      <c r="K1000" s="3">
        <v>0</v>
      </c>
      <c r="L1000" s="2">
        <v>53290.400000000001</v>
      </c>
      <c r="M1000" s="2">
        <v>7231.68</v>
      </c>
      <c r="N1000" t="s">
        <v>1496</v>
      </c>
      <c r="O1000" t="s">
        <v>1498</v>
      </c>
      <c r="P1000" t="s">
        <v>1501</v>
      </c>
    </row>
    <row r="1001" spans="1:16" x14ac:dyDescent="0.3">
      <c r="A1001">
        <v>1000</v>
      </c>
      <c r="B1001" t="s">
        <v>964</v>
      </c>
      <c r="C1001">
        <v>1</v>
      </c>
      <c r="D1001" s="1">
        <v>46022</v>
      </c>
      <c r="E1001" s="1">
        <v>46022</v>
      </c>
      <c r="F1001" t="s">
        <v>1252</v>
      </c>
      <c r="G1001" t="s">
        <v>1426</v>
      </c>
      <c r="H1001" t="s">
        <v>1488</v>
      </c>
      <c r="I1001">
        <v>1</v>
      </c>
      <c r="J1001" s="2">
        <v>33135.4</v>
      </c>
      <c r="K1001" s="3">
        <v>0</v>
      </c>
      <c r="L1001" s="2">
        <v>33135.4</v>
      </c>
      <c r="M1001" s="2">
        <v>8643.2900000000009</v>
      </c>
      <c r="N1001" t="s">
        <v>1496</v>
      </c>
      <c r="O1001" t="s">
        <v>1498</v>
      </c>
      <c r="P1001" t="s">
        <v>1501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.6640625" customWidth="1"/>
    <col min="2" max="2" width="22.6640625" customWidth="1"/>
    <col min="3" max="10" width="14.6640625" customWidth="1"/>
  </cols>
  <sheetData>
    <row r="1" spans="1:10" x14ac:dyDescent="0.3">
      <c r="A1" t="s">
        <v>5</v>
      </c>
      <c r="B1" t="s">
        <v>1504</v>
      </c>
      <c r="C1" t="s">
        <v>1505</v>
      </c>
      <c r="D1" t="s">
        <v>1506</v>
      </c>
      <c r="E1" t="s">
        <v>1507</v>
      </c>
      <c r="F1" t="s">
        <v>1508</v>
      </c>
      <c r="G1" t="s">
        <v>1509</v>
      </c>
      <c r="H1" t="s">
        <v>1510</v>
      </c>
      <c r="I1" t="s">
        <v>1511</v>
      </c>
      <c r="J1" t="s">
        <v>1512</v>
      </c>
    </row>
    <row r="2" spans="1:10" x14ac:dyDescent="0.3">
      <c r="A2" t="s">
        <v>1037</v>
      </c>
      <c r="B2" t="s">
        <v>1649</v>
      </c>
      <c r="C2" t="s">
        <v>2048</v>
      </c>
      <c r="D2">
        <v>39</v>
      </c>
      <c r="E2" t="s">
        <v>2050</v>
      </c>
      <c r="F2" t="s">
        <v>2550</v>
      </c>
      <c r="G2" t="s">
        <v>2573</v>
      </c>
      <c r="H2" t="s">
        <v>2601</v>
      </c>
      <c r="I2" t="s">
        <v>2606</v>
      </c>
      <c r="J2" s="1">
        <v>45892</v>
      </c>
    </row>
    <row r="3" spans="1:10" x14ac:dyDescent="0.3">
      <c r="A3" t="s">
        <v>1191</v>
      </c>
      <c r="B3" t="s">
        <v>1650</v>
      </c>
      <c r="C3" t="s">
        <v>2049</v>
      </c>
      <c r="D3">
        <v>21</v>
      </c>
      <c r="E3" t="s">
        <v>2051</v>
      </c>
      <c r="F3" t="s">
        <v>2551</v>
      </c>
      <c r="G3" t="s">
        <v>2574</v>
      </c>
      <c r="H3" t="s">
        <v>2602</v>
      </c>
      <c r="I3" t="s">
        <v>2607</v>
      </c>
      <c r="J3" s="1">
        <v>44733</v>
      </c>
    </row>
    <row r="4" spans="1:10" x14ac:dyDescent="0.3">
      <c r="A4" t="s">
        <v>1013</v>
      </c>
      <c r="B4" t="s">
        <v>1651</v>
      </c>
      <c r="C4" t="s">
        <v>2048</v>
      </c>
      <c r="D4">
        <v>25</v>
      </c>
      <c r="E4" t="s">
        <v>2052</v>
      </c>
      <c r="F4" t="s">
        <v>2552</v>
      </c>
      <c r="G4" t="s">
        <v>2575</v>
      </c>
      <c r="H4" t="s">
        <v>2603</v>
      </c>
      <c r="I4" t="s">
        <v>2606</v>
      </c>
      <c r="J4" s="1">
        <v>45773</v>
      </c>
    </row>
    <row r="5" spans="1:10" x14ac:dyDescent="0.3">
      <c r="A5" t="s">
        <v>1183</v>
      </c>
      <c r="B5" t="s">
        <v>1652</v>
      </c>
      <c r="C5" t="s">
        <v>2049</v>
      </c>
      <c r="D5">
        <v>41</v>
      </c>
      <c r="E5" t="s">
        <v>2053</v>
      </c>
      <c r="F5" t="s">
        <v>2553</v>
      </c>
      <c r="G5" t="s">
        <v>2576</v>
      </c>
      <c r="H5" t="s">
        <v>2602</v>
      </c>
      <c r="I5" t="s">
        <v>2606</v>
      </c>
      <c r="J5" s="1">
        <v>44574</v>
      </c>
    </row>
    <row r="6" spans="1:10" x14ac:dyDescent="0.3">
      <c r="A6" t="s">
        <v>1176</v>
      </c>
      <c r="B6" t="s">
        <v>1653</v>
      </c>
      <c r="C6" t="s">
        <v>2049</v>
      </c>
      <c r="D6">
        <v>39</v>
      </c>
      <c r="E6" t="s">
        <v>2054</v>
      </c>
      <c r="F6" t="s">
        <v>2554</v>
      </c>
      <c r="G6" t="s">
        <v>2577</v>
      </c>
      <c r="H6" t="s">
        <v>2601</v>
      </c>
      <c r="I6" t="s">
        <v>2608</v>
      </c>
      <c r="J6" s="1">
        <v>45430</v>
      </c>
    </row>
    <row r="7" spans="1:10" x14ac:dyDescent="0.3">
      <c r="A7" t="s">
        <v>1002</v>
      </c>
      <c r="B7" t="s">
        <v>1654</v>
      </c>
      <c r="C7" t="s">
        <v>2049</v>
      </c>
      <c r="D7">
        <v>33</v>
      </c>
      <c r="E7" t="s">
        <v>2055</v>
      </c>
      <c r="F7" t="s">
        <v>2550</v>
      </c>
      <c r="G7" t="s">
        <v>2573</v>
      </c>
      <c r="H7" t="s">
        <v>2601</v>
      </c>
      <c r="I7" t="s">
        <v>2607</v>
      </c>
      <c r="J7" s="1">
        <v>44765</v>
      </c>
    </row>
    <row r="8" spans="1:10" x14ac:dyDescent="0.3">
      <c r="A8" t="s">
        <v>1027</v>
      </c>
      <c r="B8" t="s">
        <v>1655</v>
      </c>
      <c r="C8" t="s">
        <v>2049</v>
      </c>
      <c r="D8">
        <v>31</v>
      </c>
      <c r="E8" t="s">
        <v>2056</v>
      </c>
      <c r="F8" t="s">
        <v>2555</v>
      </c>
      <c r="G8" t="s">
        <v>2578</v>
      </c>
      <c r="H8" t="s">
        <v>2603</v>
      </c>
      <c r="I8" t="s">
        <v>2608</v>
      </c>
      <c r="J8" s="1">
        <v>45818</v>
      </c>
    </row>
    <row r="9" spans="1:10" x14ac:dyDescent="0.3">
      <c r="A9" t="s">
        <v>1232</v>
      </c>
      <c r="B9" t="s">
        <v>1656</v>
      </c>
      <c r="C9" t="s">
        <v>2049</v>
      </c>
      <c r="E9" t="s">
        <v>2057</v>
      </c>
      <c r="F9" t="s">
        <v>2550</v>
      </c>
      <c r="G9" t="s">
        <v>2573</v>
      </c>
      <c r="H9" t="s">
        <v>2601</v>
      </c>
      <c r="I9" t="s">
        <v>2607</v>
      </c>
      <c r="J9" s="1">
        <v>44968</v>
      </c>
    </row>
    <row r="10" spans="1:10" x14ac:dyDescent="0.3">
      <c r="A10" t="s">
        <v>1144</v>
      </c>
      <c r="B10" t="s">
        <v>1657</v>
      </c>
      <c r="C10" t="s">
        <v>2048</v>
      </c>
      <c r="D10">
        <v>22</v>
      </c>
      <c r="E10" t="s">
        <v>2058</v>
      </c>
      <c r="F10" t="s">
        <v>2556</v>
      </c>
      <c r="G10" t="s">
        <v>2574</v>
      </c>
      <c r="H10" t="s">
        <v>2602</v>
      </c>
      <c r="I10" t="s">
        <v>2608</v>
      </c>
      <c r="J10" s="1">
        <v>45286</v>
      </c>
    </row>
    <row r="11" spans="1:10" x14ac:dyDescent="0.3">
      <c r="A11" t="s">
        <v>1022</v>
      </c>
      <c r="B11" t="s">
        <v>1658</v>
      </c>
      <c r="C11" t="s">
        <v>2049</v>
      </c>
      <c r="D11">
        <v>50</v>
      </c>
      <c r="E11" t="s">
        <v>2059</v>
      </c>
      <c r="F11" t="s">
        <v>2557</v>
      </c>
      <c r="G11" t="s">
        <v>2576</v>
      </c>
      <c r="H11" t="s">
        <v>2602</v>
      </c>
      <c r="I11" t="s">
        <v>2606</v>
      </c>
      <c r="J11" s="1">
        <v>45936</v>
      </c>
    </row>
    <row r="12" spans="1:10" x14ac:dyDescent="0.3">
      <c r="A12" t="s">
        <v>1513</v>
      </c>
      <c r="B12" t="s">
        <v>1659</v>
      </c>
      <c r="C12" t="s">
        <v>2049</v>
      </c>
      <c r="D12">
        <v>39</v>
      </c>
      <c r="E12" t="s">
        <v>2060</v>
      </c>
      <c r="F12" t="s">
        <v>2558</v>
      </c>
      <c r="G12" t="s">
        <v>2558</v>
      </c>
      <c r="H12" t="s">
        <v>2603</v>
      </c>
      <c r="I12" t="s">
        <v>2608</v>
      </c>
      <c r="J12" s="1">
        <v>45026</v>
      </c>
    </row>
    <row r="13" spans="1:10" x14ac:dyDescent="0.3">
      <c r="A13" t="s">
        <v>1267</v>
      </c>
      <c r="B13" t="s">
        <v>1660</v>
      </c>
      <c r="C13" t="s">
        <v>2048</v>
      </c>
      <c r="D13">
        <v>36</v>
      </c>
      <c r="E13" t="s">
        <v>2061</v>
      </c>
      <c r="F13" t="s">
        <v>2559</v>
      </c>
      <c r="G13" t="s">
        <v>2559</v>
      </c>
      <c r="H13" t="s">
        <v>2603</v>
      </c>
      <c r="I13" t="s">
        <v>2607</v>
      </c>
      <c r="J13" s="1">
        <v>45089</v>
      </c>
    </row>
    <row r="14" spans="1:10" x14ac:dyDescent="0.3">
      <c r="A14" t="s">
        <v>1125</v>
      </c>
      <c r="B14" t="s">
        <v>1661</v>
      </c>
      <c r="C14" t="s">
        <v>2049</v>
      </c>
      <c r="D14">
        <v>21</v>
      </c>
      <c r="E14" t="s">
        <v>2062</v>
      </c>
      <c r="F14" t="s">
        <v>2560</v>
      </c>
      <c r="G14" t="s">
        <v>2579</v>
      </c>
      <c r="H14" t="s">
        <v>2604</v>
      </c>
      <c r="I14" t="s">
        <v>2606</v>
      </c>
      <c r="J14" s="1">
        <v>44573</v>
      </c>
    </row>
    <row r="15" spans="1:10" x14ac:dyDescent="0.3">
      <c r="A15" t="s">
        <v>1514</v>
      </c>
      <c r="B15" t="s">
        <v>1662</v>
      </c>
      <c r="C15" t="s">
        <v>2048</v>
      </c>
      <c r="D15">
        <v>29</v>
      </c>
      <c r="E15" t="s">
        <v>2063</v>
      </c>
      <c r="F15" t="s">
        <v>2561</v>
      </c>
      <c r="G15" t="s">
        <v>2580</v>
      </c>
      <c r="H15" t="s">
        <v>2601</v>
      </c>
      <c r="I15" t="s">
        <v>2606</v>
      </c>
      <c r="J15" s="1">
        <v>45647</v>
      </c>
    </row>
    <row r="16" spans="1:10" x14ac:dyDescent="0.3">
      <c r="A16" t="s">
        <v>1071</v>
      </c>
      <c r="B16" t="s">
        <v>1663</v>
      </c>
      <c r="C16" t="s">
        <v>2049</v>
      </c>
      <c r="D16">
        <v>18</v>
      </c>
      <c r="E16" t="s">
        <v>2064</v>
      </c>
      <c r="F16" t="s">
        <v>2562</v>
      </c>
      <c r="G16" t="s">
        <v>2574</v>
      </c>
      <c r="H16" t="s">
        <v>2602</v>
      </c>
      <c r="I16" t="s">
        <v>2606</v>
      </c>
      <c r="J16" s="1">
        <v>44925</v>
      </c>
    </row>
    <row r="17" spans="1:10" x14ac:dyDescent="0.3">
      <c r="A17" t="s">
        <v>1010</v>
      </c>
      <c r="B17" t="s">
        <v>1664</v>
      </c>
      <c r="C17" t="s">
        <v>2048</v>
      </c>
      <c r="D17">
        <v>29</v>
      </c>
      <c r="E17" t="s">
        <v>2065</v>
      </c>
      <c r="F17" t="s">
        <v>2560</v>
      </c>
      <c r="G17" t="s">
        <v>2579</v>
      </c>
      <c r="H17" t="s">
        <v>2604</v>
      </c>
      <c r="I17" t="s">
        <v>2606</v>
      </c>
      <c r="J17" s="1">
        <v>45676</v>
      </c>
    </row>
    <row r="18" spans="1:10" x14ac:dyDescent="0.3">
      <c r="A18" t="s">
        <v>1087</v>
      </c>
      <c r="B18" t="s">
        <v>1665</v>
      </c>
      <c r="C18" t="s">
        <v>2048</v>
      </c>
      <c r="D18">
        <v>31</v>
      </c>
      <c r="E18" t="s">
        <v>2066</v>
      </c>
      <c r="F18" t="s">
        <v>2563</v>
      </c>
      <c r="G18" t="s">
        <v>2581</v>
      </c>
      <c r="H18" t="s">
        <v>2604</v>
      </c>
      <c r="I18" t="s">
        <v>2606</v>
      </c>
      <c r="J18" s="1">
        <v>45203</v>
      </c>
    </row>
    <row r="19" spans="1:10" x14ac:dyDescent="0.3">
      <c r="A19" t="s">
        <v>1515</v>
      </c>
      <c r="B19" t="s">
        <v>1666</v>
      </c>
      <c r="C19" t="s">
        <v>2049</v>
      </c>
      <c r="E19" t="s">
        <v>2067</v>
      </c>
      <c r="F19" t="s">
        <v>2555</v>
      </c>
      <c r="G19" t="s">
        <v>2578</v>
      </c>
      <c r="H19" t="s">
        <v>2603</v>
      </c>
      <c r="I19" t="s">
        <v>2606</v>
      </c>
      <c r="J19" s="1">
        <v>45325</v>
      </c>
    </row>
    <row r="20" spans="1:10" x14ac:dyDescent="0.3">
      <c r="A20" t="s">
        <v>1516</v>
      </c>
      <c r="B20" t="s">
        <v>1667</v>
      </c>
      <c r="C20" t="s">
        <v>2048</v>
      </c>
      <c r="D20">
        <v>35</v>
      </c>
      <c r="E20" t="s">
        <v>2068</v>
      </c>
      <c r="F20" t="s">
        <v>2564</v>
      </c>
      <c r="G20" t="s">
        <v>2582</v>
      </c>
      <c r="H20" t="s">
        <v>2601</v>
      </c>
      <c r="I20" t="s">
        <v>2607</v>
      </c>
      <c r="J20" s="1">
        <v>45611</v>
      </c>
    </row>
    <row r="21" spans="1:10" x14ac:dyDescent="0.3">
      <c r="A21" t="s">
        <v>1517</v>
      </c>
      <c r="B21" t="s">
        <v>1668</v>
      </c>
      <c r="C21" t="s">
        <v>2048</v>
      </c>
      <c r="D21">
        <v>50</v>
      </c>
      <c r="E21" t="s">
        <v>2069</v>
      </c>
      <c r="F21" t="s">
        <v>2564</v>
      </c>
      <c r="G21" t="s">
        <v>2582</v>
      </c>
      <c r="H21" t="s">
        <v>2601</v>
      </c>
      <c r="I21" t="s">
        <v>2606</v>
      </c>
      <c r="J21" s="1">
        <v>45053</v>
      </c>
    </row>
    <row r="22" spans="1:10" x14ac:dyDescent="0.3">
      <c r="A22" t="s">
        <v>1016</v>
      </c>
      <c r="B22" t="s">
        <v>1669</v>
      </c>
      <c r="C22" t="s">
        <v>2049</v>
      </c>
      <c r="D22">
        <v>37</v>
      </c>
      <c r="E22" t="s">
        <v>2070</v>
      </c>
      <c r="F22" t="s">
        <v>2559</v>
      </c>
      <c r="G22" t="s">
        <v>2559</v>
      </c>
      <c r="H22" t="s">
        <v>2603</v>
      </c>
      <c r="I22" t="s">
        <v>2606</v>
      </c>
      <c r="J22" s="1">
        <v>45063</v>
      </c>
    </row>
    <row r="23" spans="1:10" x14ac:dyDescent="0.3">
      <c r="A23" t="s">
        <v>1301</v>
      </c>
      <c r="B23" t="s">
        <v>1670</v>
      </c>
      <c r="C23" t="s">
        <v>2048</v>
      </c>
      <c r="D23">
        <v>33</v>
      </c>
      <c r="E23" t="s">
        <v>2071</v>
      </c>
      <c r="F23" t="s">
        <v>2565</v>
      </c>
      <c r="G23" t="s">
        <v>2583</v>
      </c>
      <c r="H23" t="s">
        <v>2604</v>
      </c>
      <c r="I23" t="s">
        <v>2607</v>
      </c>
      <c r="J23" s="1">
        <v>45830</v>
      </c>
    </row>
    <row r="24" spans="1:10" x14ac:dyDescent="0.3">
      <c r="A24" t="s">
        <v>1518</v>
      </c>
      <c r="B24" t="s">
        <v>1671</v>
      </c>
      <c r="C24" t="s">
        <v>2049</v>
      </c>
      <c r="D24">
        <v>32</v>
      </c>
      <c r="E24" t="s">
        <v>2072</v>
      </c>
      <c r="F24" t="s">
        <v>2562</v>
      </c>
      <c r="G24" t="s">
        <v>2574</v>
      </c>
      <c r="H24" t="s">
        <v>2602</v>
      </c>
      <c r="I24" t="s">
        <v>2608</v>
      </c>
      <c r="J24" s="1">
        <v>44920</v>
      </c>
    </row>
    <row r="25" spans="1:10" x14ac:dyDescent="0.3">
      <c r="A25" t="s">
        <v>1186</v>
      </c>
      <c r="B25" t="s">
        <v>1672</v>
      </c>
      <c r="C25" t="s">
        <v>2049</v>
      </c>
      <c r="D25">
        <v>28</v>
      </c>
      <c r="E25" t="s">
        <v>2073</v>
      </c>
      <c r="F25" t="s">
        <v>2561</v>
      </c>
      <c r="G25" t="s">
        <v>2580</v>
      </c>
      <c r="H25" t="s">
        <v>2601</v>
      </c>
      <c r="I25" t="s">
        <v>2606</v>
      </c>
      <c r="J25" s="1">
        <v>44927</v>
      </c>
    </row>
    <row r="26" spans="1:10" x14ac:dyDescent="0.3">
      <c r="A26" t="s">
        <v>1519</v>
      </c>
      <c r="B26" t="s">
        <v>1673</v>
      </c>
      <c r="C26" t="s">
        <v>2049</v>
      </c>
      <c r="D26">
        <v>48</v>
      </c>
      <c r="E26" t="s">
        <v>2074</v>
      </c>
      <c r="F26" t="s">
        <v>2562</v>
      </c>
      <c r="G26" t="s">
        <v>2574</v>
      </c>
      <c r="H26" t="s">
        <v>2602</v>
      </c>
      <c r="I26" t="s">
        <v>2606</v>
      </c>
      <c r="J26" s="1">
        <v>44806</v>
      </c>
    </row>
    <row r="27" spans="1:10" x14ac:dyDescent="0.3">
      <c r="A27" t="s">
        <v>979</v>
      </c>
      <c r="B27" t="s">
        <v>1674</v>
      </c>
      <c r="C27" t="s">
        <v>2049</v>
      </c>
      <c r="D27">
        <v>37</v>
      </c>
      <c r="E27" t="s">
        <v>2075</v>
      </c>
      <c r="F27" t="s">
        <v>2553</v>
      </c>
      <c r="G27" t="s">
        <v>2576</v>
      </c>
      <c r="H27" t="s">
        <v>2602</v>
      </c>
      <c r="I27" t="s">
        <v>2607</v>
      </c>
      <c r="J27" s="1">
        <v>45017</v>
      </c>
    </row>
    <row r="28" spans="1:10" x14ac:dyDescent="0.3">
      <c r="A28" t="s">
        <v>1520</v>
      </c>
      <c r="B28" t="s">
        <v>1675</v>
      </c>
      <c r="C28" t="s">
        <v>2049</v>
      </c>
      <c r="D28">
        <v>18</v>
      </c>
      <c r="E28" t="s">
        <v>2076</v>
      </c>
      <c r="F28" t="s">
        <v>2559</v>
      </c>
      <c r="G28" t="s">
        <v>2559</v>
      </c>
      <c r="H28" t="s">
        <v>2603</v>
      </c>
      <c r="I28" t="s">
        <v>2606</v>
      </c>
      <c r="J28" s="1">
        <v>44761</v>
      </c>
    </row>
    <row r="29" spans="1:10" x14ac:dyDescent="0.3">
      <c r="A29" t="s">
        <v>1521</v>
      </c>
      <c r="B29" t="s">
        <v>1676</v>
      </c>
      <c r="C29" t="s">
        <v>2049</v>
      </c>
      <c r="D29">
        <v>31</v>
      </c>
      <c r="E29" t="s">
        <v>2077</v>
      </c>
      <c r="F29" t="s">
        <v>2566</v>
      </c>
      <c r="G29" t="s">
        <v>2584</v>
      </c>
      <c r="H29" t="s">
        <v>2601</v>
      </c>
      <c r="I29" t="s">
        <v>2607</v>
      </c>
      <c r="J29" s="1">
        <v>45968</v>
      </c>
    </row>
    <row r="30" spans="1:10" x14ac:dyDescent="0.3">
      <c r="A30" t="s">
        <v>1305</v>
      </c>
      <c r="B30" t="s">
        <v>1677</v>
      </c>
      <c r="C30" t="s">
        <v>2049</v>
      </c>
      <c r="D30">
        <v>31</v>
      </c>
      <c r="E30" t="s">
        <v>2078</v>
      </c>
      <c r="F30" t="s">
        <v>2554</v>
      </c>
      <c r="G30" t="s">
        <v>2577</v>
      </c>
      <c r="H30" t="s">
        <v>2601</v>
      </c>
      <c r="I30" t="s">
        <v>2606</v>
      </c>
      <c r="J30" s="1">
        <v>45958</v>
      </c>
    </row>
    <row r="31" spans="1:10" x14ac:dyDescent="0.3">
      <c r="A31" t="s">
        <v>1522</v>
      </c>
      <c r="B31" t="s">
        <v>1678</v>
      </c>
      <c r="C31" t="s">
        <v>2048</v>
      </c>
      <c r="D31">
        <v>41</v>
      </c>
      <c r="E31" t="s">
        <v>2079</v>
      </c>
      <c r="F31" t="s">
        <v>2550</v>
      </c>
      <c r="G31" t="s">
        <v>2573</v>
      </c>
      <c r="H31" t="s">
        <v>2601</v>
      </c>
      <c r="I31" t="s">
        <v>2608</v>
      </c>
      <c r="J31" s="1">
        <v>44778</v>
      </c>
    </row>
    <row r="32" spans="1:10" x14ac:dyDescent="0.3">
      <c r="A32" t="s">
        <v>976</v>
      </c>
      <c r="B32" t="s">
        <v>1679</v>
      </c>
      <c r="C32" t="s">
        <v>2048</v>
      </c>
      <c r="D32">
        <v>21</v>
      </c>
      <c r="E32" t="s">
        <v>2080</v>
      </c>
      <c r="F32" t="s">
        <v>2567</v>
      </c>
      <c r="G32" t="s">
        <v>2585</v>
      </c>
      <c r="H32" t="s">
        <v>2604</v>
      </c>
      <c r="I32" t="s">
        <v>2606</v>
      </c>
      <c r="J32" s="1">
        <v>44720</v>
      </c>
    </row>
    <row r="33" spans="1:10" x14ac:dyDescent="0.3">
      <c r="A33" t="s">
        <v>1023</v>
      </c>
      <c r="B33" t="s">
        <v>1680</v>
      </c>
      <c r="C33" t="s">
        <v>2048</v>
      </c>
      <c r="D33">
        <v>48</v>
      </c>
      <c r="E33" t="s">
        <v>2081</v>
      </c>
      <c r="F33" t="s">
        <v>2552</v>
      </c>
      <c r="G33" t="s">
        <v>2575</v>
      </c>
      <c r="H33" t="s">
        <v>2603</v>
      </c>
      <c r="I33" t="s">
        <v>2608</v>
      </c>
      <c r="J33" s="1">
        <v>45795</v>
      </c>
    </row>
    <row r="34" spans="1:10" x14ac:dyDescent="0.3">
      <c r="A34" t="s">
        <v>1097</v>
      </c>
      <c r="B34" t="s">
        <v>1681</v>
      </c>
      <c r="C34" t="s">
        <v>2049</v>
      </c>
      <c r="D34">
        <v>22</v>
      </c>
      <c r="E34" t="s">
        <v>2082</v>
      </c>
      <c r="F34" t="s">
        <v>2558</v>
      </c>
      <c r="G34" t="s">
        <v>2558</v>
      </c>
      <c r="H34" t="s">
        <v>2603</v>
      </c>
      <c r="I34" t="s">
        <v>2608</v>
      </c>
      <c r="J34" s="1">
        <v>44914</v>
      </c>
    </row>
    <row r="35" spans="1:10" x14ac:dyDescent="0.3">
      <c r="A35" t="s">
        <v>1523</v>
      </c>
      <c r="B35" t="s">
        <v>1682</v>
      </c>
      <c r="C35" t="s">
        <v>2049</v>
      </c>
      <c r="D35">
        <v>34</v>
      </c>
      <c r="E35" t="s">
        <v>2083</v>
      </c>
      <c r="F35" t="s">
        <v>2568</v>
      </c>
      <c r="G35" t="s">
        <v>2586</v>
      </c>
      <c r="H35" t="s">
        <v>2603</v>
      </c>
      <c r="I35" t="s">
        <v>2606</v>
      </c>
      <c r="J35" s="1">
        <v>45796</v>
      </c>
    </row>
    <row r="36" spans="1:10" x14ac:dyDescent="0.3">
      <c r="A36" t="s">
        <v>1524</v>
      </c>
      <c r="B36" t="s">
        <v>1683</v>
      </c>
      <c r="C36" t="s">
        <v>2049</v>
      </c>
      <c r="D36">
        <v>36</v>
      </c>
      <c r="E36" t="s">
        <v>2084</v>
      </c>
      <c r="F36" t="s">
        <v>2561</v>
      </c>
      <c r="G36" t="s">
        <v>2580</v>
      </c>
      <c r="H36" t="s">
        <v>2601</v>
      </c>
      <c r="I36" t="s">
        <v>2606</v>
      </c>
      <c r="J36" s="1">
        <v>45017</v>
      </c>
    </row>
    <row r="37" spans="1:10" x14ac:dyDescent="0.3">
      <c r="A37" t="s">
        <v>1525</v>
      </c>
      <c r="B37" t="s">
        <v>1684</v>
      </c>
      <c r="C37" t="s">
        <v>2049</v>
      </c>
      <c r="D37">
        <v>44</v>
      </c>
      <c r="E37" t="s">
        <v>2085</v>
      </c>
      <c r="F37" t="s">
        <v>2552</v>
      </c>
      <c r="G37" t="s">
        <v>2575</v>
      </c>
      <c r="H37" t="s">
        <v>2603</v>
      </c>
      <c r="I37" t="s">
        <v>2608</v>
      </c>
      <c r="J37" s="1">
        <v>45571</v>
      </c>
    </row>
    <row r="38" spans="1:10" x14ac:dyDescent="0.3">
      <c r="A38" t="s">
        <v>965</v>
      </c>
      <c r="B38" t="s">
        <v>1685</v>
      </c>
      <c r="C38" t="s">
        <v>2049</v>
      </c>
      <c r="D38">
        <v>18</v>
      </c>
      <c r="E38" t="s">
        <v>2086</v>
      </c>
      <c r="F38" t="s">
        <v>2569</v>
      </c>
      <c r="G38" t="s">
        <v>2587</v>
      </c>
      <c r="H38" t="s">
        <v>2604</v>
      </c>
      <c r="I38" t="s">
        <v>2608</v>
      </c>
      <c r="J38" s="1">
        <v>44891</v>
      </c>
    </row>
    <row r="39" spans="1:10" x14ac:dyDescent="0.3">
      <c r="A39" t="s">
        <v>1323</v>
      </c>
      <c r="B39" t="s">
        <v>1686</v>
      </c>
      <c r="C39" t="s">
        <v>2048</v>
      </c>
      <c r="E39" t="s">
        <v>2087</v>
      </c>
      <c r="F39" t="s">
        <v>2565</v>
      </c>
      <c r="G39" t="s">
        <v>2583</v>
      </c>
      <c r="H39" t="s">
        <v>2604</v>
      </c>
      <c r="I39" t="s">
        <v>2608</v>
      </c>
      <c r="J39" s="1">
        <v>44963</v>
      </c>
    </row>
    <row r="40" spans="1:10" x14ac:dyDescent="0.3">
      <c r="A40" t="s">
        <v>1526</v>
      </c>
      <c r="B40" t="s">
        <v>1687</v>
      </c>
      <c r="C40" t="s">
        <v>2048</v>
      </c>
      <c r="D40">
        <v>23</v>
      </c>
      <c r="E40" t="s">
        <v>2088</v>
      </c>
      <c r="F40" t="s">
        <v>2570</v>
      </c>
      <c r="G40" t="s">
        <v>2588</v>
      </c>
      <c r="H40" t="s">
        <v>2605</v>
      </c>
      <c r="I40" t="s">
        <v>2608</v>
      </c>
      <c r="J40" s="1">
        <v>44917</v>
      </c>
    </row>
    <row r="41" spans="1:10" x14ac:dyDescent="0.3">
      <c r="A41" t="s">
        <v>1527</v>
      </c>
      <c r="B41" t="s">
        <v>1688</v>
      </c>
      <c r="C41" t="s">
        <v>2049</v>
      </c>
      <c r="E41" t="s">
        <v>2089</v>
      </c>
      <c r="F41" t="s">
        <v>2563</v>
      </c>
      <c r="G41" t="s">
        <v>2581</v>
      </c>
      <c r="H41" t="s">
        <v>2604</v>
      </c>
      <c r="I41" t="s">
        <v>2608</v>
      </c>
      <c r="J41" s="1">
        <v>45345</v>
      </c>
    </row>
    <row r="42" spans="1:10" x14ac:dyDescent="0.3">
      <c r="A42" t="s">
        <v>1127</v>
      </c>
      <c r="B42" t="s">
        <v>1689</v>
      </c>
      <c r="C42" t="s">
        <v>2049</v>
      </c>
      <c r="D42">
        <v>41</v>
      </c>
      <c r="E42" t="s">
        <v>2090</v>
      </c>
      <c r="F42" t="s">
        <v>2565</v>
      </c>
      <c r="G42" t="s">
        <v>2589</v>
      </c>
      <c r="H42" t="s">
        <v>2604</v>
      </c>
      <c r="I42" t="s">
        <v>2606</v>
      </c>
      <c r="J42" s="1">
        <v>45298</v>
      </c>
    </row>
    <row r="43" spans="1:10" x14ac:dyDescent="0.3">
      <c r="A43" t="s">
        <v>988</v>
      </c>
      <c r="B43" t="s">
        <v>1690</v>
      </c>
      <c r="C43" t="s">
        <v>2048</v>
      </c>
      <c r="D43">
        <v>18</v>
      </c>
      <c r="E43" t="s">
        <v>2091</v>
      </c>
      <c r="F43" t="s">
        <v>2559</v>
      </c>
      <c r="G43" t="s">
        <v>2559</v>
      </c>
      <c r="H43" t="s">
        <v>2603</v>
      </c>
      <c r="I43" t="s">
        <v>2608</v>
      </c>
      <c r="J43" s="1">
        <v>45793</v>
      </c>
    </row>
    <row r="44" spans="1:10" x14ac:dyDescent="0.3">
      <c r="A44" t="s">
        <v>1253</v>
      </c>
      <c r="B44" t="s">
        <v>1691</v>
      </c>
      <c r="C44" t="s">
        <v>2049</v>
      </c>
      <c r="D44">
        <v>21</v>
      </c>
      <c r="E44" t="s">
        <v>2092</v>
      </c>
      <c r="F44" t="s">
        <v>2563</v>
      </c>
      <c r="G44" t="s">
        <v>2581</v>
      </c>
      <c r="H44" t="s">
        <v>2604</v>
      </c>
      <c r="I44" t="s">
        <v>2606</v>
      </c>
      <c r="J44" s="1">
        <v>45565</v>
      </c>
    </row>
    <row r="45" spans="1:10" x14ac:dyDescent="0.3">
      <c r="A45" t="s">
        <v>1015</v>
      </c>
      <c r="B45" t="s">
        <v>1692</v>
      </c>
      <c r="C45" t="s">
        <v>2048</v>
      </c>
      <c r="D45">
        <v>36</v>
      </c>
      <c r="E45" t="s">
        <v>2093</v>
      </c>
      <c r="F45" t="s">
        <v>2565</v>
      </c>
      <c r="G45" t="s">
        <v>2583</v>
      </c>
      <c r="H45" t="s">
        <v>2604</v>
      </c>
      <c r="I45" t="s">
        <v>2607</v>
      </c>
      <c r="J45" s="1">
        <v>45742</v>
      </c>
    </row>
    <row r="46" spans="1:10" x14ac:dyDescent="0.3">
      <c r="A46" t="s">
        <v>1528</v>
      </c>
      <c r="B46" t="s">
        <v>1693</v>
      </c>
      <c r="C46" t="s">
        <v>2048</v>
      </c>
      <c r="D46">
        <v>36</v>
      </c>
      <c r="E46" t="s">
        <v>2094</v>
      </c>
      <c r="F46" t="s">
        <v>2555</v>
      </c>
      <c r="G46" t="s">
        <v>2578</v>
      </c>
      <c r="H46" t="s">
        <v>2603</v>
      </c>
      <c r="I46" t="s">
        <v>2608</v>
      </c>
      <c r="J46" s="1">
        <v>44899</v>
      </c>
    </row>
    <row r="47" spans="1:10" x14ac:dyDescent="0.3">
      <c r="A47" t="s">
        <v>994</v>
      </c>
      <c r="B47" t="s">
        <v>1694</v>
      </c>
      <c r="C47" t="s">
        <v>2048</v>
      </c>
      <c r="D47">
        <v>51</v>
      </c>
      <c r="E47" t="s">
        <v>2095</v>
      </c>
      <c r="F47" t="s">
        <v>2571</v>
      </c>
      <c r="G47" t="s">
        <v>2588</v>
      </c>
      <c r="H47" t="s">
        <v>2605</v>
      </c>
      <c r="I47" t="s">
        <v>2606</v>
      </c>
      <c r="J47" s="1">
        <v>45882</v>
      </c>
    </row>
    <row r="48" spans="1:10" x14ac:dyDescent="0.3">
      <c r="A48" t="s">
        <v>1061</v>
      </c>
      <c r="B48" t="s">
        <v>1695</v>
      </c>
      <c r="C48" t="s">
        <v>2049</v>
      </c>
      <c r="D48">
        <v>36</v>
      </c>
      <c r="E48" t="s">
        <v>2096</v>
      </c>
      <c r="F48" t="s">
        <v>2552</v>
      </c>
      <c r="G48" t="s">
        <v>2575</v>
      </c>
      <c r="H48" t="s">
        <v>2603</v>
      </c>
      <c r="I48" t="s">
        <v>2608</v>
      </c>
      <c r="J48" s="1">
        <v>45116</v>
      </c>
    </row>
    <row r="49" spans="1:10" x14ac:dyDescent="0.3">
      <c r="A49" t="s">
        <v>1005</v>
      </c>
      <c r="B49" t="s">
        <v>1696</v>
      </c>
      <c r="C49" t="s">
        <v>2049</v>
      </c>
      <c r="D49">
        <v>32</v>
      </c>
      <c r="E49" t="s">
        <v>2097</v>
      </c>
      <c r="F49" t="s">
        <v>2560</v>
      </c>
      <c r="G49" t="s">
        <v>2579</v>
      </c>
      <c r="H49" t="s">
        <v>2604</v>
      </c>
      <c r="I49" t="s">
        <v>2608</v>
      </c>
      <c r="J49" s="1">
        <v>44798</v>
      </c>
    </row>
    <row r="50" spans="1:10" x14ac:dyDescent="0.3">
      <c r="A50" t="s">
        <v>1529</v>
      </c>
      <c r="B50" t="s">
        <v>1697</v>
      </c>
      <c r="C50" t="s">
        <v>2049</v>
      </c>
      <c r="D50">
        <v>39</v>
      </c>
      <c r="E50" t="s">
        <v>2098</v>
      </c>
      <c r="F50" t="s">
        <v>2571</v>
      </c>
      <c r="G50" t="s">
        <v>2590</v>
      </c>
      <c r="H50" t="s">
        <v>2605</v>
      </c>
      <c r="I50" t="s">
        <v>2606</v>
      </c>
      <c r="J50" s="1">
        <v>45201</v>
      </c>
    </row>
    <row r="51" spans="1:10" x14ac:dyDescent="0.3">
      <c r="A51" t="s">
        <v>992</v>
      </c>
      <c r="B51" t="s">
        <v>1698</v>
      </c>
      <c r="C51" t="s">
        <v>2049</v>
      </c>
      <c r="D51">
        <v>32</v>
      </c>
      <c r="E51" t="s">
        <v>2099</v>
      </c>
      <c r="F51" t="s">
        <v>2556</v>
      </c>
      <c r="G51" t="s">
        <v>2574</v>
      </c>
      <c r="H51" t="s">
        <v>2602</v>
      </c>
      <c r="I51" t="s">
        <v>2606</v>
      </c>
      <c r="J51" s="1">
        <v>45957</v>
      </c>
    </row>
    <row r="52" spans="1:10" x14ac:dyDescent="0.3">
      <c r="A52" t="s">
        <v>1042</v>
      </c>
      <c r="B52" t="s">
        <v>1699</v>
      </c>
      <c r="C52" t="s">
        <v>2049</v>
      </c>
      <c r="D52">
        <v>44</v>
      </c>
      <c r="E52" t="s">
        <v>2100</v>
      </c>
      <c r="F52" t="s">
        <v>2560</v>
      </c>
      <c r="G52" t="s">
        <v>2591</v>
      </c>
      <c r="H52" t="s">
        <v>2604</v>
      </c>
      <c r="I52" t="s">
        <v>2606</v>
      </c>
      <c r="J52" s="1">
        <v>44785</v>
      </c>
    </row>
    <row r="53" spans="1:10" x14ac:dyDescent="0.3">
      <c r="A53" t="s">
        <v>1530</v>
      </c>
      <c r="B53" t="s">
        <v>1700</v>
      </c>
      <c r="C53" t="s">
        <v>2049</v>
      </c>
      <c r="D53">
        <v>23</v>
      </c>
      <c r="E53" t="s">
        <v>2101</v>
      </c>
      <c r="F53" t="s">
        <v>2555</v>
      </c>
      <c r="G53" t="s">
        <v>2578</v>
      </c>
      <c r="H53" t="s">
        <v>2603</v>
      </c>
      <c r="I53" t="s">
        <v>2606</v>
      </c>
      <c r="J53" s="1">
        <v>45447</v>
      </c>
    </row>
    <row r="54" spans="1:10" x14ac:dyDescent="0.3">
      <c r="A54" t="s">
        <v>1230</v>
      </c>
      <c r="B54" t="s">
        <v>1701</v>
      </c>
      <c r="C54" t="s">
        <v>2048</v>
      </c>
      <c r="D54">
        <v>46</v>
      </c>
      <c r="E54" t="s">
        <v>2102</v>
      </c>
      <c r="F54" t="s">
        <v>2555</v>
      </c>
      <c r="G54" t="s">
        <v>2578</v>
      </c>
      <c r="H54" t="s">
        <v>2603</v>
      </c>
      <c r="I54" t="s">
        <v>2608</v>
      </c>
      <c r="J54" s="1">
        <v>45636</v>
      </c>
    </row>
    <row r="55" spans="1:10" x14ac:dyDescent="0.3">
      <c r="A55" t="s">
        <v>1531</v>
      </c>
      <c r="B55" t="s">
        <v>1702</v>
      </c>
      <c r="C55" t="s">
        <v>2048</v>
      </c>
      <c r="D55">
        <v>31</v>
      </c>
      <c r="E55" t="s">
        <v>2103</v>
      </c>
      <c r="F55" t="s">
        <v>2551</v>
      </c>
      <c r="G55" t="s">
        <v>2574</v>
      </c>
      <c r="H55" t="s">
        <v>2602</v>
      </c>
      <c r="I55" t="s">
        <v>2606</v>
      </c>
      <c r="J55" s="1">
        <v>45882</v>
      </c>
    </row>
    <row r="56" spans="1:10" x14ac:dyDescent="0.3">
      <c r="A56" t="s">
        <v>969</v>
      </c>
      <c r="B56" t="s">
        <v>1703</v>
      </c>
      <c r="C56" t="s">
        <v>2048</v>
      </c>
      <c r="D56">
        <v>27</v>
      </c>
      <c r="E56" t="s">
        <v>2104</v>
      </c>
      <c r="F56" t="s">
        <v>2553</v>
      </c>
      <c r="G56" t="s">
        <v>2576</v>
      </c>
      <c r="H56" t="s">
        <v>2602</v>
      </c>
      <c r="I56" t="s">
        <v>2607</v>
      </c>
      <c r="J56" s="1">
        <v>45173</v>
      </c>
    </row>
    <row r="57" spans="1:10" x14ac:dyDescent="0.3">
      <c r="A57" t="s">
        <v>1146</v>
      </c>
      <c r="B57" t="s">
        <v>1704</v>
      </c>
      <c r="C57" t="s">
        <v>2048</v>
      </c>
      <c r="D57">
        <v>36</v>
      </c>
      <c r="E57" t="s">
        <v>2105</v>
      </c>
      <c r="F57" t="s">
        <v>2553</v>
      </c>
      <c r="G57" t="s">
        <v>2576</v>
      </c>
      <c r="H57" t="s">
        <v>2602</v>
      </c>
      <c r="I57" t="s">
        <v>2606</v>
      </c>
      <c r="J57" s="1">
        <v>44790</v>
      </c>
    </row>
    <row r="58" spans="1:10" x14ac:dyDescent="0.3">
      <c r="A58" t="s">
        <v>1098</v>
      </c>
      <c r="B58" t="s">
        <v>1705</v>
      </c>
      <c r="C58" t="s">
        <v>2048</v>
      </c>
      <c r="D58">
        <v>22</v>
      </c>
      <c r="E58" t="s">
        <v>2106</v>
      </c>
      <c r="F58" t="s">
        <v>2567</v>
      </c>
      <c r="G58" t="s">
        <v>2585</v>
      </c>
      <c r="H58" t="s">
        <v>2604</v>
      </c>
      <c r="I58" t="s">
        <v>2608</v>
      </c>
      <c r="J58" s="1">
        <v>45536</v>
      </c>
    </row>
    <row r="59" spans="1:10" x14ac:dyDescent="0.3">
      <c r="A59" t="s">
        <v>1532</v>
      </c>
      <c r="B59" t="s">
        <v>1706</v>
      </c>
      <c r="C59" t="s">
        <v>2049</v>
      </c>
      <c r="D59">
        <v>46</v>
      </c>
      <c r="E59" t="s">
        <v>2107</v>
      </c>
      <c r="F59" t="s">
        <v>2565</v>
      </c>
      <c r="G59" t="s">
        <v>2583</v>
      </c>
      <c r="H59" t="s">
        <v>2604</v>
      </c>
      <c r="I59" t="s">
        <v>2606</v>
      </c>
      <c r="J59" s="1">
        <v>45152</v>
      </c>
    </row>
    <row r="60" spans="1:10" x14ac:dyDescent="0.3">
      <c r="A60" t="s">
        <v>971</v>
      </c>
      <c r="B60" t="s">
        <v>1707</v>
      </c>
      <c r="C60" t="s">
        <v>2048</v>
      </c>
      <c r="D60">
        <v>30</v>
      </c>
      <c r="E60" t="s">
        <v>2108</v>
      </c>
      <c r="F60" t="s">
        <v>2552</v>
      </c>
      <c r="G60" t="s">
        <v>2575</v>
      </c>
      <c r="H60" t="s">
        <v>2603</v>
      </c>
      <c r="I60" t="s">
        <v>2608</v>
      </c>
      <c r="J60" s="1">
        <v>45792</v>
      </c>
    </row>
    <row r="61" spans="1:10" x14ac:dyDescent="0.3">
      <c r="A61" t="s">
        <v>1104</v>
      </c>
      <c r="B61" t="s">
        <v>1708</v>
      </c>
      <c r="C61" t="s">
        <v>2048</v>
      </c>
      <c r="D61">
        <v>30</v>
      </c>
      <c r="E61" t="s">
        <v>2109</v>
      </c>
      <c r="F61" t="s">
        <v>2558</v>
      </c>
      <c r="G61" t="s">
        <v>2558</v>
      </c>
      <c r="H61" t="s">
        <v>2603</v>
      </c>
      <c r="I61" t="s">
        <v>2606</v>
      </c>
      <c r="J61" s="1">
        <v>45177</v>
      </c>
    </row>
    <row r="62" spans="1:10" x14ac:dyDescent="0.3">
      <c r="A62" t="s">
        <v>1091</v>
      </c>
      <c r="B62" t="s">
        <v>1709</v>
      </c>
      <c r="C62" t="s">
        <v>2048</v>
      </c>
      <c r="D62">
        <v>33</v>
      </c>
      <c r="E62" t="s">
        <v>2110</v>
      </c>
      <c r="F62" t="s">
        <v>2553</v>
      </c>
      <c r="G62" t="s">
        <v>2576</v>
      </c>
      <c r="H62" t="s">
        <v>2602</v>
      </c>
      <c r="I62" t="s">
        <v>2608</v>
      </c>
      <c r="J62" s="1">
        <v>45712</v>
      </c>
    </row>
    <row r="63" spans="1:10" x14ac:dyDescent="0.3">
      <c r="A63" t="s">
        <v>1190</v>
      </c>
      <c r="B63" t="s">
        <v>1710</v>
      </c>
      <c r="C63" t="s">
        <v>2048</v>
      </c>
      <c r="D63">
        <v>43</v>
      </c>
      <c r="E63" t="s">
        <v>2111</v>
      </c>
      <c r="F63" t="s">
        <v>2551</v>
      </c>
      <c r="G63" t="s">
        <v>2574</v>
      </c>
      <c r="H63" t="s">
        <v>2602</v>
      </c>
      <c r="I63" t="s">
        <v>2606</v>
      </c>
      <c r="J63" s="1">
        <v>45111</v>
      </c>
    </row>
    <row r="64" spans="1:10" x14ac:dyDescent="0.3">
      <c r="A64" t="s">
        <v>1313</v>
      </c>
      <c r="B64" t="s">
        <v>1711</v>
      </c>
      <c r="C64" t="s">
        <v>2048</v>
      </c>
      <c r="D64">
        <v>34</v>
      </c>
      <c r="E64" t="s">
        <v>2112</v>
      </c>
      <c r="F64" t="s">
        <v>2556</v>
      </c>
      <c r="G64" t="s">
        <v>2574</v>
      </c>
      <c r="H64" t="s">
        <v>2602</v>
      </c>
      <c r="I64" t="s">
        <v>2606</v>
      </c>
      <c r="J64" s="1">
        <v>44658</v>
      </c>
    </row>
    <row r="65" spans="1:10" x14ac:dyDescent="0.3">
      <c r="A65" t="s">
        <v>1094</v>
      </c>
      <c r="B65" t="s">
        <v>1712</v>
      </c>
      <c r="C65" t="s">
        <v>2048</v>
      </c>
      <c r="D65">
        <v>37</v>
      </c>
      <c r="E65" t="s">
        <v>2113</v>
      </c>
      <c r="F65" t="s">
        <v>2554</v>
      </c>
      <c r="G65" t="s">
        <v>2577</v>
      </c>
      <c r="H65" t="s">
        <v>2601</v>
      </c>
      <c r="I65" t="s">
        <v>2606</v>
      </c>
      <c r="J65" s="1">
        <v>45660</v>
      </c>
    </row>
    <row r="66" spans="1:10" x14ac:dyDescent="0.3">
      <c r="A66" t="s">
        <v>1533</v>
      </c>
      <c r="B66" t="s">
        <v>1713</v>
      </c>
      <c r="C66" t="s">
        <v>2048</v>
      </c>
      <c r="D66">
        <v>33</v>
      </c>
      <c r="E66" t="s">
        <v>2114</v>
      </c>
      <c r="F66" t="s">
        <v>2565</v>
      </c>
      <c r="G66" t="s">
        <v>2583</v>
      </c>
      <c r="H66" t="s">
        <v>2604</v>
      </c>
      <c r="I66" t="s">
        <v>2608</v>
      </c>
      <c r="J66" s="1">
        <v>44845</v>
      </c>
    </row>
    <row r="67" spans="1:10" x14ac:dyDescent="0.3">
      <c r="A67" t="s">
        <v>981</v>
      </c>
      <c r="B67" t="s">
        <v>1714</v>
      </c>
      <c r="C67" t="s">
        <v>2048</v>
      </c>
      <c r="D67">
        <v>20</v>
      </c>
      <c r="E67" t="s">
        <v>2115</v>
      </c>
      <c r="F67" t="s">
        <v>2562</v>
      </c>
      <c r="G67" t="s">
        <v>2574</v>
      </c>
      <c r="H67" t="s">
        <v>2602</v>
      </c>
      <c r="I67" t="s">
        <v>2607</v>
      </c>
      <c r="J67" s="1">
        <v>45245</v>
      </c>
    </row>
    <row r="68" spans="1:10" x14ac:dyDescent="0.3">
      <c r="A68" t="s">
        <v>1235</v>
      </c>
      <c r="B68" t="s">
        <v>1688</v>
      </c>
      <c r="C68" t="s">
        <v>2049</v>
      </c>
      <c r="D68">
        <v>18</v>
      </c>
      <c r="E68" t="s">
        <v>2116</v>
      </c>
      <c r="F68" t="s">
        <v>2556</v>
      </c>
      <c r="G68" t="s">
        <v>2574</v>
      </c>
      <c r="H68" t="s">
        <v>2602</v>
      </c>
      <c r="I68" t="s">
        <v>2608</v>
      </c>
      <c r="J68" s="1">
        <v>45524</v>
      </c>
    </row>
    <row r="69" spans="1:10" x14ac:dyDescent="0.3">
      <c r="A69" t="s">
        <v>1291</v>
      </c>
      <c r="B69" t="s">
        <v>1715</v>
      </c>
      <c r="C69" t="s">
        <v>2048</v>
      </c>
      <c r="D69">
        <v>32</v>
      </c>
      <c r="E69" t="s">
        <v>2117</v>
      </c>
      <c r="F69" t="s">
        <v>2572</v>
      </c>
      <c r="G69" t="s">
        <v>2582</v>
      </c>
      <c r="H69" t="s">
        <v>2601</v>
      </c>
      <c r="I69" t="s">
        <v>2608</v>
      </c>
      <c r="J69" s="1">
        <v>44755</v>
      </c>
    </row>
    <row r="70" spans="1:10" x14ac:dyDescent="0.3">
      <c r="A70" t="s">
        <v>1534</v>
      </c>
      <c r="B70" t="s">
        <v>1716</v>
      </c>
      <c r="C70" t="s">
        <v>2049</v>
      </c>
      <c r="D70">
        <v>18</v>
      </c>
      <c r="E70" t="s">
        <v>2118</v>
      </c>
      <c r="F70" t="s">
        <v>2566</v>
      </c>
      <c r="G70" t="s">
        <v>2584</v>
      </c>
      <c r="H70" t="s">
        <v>2601</v>
      </c>
      <c r="I70" t="s">
        <v>2606</v>
      </c>
      <c r="J70" s="1">
        <v>45169</v>
      </c>
    </row>
    <row r="71" spans="1:10" x14ac:dyDescent="0.3">
      <c r="A71" t="s">
        <v>1213</v>
      </c>
      <c r="B71" t="s">
        <v>1717</v>
      </c>
      <c r="C71" t="s">
        <v>2049</v>
      </c>
      <c r="D71">
        <v>38</v>
      </c>
      <c r="E71" t="s">
        <v>2119</v>
      </c>
      <c r="F71" t="s">
        <v>2559</v>
      </c>
      <c r="G71" t="s">
        <v>2559</v>
      </c>
      <c r="H71" t="s">
        <v>2603</v>
      </c>
      <c r="I71" t="s">
        <v>2608</v>
      </c>
      <c r="J71" s="1">
        <v>45310</v>
      </c>
    </row>
    <row r="72" spans="1:10" x14ac:dyDescent="0.3">
      <c r="A72" t="s">
        <v>1535</v>
      </c>
      <c r="B72" t="s">
        <v>1718</v>
      </c>
      <c r="C72" t="s">
        <v>2049</v>
      </c>
      <c r="E72" t="s">
        <v>2120</v>
      </c>
      <c r="F72" t="s">
        <v>2551</v>
      </c>
      <c r="G72" t="s">
        <v>2574</v>
      </c>
      <c r="H72" t="s">
        <v>2602</v>
      </c>
      <c r="I72" t="s">
        <v>2606</v>
      </c>
      <c r="J72" s="1">
        <v>45755</v>
      </c>
    </row>
    <row r="73" spans="1:10" x14ac:dyDescent="0.3">
      <c r="A73" t="s">
        <v>1083</v>
      </c>
      <c r="B73" t="s">
        <v>1719</v>
      </c>
      <c r="C73" t="s">
        <v>2048</v>
      </c>
      <c r="D73">
        <v>54</v>
      </c>
      <c r="E73" t="s">
        <v>2121</v>
      </c>
      <c r="F73" t="s">
        <v>2564</v>
      </c>
      <c r="G73" t="s">
        <v>2582</v>
      </c>
      <c r="H73" t="s">
        <v>2601</v>
      </c>
      <c r="I73" t="s">
        <v>2606</v>
      </c>
      <c r="J73" s="1">
        <v>45424</v>
      </c>
    </row>
    <row r="74" spans="1:10" x14ac:dyDescent="0.3">
      <c r="A74" t="s">
        <v>1139</v>
      </c>
      <c r="B74" t="s">
        <v>1720</v>
      </c>
      <c r="C74" t="s">
        <v>2048</v>
      </c>
      <c r="D74">
        <v>23</v>
      </c>
      <c r="E74" t="s">
        <v>2122</v>
      </c>
      <c r="F74" t="s">
        <v>2554</v>
      </c>
      <c r="G74" t="s">
        <v>2577</v>
      </c>
      <c r="H74" t="s">
        <v>2601</v>
      </c>
      <c r="I74" t="s">
        <v>2608</v>
      </c>
      <c r="J74" s="1">
        <v>45112</v>
      </c>
    </row>
    <row r="75" spans="1:10" x14ac:dyDescent="0.3">
      <c r="A75" t="s">
        <v>973</v>
      </c>
      <c r="B75" t="s">
        <v>1721</v>
      </c>
      <c r="C75" t="s">
        <v>2049</v>
      </c>
      <c r="D75">
        <v>47</v>
      </c>
      <c r="E75" t="s">
        <v>2123</v>
      </c>
      <c r="F75" t="s">
        <v>2560</v>
      </c>
      <c r="G75" t="s">
        <v>2579</v>
      </c>
      <c r="H75" t="s">
        <v>2604</v>
      </c>
      <c r="I75" t="s">
        <v>2608</v>
      </c>
      <c r="J75" s="1">
        <v>45326</v>
      </c>
    </row>
    <row r="76" spans="1:10" x14ac:dyDescent="0.3">
      <c r="A76" t="s">
        <v>1064</v>
      </c>
      <c r="B76" t="s">
        <v>1722</v>
      </c>
      <c r="C76" t="s">
        <v>2049</v>
      </c>
      <c r="D76">
        <v>25</v>
      </c>
      <c r="E76" t="s">
        <v>2124</v>
      </c>
      <c r="F76" t="s">
        <v>2570</v>
      </c>
      <c r="G76" t="s">
        <v>2590</v>
      </c>
      <c r="H76" t="s">
        <v>2605</v>
      </c>
      <c r="I76" t="s">
        <v>2606</v>
      </c>
      <c r="J76" s="1">
        <v>44985</v>
      </c>
    </row>
    <row r="77" spans="1:10" x14ac:dyDescent="0.3">
      <c r="A77" t="s">
        <v>1130</v>
      </c>
      <c r="B77" t="s">
        <v>1723</v>
      </c>
      <c r="C77" t="s">
        <v>2048</v>
      </c>
      <c r="D77">
        <v>31</v>
      </c>
      <c r="E77" t="s">
        <v>2125</v>
      </c>
      <c r="F77" t="s">
        <v>2556</v>
      </c>
      <c r="G77" t="s">
        <v>2574</v>
      </c>
      <c r="H77" t="s">
        <v>2602</v>
      </c>
      <c r="I77" t="s">
        <v>2606</v>
      </c>
      <c r="J77" s="1">
        <v>45124</v>
      </c>
    </row>
    <row r="78" spans="1:10" x14ac:dyDescent="0.3">
      <c r="A78" t="s">
        <v>1241</v>
      </c>
      <c r="B78" t="s">
        <v>1724</v>
      </c>
      <c r="C78" t="s">
        <v>2048</v>
      </c>
      <c r="D78">
        <v>38</v>
      </c>
      <c r="E78" t="s">
        <v>2126</v>
      </c>
      <c r="F78" t="s">
        <v>2572</v>
      </c>
      <c r="G78" t="s">
        <v>2582</v>
      </c>
      <c r="H78" t="s">
        <v>2601</v>
      </c>
      <c r="I78" t="s">
        <v>2608</v>
      </c>
      <c r="J78" s="1">
        <v>45076</v>
      </c>
    </row>
    <row r="79" spans="1:10" x14ac:dyDescent="0.3">
      <c r="A79" t="s">
        <v>1246</v>
      </c>
      <c r="B79" t="s">
        <v>1720</v>
      </c>
      <c r="C79" t="s">
        <v>2048</v>
      </c>
      <c r="D79">
        <v>37</v>
      </c>
      <c r="E79" t="s">
        <v>2127</v>
      </c>
      <c r="F79" t="s">
        <v>2570</v>
      </c>
      <c r="G79" t="s">
        <v>2590</v>
      </c>
      <c r="H79" t="s">
        <v>2605</v>
      </c>
      <c r="I79" t="s">
        <v>2607</v>
      </c>
      <c r="J79" s="1">
        <v>45754</v>
      </c>
    </row>
    <row r="80" spans="1:10" x14ac:dyDescent="0.3">
      <c r="A80" t="s">
        <v>1029</v>
      </c>
      <c r="B80" t="s">
        <v>1725</v>
      </c>
      <c r="C80" t="s">
        <v>2049</v>
      </c>
      <c r="D80">
        <v>36</v>
      </c>
      <c r="E80" t="s">
        <v>2128</v>
      </c>
      <c r="F80" t="s">
        <v>2560</v>
      </c>
      <c r="G80" t="s">
        <v>2579</v>
      </c>
      <c r="H80" t="s">
        <v>2604</v>
      </c>
      <c r="I80" t="s">
        <v>2607</v>
      </c>
      <c r="J80" s="1">
        <v>45105</v>
      </c>
    </row>
    <row r="81" spans="1:10" x14ac:dyDescent="0.3">
      <c r="A81" t="s">
        <v>1112</v>
      </c>
      <c r="B81" t="s">
        <v>1726</v>
      </c>
      <c r="C81" t="s">
        <v>2049</v>
      </c>
      <c r="D81">
        <v>22</v>
      </c>
      <c r="E81" t="s">
        <v>2129</v>
      </c>
      <c r="F81" t="s">
        <v>2562</v>
      </c>
      <c r="G81" t="s">
        <v>2574</v>
      </c>
      <c r="H81" t="s">
        <v>2602</v>
      </c>
      <c r="I81" t="s">
        <v>2606</v>
      </c>
      <c r="J81" s="1">
        <v>45746</v>
      </c>
    </row>
    <row r="82" spans="1:10" x14ac:dyDescent="0.3">
      <c r="A82" t="s">
        <v>1217</v>
      </c>
      <c r="B82" t="s">
        <v>1727</v>
      </c>
      <c r="C82" t="s">
        <v>2049</v>
      </c>
      <c r="D82">
        <v>29</v>
      </c>
      <c r="E82" t="s">
        <v>2130</v>
      </c>
      <c r="F82" t="s">
        <v>2563</v>
      </c>
      <c r="G82" t="s">
        <v>2581</v>
      </c>
      <c r="H82" t="s">
        <v>2604</v>
      </c>
      <c r="I82" t="s">
        <v>2606</v>
      </c>
      <c r="J82" s="1">
        <v>45893</v>
      </c>
    </row>
    <row r="83" spans="1:10" x14ac:dyDescent="0.3">
      <c r="A83" t="s">
        <v>1206</v>
      </c>
      <c r="B83" t="s">
        <v>1728</v>
      </c>
      <c r="C83" t="s">
        <v>2049</v>
      </c>
      <c r="E83" t="s">
        <v>2131</v>
      </c>
      <c r="F83" t="s">
        <v>2570</v>
      </c>
      <c r="G83" t="s">
        <v>2590</v>
      </c>
      <c r="H83" t="s">
        <v>2605</v>
      </c>
      <c r="I83" t="s">
        <v>2606</v>
      </c>
      <c r="J83" s="1">
        <v>44639</v>
      </c>
    </row>
    <row r="84" spans="1:10" x14ac:dyDescent="0.3">
      <c r="A84" t="s">
        <v>1156</v>
      </c>
      <c r="B84" t="s">
        <v>1729</v>
      </c>
      <c r="C84" t="s">
        <v>2049</v>
      </c>
      <c r="D84">
        <v>24</v>
      </c>
      <c r="E84" t="s">
        <v>2132</v>
      </c>
      <c r="F84" t="s">
        <v>2570</v>
      </c>
      <c r="G84" t="s">
        <v>2590</v>
      </c>
      <c r="H84" t="s">
        <v>2605</v>
      </c>
      <c r="I84" t="s">
        <v>2606</v>
      </c>
      <c r="J84" s="1">
        <v>44780</v>
      </c>
    </row>
    <row r="85" spans="1:10" x14ac:dyDescent="0.3">
      <c r="A85" t="s">
        <v>1000</v>
      </c>
      <c r="B85" t="s">
        <v>1730</v>
      </c>
      <c r="C85" t="s">
        <v>2049</v>
      </c>
      <c r="D85">
        <v>19</v>
      </c>
      <c r="E85" t="s">
        <v>2133</v>
      </c>
      <c r="F85" t="s">
        <v>2571</v>
      </c>
      <c r="G85" t="s">
        <v>2590</v>
      </c>
      <c r="H85" t="s">
        <v>2605</v>
      </c>
      <c r="I85" t="s">
        <v>2606</v>
      </c>
      <c r="J85" s="1">
        <v>44994</v>
      </c>
    </row>
    <row r="86" spans="1:10" x14ac:dyDescent="0.3">
      <c r="A86" t="s">
        <v>1189</v>
      </c>
      <c r="B86" t="s">
        <v>1731</v>
      </c>
      <c r="C86" t="s">
        <v>2048</v>
      </c>
      <c r="D86">
        <v>18</v>
      </c>
      <c r="E86" t="s">
        <v>2134</v>
      </c>
      <c r="F86" t="s">
        <v>2568</v>
      </c>
      <c r="G86" t="s">
        <v>2586</v>
      </c>
      <c r="H86" t="s">
        <v>2603</v>
      </c>
      <c r="I86" t="s">
        <v>2606</v>
      </c>
      <c r="J86" s="1">
        <v>45439</v>
      </c>
    </row>
    <row r="87" spans="1:10" x14ac:dyDescent="0.3">
      <c r="A87" t="s">
        <v>1304</v>
      </c>
      <c r="B87" t="s">
        <v>1732</v>
      </c>
      <c r="C87" t="s">
        <v>2049</v>
      </c>
      <c r="D87">
        <v>37</v>
      </c>
      <c r="E87" t="s">
        <v>2135</v>
      </c>
      <c r="F87" t="s">
        <v>2560</v>
      </c>
      <c r="G87" t="s">
        <v>2579</v>
      </c>
      <c r="H87" t="s">
        <v>2604</v>
      </c>
      <c r="I87" t="s">
        <v>2606</v>
      </c>
      <c r="J87" s="1">
        <v>45973</v>
      </c>
    </row>
    <row r="88" spans="1:10" x14ac:dyDescent="0.3">
      <c r="A88" t="s">
        <v>1286</v>
      </c>
      <c r="B88" t="s">
        <v>1692</v>
      </c>
      <c r="C88" t="s">
        <v>2048</v>
      </c>
      <c r="D88">
        <v>29</v>
      </c>
      <c r="E88" t="s">
        <v>2136</v>
      </c>
      <c r="F88" t="s">
        <v>2567</v>
      </c>
      <c r="G88" t="s">
        <v>2585</v>
      </c>
      <c r="H88" t="s">
        <v>2604</v>
      </c>
      <c r="I88" t="s">
        <v>2608</v>
      </c>
      <c r="J88" s="1">
        <v>45209</v>
      </c>
    </row>
    <row r="89" spans="1:10" x14ac:dyDescent="0.3">
      <c r="A89" t="s">
        <v>1075</v>
      </c>
      <c r="B89" t="s">
        <v>1664</v>
      </c>
      <c r="C89" t="s">
        <v>2048</v>
      </c>
      <c r="D89">
        <v>51</v>
      </c>
      <c r="E89" t="s">
        <v>2137</v>
      </c>
      <c r="F89" t="s">
        <v>2570</v>
      </c>
      <c r="G89" t="s">
        <v>2590</v>
      </c>
      <c r="H89" t="s">
        <v>2605</v>
      </c>
      <c r="I89" t="s">
        <v>2606</v>
      </c>
      <c r="J89" s="1">
        <v>45078</v>
      </c>
    </row>
    <row r="90" spans="1:10" x14ac:dyDescent="0.3">
      <c r="A90" t="s">
        <v>1007</v>
      </c>
      <c r="B90" t="s">
        <v>1733</v>
      </c>
      <c r="C90" t="s">
        <v>2048</v>
      </c>
      <c r="D90">
        <v>42</v>
      </c>
      <c r="E90" t="s">
        <v>2138</v>
      </c>
      <c r="F90" t="s">
        <v>2552</v>
      </c>
      <c r="G90" t="s">
        <v>2575</v>
      </c>
      <c r="H90" t="s">
        <v>2603</v>
      </c>
      <c r="I90" t="s">
        <v>2607</v>
      </c>
      <c r="J90" s="1">
        <v>45598</v>
      </c>
    </row>
    <row r="91" spans="1:10" x14ac:dyDescent="0.3">
      <c r="A91" t="s">
        <v>1067</v>
      </c>
      <c r="B91" t="s">
        <v>1734</v>
      </c>
      <c r="C91" t="s">
        <v>2049</v>
      </c>
      <c r="D91">
        <v>29</v>
      </c>
      <c r="E91" t="s">
        <v>2139</v>
      </c>
      <c r="F91" t="s">
        <v>2570</v>
      </c>
      <c r="G91" t="s">
        <v>2590</v>
      </c>
      <c r="H91" t="s">
        <v>2605</v>
      </c>
      <c r="I91" t="s">
        <v>2606</v>
      </c>
      <c r="J91" s="1">
        <v>45137</v>
      </c>
    </row>
    <row r="92" spans="1:10" x14ac:dyDescent="0.3">
      <c r="A92" t="s">
        <v>1163</v>
      </c>
      <c r="B92" t="s">
        <v>1735</v>
      </c>
      <c r="C92" t="s">
        <v>2048</v>
      </c>
      <c r="D92">
        <v>37</v>
      </c>
      <c r="E92" t="s">
        <v>2140</v>
      </c>
      <c r="F92" t="s">
        <v>2570</v>
      </c>
      <c r="G92" t="s">
        <v>2590</v>
      </c>
      <c r="H92" t="s">
        <v>2605</v>
      </c>
      <c r="I92" t="s">
        <v>2606</v>
      </c>
      <c r="J92" s="1">
        <v>44931</v>
      </c>
    </row>
    <row r="93" spans="1:10" x14ac:dyDescent="0.3">
      <c r="A93" t="s">
        <v>1101</v>
      </c>
      <c r="B93" t="s">
        <v>1736</v>
      </c>
      <c r="C93" t="s">
        <v>2048</v>
      </c>
      <c r="D93">
        <v>41</v>
      </c>
      <c r="E93" t="s">
        <v>2141</v>
      </c>
      <c r="F93" t="s">
        <v>2555</v>
      </c>
      <c r="G93" t="s">
        <v>2578</v>
      </c>
      <c r="H93" t="s">
        <v>2603</v>
      </c>
      <c r="I93" t="s">
        <v>2608</v>
      </c>
      <c r="J93" s="1">
        <v>44749</v>
      </c>
    </row>
    <row r="94" spans="1:10" x14ac:dyDescent="0.3">
      <c r="A94" t="s">
        <v>1011</v>
      </c>
      <c r="B94" t="s">
        <v>1737</v>
      </c>
      <c r="C94" t="s">
        <v>2048</v>
      </c>
      <c r="D94">
        <v>23</v>
      </c>
      <c r="E94" t="s">
        <v>2142</v>
      </c>
      <c r="F94" t="s">
        <v>2572</v>
      </c>
      <c r="G94" t="s">
        <v>2582</v>
      </c>
      <c r="H94" t="s">
        <v>2601</v>
      </c>
      <c r="I94" t="s">
        <v>2608</v>
      </c>
      <c r="J94" s="1">
        <v>45635</v>
      </c>
    </row>
    <row r="95" spans="1:10" x14ac:dyDescent="0.3">
      <c r="A95" t="s">
        <v>1315</v>
      </c>
      <c r="B95" t="s">
        <v>1738</v>
      </c>
      <c r="C95" t="s">
        <v>2049</v>
      </c>
      <c r="D95">
        <v>30</v>
      </c>
      <c r="E95" t="s">
        <v>2143</v>
      </c>
      <c r="F95" t="s">
        <v>2571</v>
      </c>
      <c r="G95" t="s">
        <v>2590</v>
      </c>
      <c r="H95" t="s">
        <v>2605</v>
      </c>
      <c r="I95" t="s">
        <v>2606</v>
      </c>
      <c r="J95" s="1">
        <v>45806</v>
      </c>
    </row>
    <row r="96" spans="1:10" x14ac:dyDescent="0.3">
      <c r="A96" t="s">
        <v>996</v>
      </c>
      <c r="B96" t="s">
        <v>1739</v>
      </c>
      <c r="C96" t="s">
        <v>2048</v>
      </c>
      <c r="D96">
        <v>33</v>
      </c>
      <c r="E96" t="s">
        <v>2144</v>
      </c>
      <c r="F96" t="s">
        <v>2568</v>
      </c>
      <c r="G96" t="s">
        <v>2586</v>
      </c>
      <c r="H96" t="s">
        <v>2603</v>
      </c>
      <c r="I96" t="s">
        <v>2608</v>
      </c>
      <c r="J96" s="1">
        <v>45627</v>
      </c>
    </row>
    <row r="97" spans="1:10" x14ac:dyDescent="0.3">
      <c r="A97" t="s">
        <v>1212</v>
      </c>
      <c r="B97" t="s">
        <v>1740</v>
      </c>
      <c r="C97" t="s">
        <v>2049</v>
      </c>
      <c r="D97">
        <v>36</v>
      </c>
      <c r="E97" t="s">
        <v>2145</v>
      </c>
      <c r="F97" t="s">
        <v>2557</v>
      </c>
      <c r="G97" t="s">
        <v>2576</v>
      </c>
      <c r="H97" t="s">
        <v>2602</v>
      </c>
      <c r="I97" t="s">
        <v>2606</v>
      </c>
      <c r="J97" s="1">
        <v>45588</v>
      </c>
    </row>
    <row r="98" spans="1:10" x14ac:dyDescent="0.3">
      <c r="A98" t="s">
        <v>1536</v>
      </c>
      <c r="B98" t="s">
        <v>1741</v>
      </c>
      <c r="C98" t="s">
        <v>2049</v>
      </c>
      <c r="D98">
        <v>25</v>
      </c>
      <c r="E98" t="s">
        <v>2146</v>
      </c>
      <c r="F98" t="s">
        <v>2556</v>
      </c>
      <c r="G98" t="s">
        <v>2592</v>
      </c>
      <c r="H98" t="s">
        <v>2602</v>
      </c>
      <c r="I98" t="s">
        <v>2606</v>
      </c>
      <c r="J98" s="1">
        <v>45723</v>
      </c>
    </row>
    <row r="99" spans="1:10" x14ac:dyDescent="0.3">
      <c r="A99" t="s">
        <v>1040</v>
      </c>
      <c r="B99" t="s">
        <v>1742</v>
      </c>
      <c r="C99" t="s">
        <v>2049</v>
      </c>
      <c r="D99">
        <v>58</v>
      </c>
      <c r="E99" t="s">
        <v>2147</v>
      </c>
      <c r="F99" t="s">
        <v>2568</v>
      </c>
      <c r="G99" t="s">
        <v>2593</v>
      </c>
      <c r="H99" t="s">
        <v>2603</v>
      </c>
      <c r="I99" t="s">
        <v>2606</v>
      </c>
      <c r="J99" s="1">
        <v>44895</v>
      </c>
    </row>
    <row r="100" spans="1:10" x14ac:dyDescent="0.3">
      <c r="A100" t="s">
        <v>1294</v>
      </c>
      <c r="B100" t="s">
        <v>1743</v>
      </c>
      <c r="C100" t="s">
        <v>2049</v>
      </c>
      <c r="D100">
        <v>29</v>
      </c>
      <c r="E100" t="s">
        <v>2148</v>
      </c>
      <c r="F100" t="s">
        <v>2567</v>
      </c>
      <c r="G100" t="s">
        <v>2585</v>
      </c>
      <c r="H100" t="s">
        <v>2604</v>
      </c>
      <c r="I100" t="s">
        <v>2606</v>
      </c>
      <c r="J100" s="1">
        <v>44971</v>
      </c>
    </row>
    <row r="101" spans="1:10" x14ac:dyDescent="0.3">
      <c r="A101" t="s">
        <v>1068</v>
      </c>
      <c r="B101" t="s">
        <v>1744</v>
      </c>
      <c r="C101" t="s">
        <v>2048</v>
      </c>
      <c r="D101">
        <v>48</v>
      </c>
      <c r="E101" t="s">
        <v>2149</v>
      </c>
      <c r="F101" t="s">
        <v>2560</v>
      </c>
      <c r="G101" t="s">
        <v>2579</v>
      </c>
      <c r="H101" t="s">
        <v>2604</v>
      </c>
      <c r="I101" t="s">
        <v>2606</v>
      </c>
      <c r="J101" s="1">
        <v>45816</v>
      </c>
    </row>
    <row r="102" spans="1:10" x14ac:dyDescent="0.3">
      <c r="A102" t="s">
        <v>1300</v>
      </c>
      <c r="B102" t="s">
        <v>1745</v>
      </c>
      <c r="C102" t="s">
        <v>2049</v>
      </c>
      <c r="D102">
        <v>38</v>
      </c>
      <c r="E102" t="s">
        <v>2150</v>
      </c>
      <c r="F102" t="s">
        <v>2553</v>
      </c>
      <c r="G102" t="s">
        <v>2576</v>
      </c>
      <c r="H102" t="s">
        <v>2602</v>
      </c>
      <c r="I102" t="s">
        <v>2606</v>
      </c>
      <c r="J102" s="1">
        <v>45903</v>
      </c>
    </row>
    <row r="103" spans="1:10" x14ac:dyDescent="0.3">
      <c r="A103" t="s">
        <v>1020</v>
      </c>
      <c r="B103" t="s">
        <v>1746</v>
      </c>
      <c r="C103" t="s">
        <v>2048</v>
      </c>
      <c r="D103">
        <v>29</v>
      </c>
      <c r="E103" t="s">
        <v>2151</v>
      </c>
      <c r="F103" t="s">
        <v>2569</v>
      </c>
      <c r="G103" t="s">
        <v>2587</v>
      </c>
      <c r="H103" t="s">
        <v>2604</v>
      </c>
      <c r="I103" t="s">
        <v>2608</v>
      </c>
      <c r="J103" s="1">
        <v>45242</v>
      </c>
    </row>
    <row r="104" spans="1:10" x14ac:dyDescent="0.3">
      <c r="A104" t="s">
        <v>982</v>
      </c>
      <c r="B104" t="s">
        <v>1747</v>
      </c>
      <c r="C104" t="s">
        <v>2048</v>
      </c>
      <c r="D104">
        <v>34</v>
      </c>
      <c r="E104" t="s">
        <v>2152</v>
      </c>
      <c r="F104" t="s">
        <v>2560</v>
      </c>
      <c r="G104" t="s">
        <v>2579</v>
      </c>
      <c r="H104" t="s">
        <v>2604</v>
      </c>
      <c r="I104" t="s">
        <v>2606</v>
      </c>
      <c r="J104" s="1">
        <v>45285</v>
      </c>
    </row>
    <row r="105" spans="1:10" x14ac:dyDescent="0.3">
      <c r="A105" t="s">
        <v>1031</v>
      </c>
      <c r="B105" t="s">
        <v>1748</v>
      </c>
      <c r="C105" t="s">
        <v>2049</v>
      </c>
      <c r="D105">
        <v>27</v>
      </c>
      <c r="E105" t="s">
        <v>2153</v>
      </c>
      <c r="F105" t="s">
        <v>2561</v>
      </c>
      <c r="G105" t="s">
        <v>2580</v>
      </c>
      <c r="H105" t="s">
        <v>2601</v>
      </c>
      <c r="I105" t="s">
        <v>2608</v>
      </c>
      <c r="J105" s="1">
        <v>45700</v>
      </c>
    </row>
    <row r="106" spans="1:10" x14ac:dyDescent="0.3">
      <c r="A106" t="s">
        <v>1537</v>
      </c>
      <c r="B106" t="s">
        <v>1749</v>
      </c>
      <c r="C106" t="s">
        <v>2048</v>
      </c>
      <c r="D106">
        <v>47</v>
      </c>
      <c r="E106" t="s">
        <v>2154</v>
      </c>
      <c r="F106" t="s">
        <v>2558</v>
      </c>
      <c r="G106" t="s">
        <v>2558</v>
      </c>
      <c r="H106" t="s">
        <v>2603</v>
      </c>
      <c r="I106" t="s">
        <v>2606</v>
      </c>
      <c r="J106" s="1">
        <v>45856</v>
      </c>
    </row>
    <row r="107" spans="1:10" x14ac:dyDescent="0.3">
      <c r="A107" t="s">
        <v>1260</v>
      </c>
      <c r="B107" t="s">
        <v>1750</v>
      </c>
      <c r="C107" t="s">
        <v>2048</v>
      </c>
      <c r="D107">
        <v>31</v>
      </c>
      <c r="E107" t="s">
        <v>2155</v>
      </c>
      <c r="F107" t="s">
        <v>2560</v>
      </c>
      <c r="G107" t="s">
        <v>2579</v>
      </c>
      <c r="H107" t="s">
        <v>2604</v>
      </c>
      <c r="I107" t="s">
        <v>2606</v>
      </c>
      <c r="J107" s="1">
        <v>44898</v>
      </c>
    </row>
    <row r="108" spans="1:10" x14ac:dyDescent="0.3">
      <c r="A108" t="s">
        <v>1538</v>
      </c>
      <c r="B108" t="s">
        <v>1751</v>
      </c>
      <c r="C108" t="s">
        <v>2048</v>
      </c>
      <c r="D108">
        <v>35</v>
      </c>
      <c r="E108" t="s">
        <v>2156</v>
      </c>
      <c r="F108" t="s">
        <v>2571</v>
      </c>
      <c r="G108" t="s">
        <v>2590</v>
      </c>
      <c r="H108" t="s">
        <v>2605</v>
      </c>
      <c r="I108" t="s">
        <v>2608</v>
      </c>
      <c r="J108" s="1">
        <v>44879</v>
      </c>
    </row>
    <row r="109" spans="1:10" x14ac:dyDescent="0.3">
      <c r="A109" t="s">
        <v>1539</v>
      </c>
      <c r="B109" t="s">
        <v>1752</v>
      </c>
      <c r="C109" t="s">
        <v>2048</v>
      </c>
      <c r="D109">
        <v>34</v>
      </c>
      <c r="E109" t="s">
        <v>2157</v>
      </c>
      <c r="F109" t="s">
        <v>2571</v>
      </c>
      <c r="G109" t="s">
        <v>2590</v>
      </c>
      <c r="H109" t="s">
        <v>2605</v>
      </c>
      <c r="I109" t="s">
        <v>2606</v>
      </c>
      <c r="J109" s="1">
        <v>45290</v>
      </c>
    </row>
    <row r="110" spans="1:10" x14ac:dyDescent="0.3">
      <c r="A110" t="s">
        <v>1050</v>
      </c>
      <c r="B110" t="s">
        <v>1753</v>
      </c>
      <c r="C110" t="s">
        <v>2049</v>
      </c>
      <c r="D110">
        <v>32</v>
      </c>
      <c r="E110" t="s">
        <v>2158</v>
      </c>
      <c r="F110" t="s">
        <v>2556</v>
      </c>
      <c r="G110" t="s">
        <v>2574</v>
      </c>
      <c r="H110" t="s">
        <v>2602</v>
      </c>
      <c r="I110" t="s">
        <v>2608</v>
      </c>
      <c r="J110" s="1">
        <v>45777</v>
      </c>
    </row>
    <row r="111" spans="1:10" x14ac:dyDescent="0.3">
      <c r="A111" t="s">
        <v>985</v>
      </c>
      <c r="B111" t="s">
        <v>1754</v>
      </c>
      <c r="C111" t="s">
        <v>2049</v>
      </c>
      <c r="D111">
        <v>33</v>
      </c>
      <c r="E111" t="s">
        <v>2159</v>
      </c>
      <c r="F111" t="s">
        <v>2558</v>
      </c>
      <c r="G111" t="s">
        <v>2558</v>
      </c>
      <c r="H111" t="s">
        <v>2603</v>
      </c>
      <c r="I111" t="s">
        <v>2606</v>
      </c>
      <c r="J111" s="1">
        <v>45629</v>
      </c>
    </row>
    <row r="112" spans="1:10" x14ac:dyDescent="0.3">
      <c r="A112" t="s">
        <v>1231</v>
      </c>
      <c r="B112" t="s">
        <v>1755</v>
      </c>
      <c r="C112" t="s">
        <v>2049</v>
      </c>
      <c r="D112">
        <v>25</v>
      </c>
      <c r="E112" t="s">
        <v>2160</v>
      </c>
      <c r="F112" t="s">
        <v>2563</v>
      </c>
      <c r="G112" t="s">
        <v>2581</v>
      </c>
      <c r="H112" t="s">
        <v>2604</v>
      </c>
      <c r="I112" t="s">
        <v>2606</v>
      </c>
      <c r="J112" s="1">
        <v>44655</v>
      </c>
    </row>
    <row r="113" spans="1:10" x14ac:dyDescent="0.3">
      <c r="A113" t="s">
        <v>1032</v>
      </c>
      <c r="B113" t="s">
        <v>1756</v>
      </c>
      <c r="C113" t="s">
        <v>2049</v>
      </c>
      <c r="D113">
        <v>34</v>
      </c>
      <c r="E113" t="s">
        <v>2161</v>
      </c>
      <c r="F113" t="s">
        <v>2558</v>
      </c>
      <c r="G113" t="s">
        <v>2558</v>
      </c>
      <c r="H113" t="s">
        <v>2603</v>
      </c>
      <c r="I113" t="s">
        <v>2606</v>
      </c>
      <c r="J113" s="1">
        <v>45341</v>
      </c>
    </row>
    <row r="114" spans="1:10" x14ac:dyDescent="0.3">
      <c r="A114" t="s">
        <v>1263</v>
      </c>
      <c r="B114" t="s">
        <v>1757</v>
      </c>
      <c r="C114" t="s">
        <v>2048</v>
      </c>
      <c r="D114">
        <v>51</v>
      </c>
      <c r="E114" t="s">
        <v>2162</v>
      </c>
      <c r="F114" t="s">
        <v>2565</v>
      </c>
      <c r="G114" t="s">
        <v>2583</v>
      </c>
      <c r="H114" t="s">
        <v>2604</v>
      </c>
      <c r="I114" t="s">
        <v>2607</v>
      </c>
      <c r="J114" s="1">
        <v>45331</v>
      </c>
    </row>
    <row r="115" spans="1:10" x14ac:dyDescent="0.3">
      <c r="A115" t="s">
        <v>989</v>
      </c>
      <c r="B115" t="s">
        <v>1758</v>
      </c>
      <c r="C115" t="s">
        <v>2048</v>
      </c>
      <c r="D115">
        <v>30</v>
      </c>
      <c r="E115" t="s">
        <v>2163</v>
      </c>
      <c r="F115" t="s">
        <v>2563</v>
      </c>
      <c r="G115" t="s">
        <v>2581</v>
      </c>
      <c r="H115" t="s">
        <v>2604</v>
      </c>
      <c r="I115" t="s">
        <v>2606</v>
      </c>
      <c r="J115" s="1">
        <v>45647</v>
      </c>
    </row>
    <row r="116" spans="1:10" x14ac:dyDescent="0.3">
      <c r="A116" t="s">
        <v>1540</v>
      </c>
      <c r="B116" t="s">
        <v>1759</v>
      </c>
      <c r="C116" t="s">
        <v>2049</v>
      </c>
      <c r="D116">
        <v>35</v>
      </c>
      <c r="E116" t="s">
        <v>2164</v>
      </c>
      <c r="F116" t="s">
        <v>2570</v>
      </c>
      <c r="G116" t="s">
        <v>2590</v>
      </c>
      <c r="H116" t="s">
        <v>2605</v>
      </c>
      <c r="I116" t="s">
        <v>2607</v>
      </c>
      <c r="J116" s="1">
        <v>44624</v>
      </c>
    </row>
    <row r="117" spans="1:10" x14ac:dyDescent="0.3">
      <c r="A117" t="s">
        <v>1226</v>
      </c>
      <c r="B117" t="s">
        <v>1760</v>
      </c>
      <c r="C117" t="s">
        <v>2048</v>
      </c>
      <c r="D117">
        <v>30</v>
      </c>
      <c r="E117" t="s">
        <v>2165</v>
      </c>
      <c r="F117" t="s">
        <v>2557</v>
      </c>
      <c r="G117" t="s">
        <v>2576</v>
      </c>
      <c r="H117" t="s">
        <v>2602</v>
      </c>
      <c r="I117" t="s">
        <v>2606</v>
      </c>
      <c r="J117" s="1">
        <v>45443</v>
      </c>
    </row>
    <row r="118" spans="1:10" x14ac:dyDescent="0.3">
      <c r="A118" t="s">
        <v>1164</v>
      </c>
      <c r="B118" t="s">
        <v>1665</v>
      </c>
      <c r="C118" t="s">
        <v>2048</v>
      </c>
      <c r="E118" t="s">
        <v>2166</v>
      </c>
      <c r="F118" t="s">
        <v>2570</v>
      </c>
      <c r="G118" t="s">
        <v>2590</v>
      </c>
      <c r="H118" t="s">
        <v>2605</v>
      </c>
      <c r="I118" t="s">
        <v>2606</v>
      </c>
      <c r="J118" s="1">
        <v>45446</v>
      </c>
    </row>
    <row r="119" spans="1:10" x14ac:dyDescent="0.3">
      <c r="A119" t="s">
        <v>1154</v>
      </c>
      <c r="B119" t="s">
        <v>1761</v>
      </c>
      <c r="C119" t="s">
        <v>2049</v>
      </c>
      <c r="D119">
        <v>35</v>
      </c>
      <c r="E119" t="s">
        <v>2167</v>
      </c>
      <c r="F119" t="s">
        <v>2558</v>
      </c>
      <c r="G119" t="s">
        <v>2558</v>
      </c>
      <c r="H119" t="s">
        <v>2603</v>
      </c>
      <c r="I119" t="s">
        <v>2606</v>
      </c>
      <c r="J119" s="1">
        <v>45060</v>
      </c>
    </row>
    <row r="120" spans="1:10" x14ac:dyDescent="0.3">
      <c r="A120" t="s">
        <v>1309</v>
      </c>
      <c r="B120" t="s">
        <v>1762</v>
      </c>
      <c r="C120" t="s">
        <v>2049</v>
      </c>
      <c r="D120">
        <v>40</v>
      </c>
      <c r="E120" t="s">
        <v>2168</v>
      </c>
      <c r="F120" t="s">
        <v>2566</v>
      </c>
      <c r="G120" t="s">
        <v>2584</v>
      </c>
      <c r="H120" t="s">
        <v>2601</v>
      </c>
      <c r="I120" t="s">
        <v>2606</v>
      </c>
      <c r="J120" s="1">
        <v>45475</v>
      </c>
    </row>
    <row r="121" spans="1:10" x14ac:dyDescent="0.3">
      <c r="A121" t="s">
        <v>1047</v>
      </c>
      <c r="B121" t="s">
        <v>1763</v>
      </c>
      <c r="C121" t="s">
        <v>2048</v>
      </c>
      <c r="D121">
        <v>30</v>
      </c>
      <c r="E121" t="s">
        <v>2169</v>
      </c>
      <c r="F121" t="s">
        <v>2550</v>
      </c>
      <c r="G121" t="s">
        <v>2573</v>
      </c>
      <c r="H121" t="s">
        <v>2601</v>
      </c>
      <c r="I121" t="s">
        <v>2608</v>
      </c>
      <c r="J121" s="1">
        <v>44575</v>
      </c>
    </row>
    <row r="122" spans="1:10" x14ac:dyDescent="0.3">
      <c r="A122" t="s">
        <v>1541</v>
      </c>
      <c r="B122" t="s">
        <v>1758</v>
      </c>
      <c r="C122" t="s">
        <v>2048</v>
      </c>
      <c r="D122">
        <v>31</v>
      </c>
      <c r="E122" t="s">
        <v>2170</v>
      </c>
      <c r="F122" t="s">
        <v>2551</v>
      </c>
      <c r="G122" t="s">
        <v>2574</v>
      </c>
      <c r="H122" t="s">
        <v>2602</v>
      </c>
      <c r="I122" t="s">
        <v>2606</v>
      </c>
      <c r="J122" s="1">
        <v>45748</v>
      </c>
    </row>
    <row r="123" spans="1:10" x14ac:dyDescent="0.3">
      <c r="A123" t="s">
        <v>1271</v>
      </c>
      <c r="B123" t="s">
        <v>1764</v>
      </c>
      <c r="C123" t="s">
        <v>2049</v>
      </c>
      <c r="D123">
        <v>53</v>
      </c>
      <c r="E123" t="s">
        <v>2171</v>
      </c>
      <c r="F123" t="s">
        <v>2559</v>
      </c>
      <c r="G123" t="s">
        <v>2559</v>
      </c>
      <c r="H123" t="s">
        <v>2603</v>
      </c>
      <c r="I123" t="s">
        <v>2607</v>
      </c>
      <c r="J123" s="1">
        <v>45047</v>
      </c>
    </row>
    <row r="124" spans="1:10" x14ac:dyDescent="0.3">
      <c r="A124" t="s">
        <v>1166</v>
      </c>
      <c r="B124" t="s">
        <v>1725</v>
      </c>
      <c r="C124" t="s">
        <v>2049</v>
      </c>
      <c r="D124">
        <v>25</v>
      </c>
      <c r="E124" t="s">
        <v>2172</v>
      </c>
      <c r="F124" t="s">
        <v>2572</v>
      </c>
      <c r="G124" t="s">
        <v>2582</v>
      </c>
      <c r="H124" t="s">
        <v>2601</v>
      </c>
      <c r="I124" t="s">
        <v>2608</v>
      </c>
      <c r="J124" s="1">
        <v>45053</v>
      </c>
    </row>
    <row r="125" spans="1:10" x14ac:dyDescent="0.3">
      <c r="A125" t="s">
        <v>1542</v>
      </c>
      <c r="B125" t="s">
        <v>1651</v>
      </c>
      <c r="C125" t="s">
        <v>2048</v>
      </c>
      <c r="D125">
        <v>42</v>
      </c>
      <c r="E125" t="s">
        <v>2173</v>
      </c>
      <c r="F125" t="s">
        <v>2550</v>
      </c>
      <c r="G125" t="s">
        <v>2573</v>
      </c>
      <c r="H125" t="s">
        <v>2601</v>
      </c>
      <c r="I125" t="s">
        <v>2607</v>
      </c>
      <c r="J125" s="1">
        <v>45051</v>
      </c>
    </row>
    <row r="126" spans="1:10" x14ac:dyDescent="0.3">
      <c r="A126" t="s">
        <v>1004</v>
      </c>
      <c r="B126" t="s">
        <v>1699</v>
      </c>
      <c r="C126" t="s">
        <v>2049</v>
      </c>
      <c r="D126">
        <v>41</v>
      </c>
      <c r="E126" t="s">
        <v>2174</v>
      </c>
      <c r="F126" t="s">
        <v>2557</v>
      </c>
      <c r="G126" t="s">
        <v>2576</v>
      </c>
      <c r="H126" t="s">
        <v>2602</v>
      </c>
      <c r="I126" t="s">
        <v>2606</v>
      </c>
      <c r="J126" s="1">
        <v>45550</v>
      </c>
    </row>
    <row r="127" spans="1:10" x14ac:dyDescent="0.3">
      <c r="A127" t="s">
        <v>1111</v>
      </c>
      <c r="B127" t="s">
        <v>1739</v>
      </c>
      <c r="C127" t="s">
        <v>2048</v>
      </c>
      <c r="E127" t="s">
        <v>2175</v>
      </c>
      <c r="F127" t="s">
        <v>2561</v>
      </c>
      <c r="G127" t="s">
        <v>2580</v>
      </c>
      <c r="H127" t="s">
        <v>2601</v>
      </c>
      <c r="I127" t="s">
        <v>2608</v>
      </c>
      <c r="J127" s="1">
        <v>44862</v>
      </c>
    </row>
    <row r="128" spans="1:10" x14ac:dyDescent="0.3">
      <c r="A128" t="s">
        <v>1264</v>
      </c>
      <c r="B128" t="s">
        <v>1765</v>
      </c>
      <c r="C128" t="s">
        <v>2048</v>
      </c>
      <c r="D128">
        <v>28</v>
      </c>
      <c r="E128" t="s">
        <v>2176</v>
      </c>
      <c r="F128" t="s">
        <v>2552</v>
      </c>
      <c r="G128" t="s">
        <v>2575</v>
      </c>
      <c r="H128" t="s">
        <v>2603</v>
      </c>
      <c r="I128" t="s">
        <v>2608</v>
      </c>
      <c r="J128" s="1">
        <v>45870</v>
      </c>
    </row>
    <row r="129" spans="1:10" x14ac:dyDescent="0.3">
      <c r="A129" t="s">
        <v>1188</v>
      </c>
      <c r="B129" t="s">
        <v>1766</v>
      </c>
      <c r="C129" t="s">
        <v>2048</v>
      </c>
      <c r="D129">
        <v>18</v>
      </c>
      <c r="E129" t="s">
        <v>2177</v>
      </c>
      <c r="F129" t="s">
        <v>2550</v>
      </c>
      <c r="G129" t="s">
        <v>2573</v>
      </c>
      <c r="H129" t="s">
        <v>2601</v>
      </c>
      <c r="I129" t="s">
        <v>2608</v>
      </c>
      <c r="J129" s="1">
        <v>45320</v>
      </c>
    </row>
    <row r="130" spans="1:10" x14ac:dyDescent="0.3">
      <c r="A130" t="s">
        <v>1543</v>
      </c>
      <c r="B130" t="s">
        <v>1767</v>
      </c>
      <c r="C130" t="s">
        <v>2049</v>
      </c>
      <c r="D130">
        <v>26</v>
      </c>
      <c r="E130" t="s">
        <v>2178</v>
      </c>
      <c r="F130" t="s">
        <v>2564</v>
      </c>
      <c r="G130" t="s">
        <v>2582</v>
      </c>
      <c r="H130" t="s">
        <v>2601</v>
      </c>
      <c r="I130" t="s">
        <v>2606</v>
      </c>
      <c r="J130" s="1">
        <v>45712</v>
      </c>
    </row>
    <row r="131" spans="1:10" x14ac:dyDescent="0.3">
      <c r="A131" t="s">
        <v>1096</v>
      </c>
      <c r="B131" t="s">
        <v>1768</v>
      </c>
      <c r="C131" t="s">
        <v>2049</v>
      </c>
      <c r="D131">
        <v>40</v>
      </c>
      <c r="E131" t="s">
        <v>2179</v>
      </c>
      <c r="F131" t="s">
        <v>2554</v>
      </c>
      <c r="G131" t="s">
        <v>2577</v>
      </c>
      <c r="H131" t="s">
        <v>2601</v>
      </c>
      <c r="I131" t="s">
        <v>2606</v>
      </c>
      <c r="J131" s="1">
        <v>45497</v>
      </c>
    </row>
    <row r="132" spans="1:10" x14ac:dyDescent="0.3">
      <c r="A132" t="s">
        <v>1544</v>
      </c>
      <c r="B132" t="s">
        <v>1769</v>
      </c>
      <c r="C132" t="s">
        <v>2048</v>
      </c>
      <c r="D132">
        <v>44</v>
      </c>
      <c r="E132" t="s">
        <v>2180</v>
      </c>
      <c r="F132" t="s">
        <v>2569</v>
      </c>
      <c r="G132" t="s">
        <v>2594</v>
      </c>
      <c r="H132" t="s">
        <v>2604</v>
      </c>
      <c r="I132" t="s">
        <v>2606</v>
      </c>
      <c r="J132" s="1">
        <v>45514</v>
      </c>
    </row>
    <row r="133" spans="1:10" x14ac:dyDescent="0.3">
      <c r="A133" t="s">
        <v>1259</v>
      </c>
      <c r="B133" t="s">
        <v>1770</v>
      </c>
      <c r="C133" t="s">
        <v>2048</v>
      </c>
      <c r="D133">
        <v>37</v>
      </c>
      <c r="E133" t="s">
        <v>2181</v>
      </c>
      <c r="F133" t="s">
        <v>2567</v>
      </c>
      <c r="G133" t="s">
        <v>2585</v>
      </c>
      <c r="H133" t="s">
        <v>2604</v>
      </c>
      <c r="I133" t="s">
        <v>2608</v>
      </c>
      <c r="J133" s="1">
        <v>45110</v>
      </c>
    </row>
    <row r="134" spans="1:10" x14ac:dyDescent="0.3">
      <c r="A134" t="s">
        <v>1545</v>
      </c>
      <c r="B134" t="s">
        <v>1771</v>
      </c>
      <c r="C134" t="s">
        <v>2049</v>
      </c>
      <c r="D134">
        <v>29</v>
      </c>
      <c r="E134" t="s">
        <v>2182</v>
      </c>
      <c r="F134" t="s">
        <v>2561</v>
      </c>
      <c r="G134" t="s">
        <v>2580</v>
      </c>
      <c r="H134" t="s">
        <v>2601</v>
      </c>
      <c r="I134" t="s">
        <v>2607</v>
      </c>
      <c r="J134" s="1">
        <v>45322</v>
      </c>
    </row>
    <row r="135" spans="1:10" x14ac:dyDescent="0.3">
      <c r="A135" t="s">
        <v>1081</v>
      </c>
      <c r="B135" t="s">
        <v>1772</v>
      </c>
      <c r="C135" t="s">
        <v>2049</v>
      </c>
      <c r="D135">
        <v>29</v>
      </c>
      <c r="E135" t="s">
        <v>2183</v>
      </c>
      <c r="F135" t="s">
        <v>2567</v>
      </c>
      <c r="G135" t="s">
        <v>2585</v>
      </c>
      <c r="H135" t="s">
        <v>2604</v>
      </c>
      <c r="I135" t="s">
        <v>2606</v>
      </c>
      <c r="J135" s="1">
        <v>45795</v>
      </c>
    </row>
    <row r="136" spans="1:10" x14ac:dyDescent="0.3">
      <c r="A136" t="s">
        <v>1546</v>
      </c>
      <c r="B136" t="s">
        <v>1773</v>
      </c>
      <c r="C136" t="s">
        <v>2048</v>
      </c>
      <c r="D136">
        <v>40</v>
      </c>
      <c r="E136" t="s">
        <v>2184</v>
      </c>
      <c r="F136" t="s">
        <v>2570</v>
      </c>
      <c r="G136" t="s">
        <v>2590</v>
      </c>
      <c r="H136" t="s">
        <v>2605</v>
      </c>
      <c r="I136" t="s">
        <v>2606</v>
      </c>
      <c r="J136" s="1">
        <v>45313</v>
      </c>
    </row>
    <row r="137" spans="1:10" x14ac:dyDescent="0.3">
      <c r="A137" t="s">
        <v>1303</v>
      </c>
      <c r="B137" t="s">
        <v>1774</v>
      </c>
      <c r="C137" t="s">
        <v>2048</v>
      </c>
      <c r="D137">
        <v>49</v>
      </c>
      <c r="E137" t="s">
        <v>2185</v>
      </c>
      <c r="F137" t="s">
        <v>2564</v>
      </c>
      <c r="G137" t="s">
        <v>2582</v>
      </c>
      <c r="H137" t="s">
        <v>2601</v>
      </c>
      <c r="I137" t="s">
        <v>2606</v>
      </c>
      <c r="J137" s="1">
        <v>44711</v>
      </c>
    </row>
    <row r="138" spans="1:10" x14ac:dyDescent="0.3">
      <c r="A138" t="s">
        <v>1108</v>
      </c>
      <c r="B138" t="s">
        <v>1775</v>
      </c>
      <c r="C138" t="s">
        <v>2049</v>
      </c>
      <c r="D138">
        <v>34</v>
      </c>
      <c r="E138" t="s">
        <v>2186</v>
      </c>
      <c r="F138" t="s">
        <v>2565</v>
      </c>
      <c r="G138" t="s">
        <v>2583</v>
      </c>
      <c r="H138" t="s">
        <v>2604</v>
      </c>
      <c r="I138" t="s">
        <v>2608</v>
      </c>
      <c r="J138" s="1">
        <v>44852</v>
      </c>
    </row>
    <row r="139" spans="1:10" x14ac:dyDescent="0.3">
      <c r="A139" t="s">
        <v>1155</v>
      </c>
      <c r="B139" t="s">
        <v>1776</v>
      </c>
      <c r="C139" t="s">
        <v>2048</v>
      </c>
      <c r="D139">
        <v>54</v>
      </c>
      <c r="E139" t="s">
        <v>2187</v>
      </c>
      <c r="F139" t="s">
        <v>2561</v>
      </c>
      <c r="G139" t="s">
        <v>2580</v>
      </c>
      <c r="H139" t="s">
        <v>2601</v>
      </c>
      <c r="I139" t="s">
        <v>2606</v>
      </c>
      <c r="J139" s="1">
        <v>45820</v>
      </c>
    </row>
    <row r="140" spans="1:10" x14ac:dyDescent="0.3">
      <c r="A140" t="s">
        <v>1547</v>
      </c>
      <c r="B140" t="s">
        <v>1667</v>
      </c>
      <c r="C140" t="s">
        <v>2048</v>
      </c>
      <c r="D140">
        <v>24</v>
      </c>
      <c r="E140" t="s">
        <v>2188</v>
      </c>
      <c r="F140" t="s">
        <v>2556</v>
      </c>
      <c r="G140" t="s">
        <v>2574</v>
      </c>
      <c r="H140" t="s">
        <v>2602</v>
      </c>
      <c r="I140" t="s">
        <v>2606</v>
      </c>
      <c r="J140" s="1">
        <v>45778</v>
      </c>
    </row>
    <row r="141" spans="1:10" x14ac:dyDescent="0.3">
      <c r="A141" t="s">
        <v>1110</v>
      </c>
      <c r="B141" t="s">
        <v>1777</v>
      </c>
      <c r="C141" t="s">
        <v>2048</v>
      </c>
      <c r="D141">
        <v>18</v>
      </c>
      <c r="E141" t="s">
        <v>2189</v>
      </c>
      <c r="F141" t="s">
        <v>2558</v>
      </c>
      <c r="G141" t="s">
        <v>2558</v>
      </c>
      <c r="H141" t="s">
        <v>2603</v>
      </c>
      <c r="I141" t="s">
        <v>2607</v>
      </c>
      <c r="J141" s="1">
        <v>45862</v>
      </c>
    </row>
    <row r="142" spans="1:10" x14ac:dyDescent="0.3">
      <c r="A142" t="s">
        <v>1548</v>
      </c>
      <c r="B142" t="s">
        <v>1778</v>
      </c>
      <c r="C142" t="s">
        <v>2048</v>
      </c>
      <c r="D142">
        <v>42</v>
      </c>
      <c r="E142" t="s">
        <v>2190</v>
      </c>
      <c r="F142" t="s">
        <v>2571</v>
      </c>
      <c r="G142" t="s">
        <v>2590</v>
      </c>
      <c r="H142" t="s">
        <v>2605</v>
      </c>
      <c r="I142" t="s">
        <v>2607</v>
      </c>
      <c r="J142" s="1">
        <v>44746</v>
      </c>
    </row>
    <row r="143" spans="1:10" x14ac:dyDescent="0.3">
      <c r="A143" t="s">
        <v>1073</v>
      </c>
      <c r="B143" t="s">
        <v>1779</v>
      </c>
      <c r="C143" t="s">
        <v>2049</v>
      </c>
      <c r="D143">
        <v>52</v>
      </c>
      <c r="E143" t="s">
        <v>2191</v>
      </c>
      <c r="F143" t="s">
        <v>2570</v>
      </c>
      <c r="G143" t="s">
        <v>2590</v>
      </c>
      <c r="H143" t="s">
        <v>2605</v>
      </c>
      <c r="I143" t="s">
        <v>2607</v>
      </c>
      <c r="J143" s="1">
        <v>45571</v>
      </c>
    </row>
    <row r="144" spans="1:10" x14ac:dyDescent="0.3">
      <c r="A144" t="s">
        <v>1549</v>
      </c>
      <c r="B144" t="s">
        <v>1780</v>
      </c>
      <c r="C144" t="s">
        <v>2049</v>
      </c>
      <c r="D144">
        <v>19</v>
      </c>
      <c r="E144" t="s">
        <v>2192</v>
      </c>
      <c r="F144" t="s">
        <v>2550</v>
      </c>
      <c r="G144" t="s">
        <v>2573</v>
      </c>
      <c r="H144" t="s">
        <v>2601</v>
      </c>
      <c r="I144" t="s">
        <v>2608</v>
      </c>
      <c r="J144" s="1">
        <v>45905</v>
      </c>
    </row>
    <row r="145" spans="1:10" x14ac:dyDescent="0.3">
      <c r="A145" t="s">
        <v>1310</v>
      </c>
      <c r="B145" t="s">
        <v>1781</v>
      </c>
      <c r="C145" t="s">
        <v>2048</v>
      </c>
      <c r="D145">
        <v>28</v>
      </c>
      <c r="E145" t="s">
        <v>2193</v>
      </c>
      <c r="F145" t="s">
        <v>2555</v>
      </c>
      <c r="G145" t="s">
        <v>2578</v>
      </c>
      <c r="H145" t="s">
        <v>2603</v>
      </c>
      <c r="I145" t="s">
        <v>2608</v>
      </c>
      <c r="J145" s="1">
        <v>45390</v>
      </c>
    </row>
    <row r="146" spans="1:10" x14ac:dyDescent="0.3">
      <c r="A146" t="s">
        <v>1550</v>
      </c>
      <c r="B146" t="s">
        <v>1782</v>
      </c>
      <c r="C146" t="s">
        <v>2049</v>
      </c>
      <c r="E146" t="s">
        <v>2194</v>
      </c>
      <c r="F146" t="s">
        <v>2569</v>
      </c>
      <c r="G146" t="s">
        <v>2594</v>
      </c>
      <c r="H146" t="s">
        <v>2604</v>
      </c>
      <c r="I146" t="s">
        <v>2608</v>
      </c>
      <c r="J146" s="1">
        <v>45691</v>
      </c>
    </row>
    <row r="147" spans="1:10" x14ac:dyDescent="0.3">
      <c r="A147" t="s">
        <v>1122</v>
      </c>
      <c r="B147" t="s">
        <v>1783</v>
      </c>
      <c r="C147" t="s">
        <v>2048</v>
      </c>
      <c r="D147">
        <v>38</v>
      </c>
      <c r="E147" t="s">
        <v>2195</v>
      </c>
      <c r="F147" t="s">
        <v>2569</v>
      </c>
      <c r="G147" t="s">
        <v>2587</v>
      </c>
      <c r="H147" t="s">
        <v>2604</v>
      </c>
      <c r="I147" t="s">
        <v>2606</v>
      </c>
      <c r="J147" s="1">
        <v>45076</v>
      </c>
    </row>
    <row r="148" spans="1:10" x14ac:dyDescent="0.3">
      <c r="A148" t="s">
        <v>993</v>
      </c>
      <c r="B148" t="s">
        <v>1784</v>
      </c>
      <c r="C148" t="s">
        <v>2048</v>
      </c>
      <c r="E148" t="s">
        <v>2196</v>
      </c>
      <c r="F148" t="s">
        <v>2563</v>
      </c>
      <c r="G148" t="s">
        <v>2595</v>
      </c>
      <c r="H148" t="s">
        <v>2604</v>
      </c>
      <c r="I148" t="s">
        <v>2606</v>
      </c>
      <c r="J148" s="1">
        <v>45006</v>
      </c>
    </row>
    <row r="149" spans="1:10" x14ac:dyDescent="0.3">
      <c r="A149" t="s">
        <v>1551</v>
      </c>
      <c r="B149" t="s">
        <v>1785</v>
      </c>
      <c r="C149" t="s">
        <v>2048</v>
      </c>
      <c r="D149">
        <v>53</v>
      </c>
      <c r="E149" t="s">
        <v>2197</v>
      </c>
      <c r="F149" t="s">
        <v>2555</v>
      </c>
      <c r="G149" t="s">
        <v>2578</v>
      </c>
      <c r="H149" t="s">
        <v>2603</v>
      </c>
      <c r="I149" t="s">
        <v>2606</v>
      </c>
      <c r="J149" s="1">
        <v>44965</v>
      </c>
    </row>
    <row r="150" spans="1:10" x14ac:dyDescent="0.3">
      <c r="A150" t="s">
        <v>1220</v>
      </c>
      <c r="B150" t="s">
        <v>1667</v>
      </c>
      <c r="C150" t="s">
        <v>2048</v>
      </c>
      <c r="D150">
        <v>28</v>
      </c>
      <c r="E150" t="s">
        <v>2198</v>
      </c>
      <c r="F150" t="s">
        <v>2570</v>
      </c>
      <c r="G150" t="s">
        <v>2590</v>
      </c>
      <c r="H150" t="s">
        <v>2605</v>
      </c>
      <c r="I150" t="s">
        <v>2606</v>
      </c>
      <c r="J150" s="1">
        <v>45593</v>
      </c>
    </row>
    <row r="151" spans="1:10" x14ac:dyDescent="0.3">
      <c r="A151" t="s">
        <v>1126</v>
      </c>
      <c r="B151" t="s">
        <v>1786</v>
      </c>
      <c r="C151" t="s">
        <v>2049</v>
      </c>
      <c r="D151">
        <v>30</v>
      </c>
      <c r="E151" t="s">
        <v>2199</v>
      </c>
      <c r="F151" t="s">
        <v>2558</v>
      </c>
      <c r="G151" t="s">
        <v>2558</v>
      </c>
      <c r="H151" t="s">
        <v>2603</v>
      </c>
      <c r="I151" t="s">
        <v>2606</v>
      </c>
      <c r="J151" s="1">
        <v>45573</v>
      </c>
    </row>
    <row r="152" spans="1:10" x14ac:dyDescent="0.3">
      <c r="A152" t="s">
        <v>1184</v>
      </c>
      <c r="B152" t="s">
        <v>1787</v>
      </c>
      <c r="C152" t="s">
        <v>2049</v>
      </c>
      <c r="D152">
        <v>18</v>
      </c>
      <c r="E152" t="s">
        <v>2200</v>
      </c>
      <c r="F152" t="s">
        <v>2554</v>
      </c>
      <c r="G152" t="s">
        <v>2577</v>
      </c>
      <c r="H152" t="s">
        <v>2601</v>
      </c>
      <c r="I152" t="s">
        <v>2607</v>
      </c>
      <c r="J152" s="1">
        <v>45446</v>
      </c>
    </row>
    <row r="153" spans="1:10" x14ac:dyDescent="0.3">
      <c r="A153" t="s">
        <v>1238</v>
      </c>
      <c r="B153" t="s">
        <v>1788</v>
      </c>
      <c r="C153" t="s">
        <v>2048</v>
      </c>
      <c r="D153">
        <v>48</v>
      </c>
      <c r="E153" t="s">
        <v>2201</v>
      </c>
      <c r="F153" t="s">
        <v>2565</v>
      </c>
      <c r="G153" t="s">
        <v>2583</v>
      </c>
      <c r="H153" t="s">
        <v>2604</v>
      </c>
      <c r="I153" t="s">
        <v>2607</v>
      </c>
      <c r="J153" s="1">
        <v>45941</v>
      </c>
    </row>
    <row r="154" spans="1:10" x14ac:dyDescent="0.3">
      <c r="A154" t="s">
        <v>1118</v>
      </c>
      <c r="B154" t="s">
        <v>1789</v>
      </c>
      <c r="C154" t="s">
        <v>2048</v>
      </c>
      <c r="D154">
        <v>32</v>
      </c>
      <c r="E154" t="s">
        <v>2202</v>
      </c>
      <c r="F154" t="s">
        <v>2564</v>
      </c>
      <c r="G154" t="s">
        <v>2582</v>
      </c>
      <c r="H154" t="s">
        <v>2601</v>
      </c>
      <c r="I154" t="s">
        <v>2606</v>
      </c>
      <c r="J154" s="1">
        <v>45214</v>
      </c>
    </row>
    <row r="155" spans="1:10" x14ac:dyDescent="0.3">
      <c r="A155" t="s">
        <v>1552</v>
      </c>
      <c r="B155" t="s">
        <v>1790</v>
      </c>
      <c r="C155" t="s">
        <v>2048</v>
      </c>
      <c r="D155">
        <v>24</v>
      </c>
      <c r="E155" t="s">
        <v>2203</v>
      </c>
      <c r="F155" t="s">
        <v>2556</v>
      </c>
      <c r="G155" t="s">
        <v>2574</v>
      </c>
      <c r="H155" t="s">
        <v>2602</v>
      </c>
      <c r="I155" t="s">
        <v>2606</v>
      </c>
      <c r="J155" s="1">
        <v>45373</v>
      </c>
    </row>
    <row r="156" spans="1:10" x14ac:dyDescent="0.3">
      <c r="A156" t="s">
        <v>1553</v>
      </c>
      <c r="B156" t="s">
        <v>1791</v>
      </c>
      <c r="C156" t="s">
        <v>2049</v>
      </c>
      <c r="D156">
        <v>38</v>
      </c>
      <c r="E156" t="s">
        <v>2204</v>
      </c>
      <c r="F156" t="s">
        <v>2561</v>
      </c>
      <c r="G156" t="s">
        <v>2580</v>
      </c>
      <c r="H156" t="s">
        <v>2601</v>
      </c>
      <c r="I156" t="s">
        <v>2606</v>
      </c>
      <c r="J156" s="1">
        <v>44685</v>
      </c>
    </row>
    <row r="157" spans="1:10" x14ac:dyDescent="0.3">
      <c r="A157" t="s">
        <v>995</v>
      </c>
      <c r="B157" t="s">
        <v>1766</v>
      </c>
      <c r="C157" t="s">
        <v>2048</v>
      </c>
      <c r="D157">
        <v>40</v>
      </c>
      <c r="E157" t="s">
        <v>2205</v>
      </c>
      <c r="F157" t="s">
        <v>2550</v>
      </c>
      <c r="G157" t="s">
        <v>2573</v>
      </c>
      <c r="H157" t="s">
        <v>2601</v>
      </c>
      <c r="I157" t="s">
        <v>2606</v>
      </c>
      <c r="J157" s="1">
        <v>44965</v>
      </c>
    </row>
    <row r="158" spans="1:10" x14ac:dyDescent="0.3">
      <c r="A158" t="s">
        <v>1003</v>
      </c>
      <c r="B158" t="s">
        <v>1792</v>
      </c>
      <c r="C158" t="s">
        <v>2049</v>
      </c>
      <c r="D158">
        <v>31</v>
      </c>
      <c r="E158" t="s">
        <v>2206</v>
      </c>
      <c r="F158" t="s">
        <v>2553</v>
      </c>
      <c r="G158" t="s">
        <v>2576</v>
      </c>
      <c r="H158" t="s">
        <v>2602</v>
      </c>
      <c r="I158" t="s">
        <v>2606</v>
      </c>
      <c r="J158" s="1">
        <v>45366</v>
      </c>
    </row>
    <row r="159" spans="1:10" x14ac:dyDescent="0.3">
      <c r="A159" t="s">
        <v>1041</v>
      </c>
      <c r="B159" t="s">
        <v>1793</v>
      </c>
      <c r="C159" t="s">
        <v>2049</v>
      </c>
      <c r="D159">
        <v>40</v>
      </c>
      <c r="E159" t="s">
        <v>2207</v>
      </c>
      <c r="F159" t="s">
        <v>2555</v>
      </c>
      <c r="G159" t="s">
        <v>2578</v>
      </c>
      <c r="H159" t="s">
        <v>2603</v>
      </c>
      <c r="I159" t="s">
        <v>2608</v>
      </c>
      <c r="J159" s="1">
        <v>44774</v>
      </c>
    </row>
    <row r="160" spans="1:10" x14ac:dyDescent="0.3">
      <c r="A160" t="s">
        <v>1554</v>
      </c>
      <c r="B160" t="s">
        <v>1794</v>
      </c>
      <c r="C160" t="s">
        <v>2049</v>
      </c>
      <c r="D160">
        <v>39</v>
      </c>
      <c r="E160" t="s">
        <v>2208</v>
      </c>
      <c r="F160" t="s">
        <v>2560</v>
      </c>
      <c r="G160" t="s">
        <v>2579</v>
      </c>
      <c r="H160" t="s">
        <v>2604</v>
      </c>
      <c r="I160" t="s">
        <v>2607</v>
      </c>
      <c r="J160" s="1">
        <v>45505</v>
      </c>
    </row>
    <row r="161" spans="1:10" x14ac:dyDescent="0.3">
      <c r="A161" t="s">
        <v>1275</v>
      </c>
      <c r="B161" t="s">
        <v>1795</v>
      </c>
      <c r="C161" t="s">
        <v>2048</v>
      </c>
      <c r="D161">
        <v>46</v>
      </c>
      <c r="E161" t="s">
        <v>2209</v>
      </c>
      <c r="F161" t="s">
        <v>2558</v>
      </c>
      <c r="G161" t="s">
        <v>2558</v>
      </c>
      <c r="H161" t="s">
        <v>2603</v>
      </c>
      <c r="I161" t="s">
        <v>2606</v>
      </c>
      <c r="J161" s="1">
        <v>45493</v>
      </c>
    </row>
    <row r="162" spans="1:10" x14ac:dyDescent="0.3">
      <c r="A162" t="s">
        <v>1325</v>
      </c>
      <c r="B162" t="s">
        <v>1796</v>
      </c>
      <c r="C162" t="s">
        <v>2048</v>
      </c>
      <c r="D162">
        <v>34</v>
      </c>
      <c r="E162" t="s">
        <v>2210</v>
      </c>
      <c r="F162" t="s">
        <v>2564</v>
      </c>
      <c r="G162" t="s">
        <v>2582</v>
      </c>
      <c r="H162" t="s">
        <v>2601</v>
      </c>
      <c r="I162" t="s">
        <v>2608</v>
      </c>
      <c r="J162" s="1">
        <v>45449</v>
      </c>
    </row>
    <row r="163" spans="1:10" x14ac:dyDescent="0.3">
      <c r="A163" t="s">
        <v>1117</v>
      </c>
      <c r="B163" t="s">
        <v>1797</v>
      </c>
      <c r="C163" t="s">
        <v>2049</v>
      </c>
      <c r="D163">
        <v>41</v>
      </c>
      <c r="E163" t="s">
        <v>2211</v>
      </c>
      <c r="F163" t="s">
        <v>2557</v>
      </c>
      <c r="G163" t="s">
        <v>2576</v>
      </c>
      <c r="H163" t="s">
        <v>2602</v>
      </c>
      <c r="I163" t="s">
        <v>2606</v>
      </c>
      <c r="J163" s="1">
        <v>45658</v>
      </c>
    </row>
    <row r="164" spans="1:10" x14ac:dyDescent="0.3">
      <c r="A164" t="s">
        <v>1555</v>
      </c>
      <c r="B164" t="s">
        <v>1798</v>
      </c>
      <c r="C164" t="s">
        <v>2049</v>
      </c>
      <c r="D164">
        <v>27</v>
      </c>
      <c r="E164" t="s">
        <v>2212</v>
      </c>
      <c r="F164" t="s">
        <v>2556</v>
      </c>
      <c r="G164" t="s">
        <v>2574</v>
      </c>
      <c r="H164" t="s">
        <v>2602</v>
      </c>
      <c r="I164" t="s">
        <v>2608</v>
      </c>
      <c r="J164" s="1">
        <v>45294</v>
      </c>
    </row>
    <row r="165" spans="1:10" x14ac:dyDescent="0.3">
      <c r="A165" t="s">
        <v>1181</v>
      </c>
      <c r="B165" t="s">
        <v>1766</v>
      </c>
      <c r="C165" t="s">
        <v>2048</v>
      </c>
      <c r="D165">
        <v>48</v>
      </c>
      <c r="E165" t="s">
        <v>2213</v>
      </c>
      <c r="F165" t="s">
        <v>2570</v>
      </c>
      <c r="G165" t="s">
        <v>2590</v>
      </c>
      <c r="H165" t="s">
        <v>2605</v>
      </c>
      <c r="I165" t="s">
        <v>2608</v>
      </c>
      <c r="J165" s="1">
        <v>45610</v>
      </c>
    </row>
    <row r="166" spans="1:10" x14ac:dyDescent="0.3">
      <c r="A166" t="s">
        <v>1556</v>
      </c>
      <c r="B166" t="s">
        <v>1799</v>
      </c>
      <c r="C166" t="s">
        <v>2048</v>
      </c>
      <c r="D166">
        <v>28</v>
      </c>
      <c r="E166" t="s">
        <v>2214</v>
      </c>
      <c r="F166" t="s">
        <v>2557</v>
      </c>
      <c r="G166" t="s">
        <v>2576</v>
      </c>
      <c r="H166" t="s">
        <v>2602</v>
      </c>
      <c r="I166" t="s">
        <v>2606</v>
      </c>
      <c r="J166" s="1">
        <v>45268</v>
      </c>
    </row>
    <row r="167" spans="1:10" x14ac:dyDescent="0.3">
      <c r="A167" t="s">
        <v>1136</v>
      </c>
      <c r="B167" t="s">
        <v>1800</v>
      </c>
      <c r="C167" t="s">
        <v>2048</v>
      </c>
      <c r="D167">
        <v>32</v>
      </c>
      <c r="E167" t="s">
        <v>2215</v>
      </c>
      <c r="F167" t="s">
        <v>2555</v>
      </c>
      <c r="G167" t="s">
        <v>2578</v>
      </c>
      <c r="H167" t="s">
        <v>2603</v>
      </c>
      <c r="I167" t="s">
        <v>2606</v>
      </c>
      <c r="J167" s="1">
        <v>45706</v>
      </c>
    </row>
    <row r="168" spans="1:10" x14ac:dyDescent="0.3">
      <c r="A168" t="s">
        <v>1063</v>
      </c>
      <c r="B168" t="s">
        <v>1801</v>
      </c>
      <c r="C168" t="s">
        <v>2049</v>
      </c>
      <c r="D168">
        <v>37</v>
      </c>
      <c r="E168" t="s">
        <v>2216</v>
      </c>
      <c r="F168" t="s">
        <v>2567</v>
      </c>
      <c r="G168" t="s">
        <v>2585</v>
      </c>
      <c r="H168" t="s">
        <v>2604</v>
      </c>
      <c r="I168" t="s">
        <v>2606</v>
      </c>
      <c r="J168" s="1">
        <v>44993</v>
      </c>
    </row>
    <row r="169" spans="1:10" x14ac:dyDescent="0.3">
      <c r="A169" t="s">
        <v>1077</v>
      </c>
      <c r="B169" t="s">
        <v>1802</v>
      </c>
      <c r="C169" t="s">
        <v>2049</v>
      </c>
      <c r="D169">
        <v>25</v>
      </c>
      <c r="E169" t="s">
        <v>2217</v>
      </c>
      <c r="F169" t="s">
        <v>2559</v>
      </c>
      <c r="G169" t="s">
        <v>2559</v>
      </c>
      <c r="H169" t="s">
        <v>2603</v>
      </c>
      <c r="I169" t="s">
        <v>2608</v>
      </c>
      <c r="J169" s="1">
        <v>45890</v>
      </c>
    </row>
    <row r="170" spans="1:10" x14ac:dyDescent="0.3">
      <c r="A170" t="s">
        <v>1557</v>
      </c>
      <c r="B170" t="s">
        <v>1803</v>
      </c>
      <c r="C170" t="s">
        <v>2049</v>
      </c>
      <c r="D170">
        <v>33</v>
      </c>
      <c r="E170" t="s">
        <v>2218</v>
      </c>
      <c r="F170" t="s">
        <v>2550</v>
      </c>
      <c r="G170" t="s">
        <v>2573</v>
      </c>
      <c r="H170" t="s">
        <v>2601</v>
      </c>
      <c r="I170" t="s">
        <v>2608</v>
      </c>
      <c r="J170" s="1">
        <v>45114</v>
      </c>
    </row>
    <row r="171" spans="1:10" x14ac:dyDescent="0.3">
      <c r="A171" t="s">
        <v>1558</v>
      </c>
      <c r="B171" t="s">
        <v>1804</v>
      </c>
      <c r="C171" t="s">
        <v>2048</v>
      </c>
      <c r="D171">
        <v>54</v>
      </c>
      <c r="E171" t="s">
        <v>2219</v>
      </c>
      <c r="F171" t="s">
        <v>2559</v>
      </c>
      <c r="G171" t="s">
        <v>2559</v>
      </c>
      <c r="H171" t="s">
        <v>2603</v>
      </c>
      <c r="I171" t="s">
        <v>2606</v>
      </c>
      <c r="J171" s="1">
        <v>45608</v>
      </c>
    </row>
    <row r="172" spans="1:10" x14ac:dyDescent="0.3">
      <c r="A172" t="s">
        <v>1059</v>
      </c>
      <c r="B172" t="s">
        <v>1805</v>
      </c>
      <c r="C172" t="s">
        <v>2048</v>
      </c>
      <c r="D172">
        <v>38</v>
      </c>
      <c r="E172" t="s">
        <v>2220</v>
      </c>
      <c r="F172" t="s">
        <v>2560</v>
      </c>
      <c r="G172" t="s">
        <v>2579</v>
      </c>
      <c r="H172" t="s">
        <v>2604</v>
      </c>
      <c r="I172" t="s">
        <v>2606</v>
      </c>
      <c r="J172" s="1">
        <v>44965</v>
      </c>
    </row>
    <row r="173" spans="1:10" x14ac:dyDescent="0.3">
      <c r="A173" t="s">
        <v>972</v>
      </c>
      <c r="B173" t="s">
        <v>1806</v>
      </c>
      <c r="C173" t="s">
        <v>2048</v>
      </c>
      <c r="D173">
        <v>27</v>
      </c>
      <c r="E173" t="s">
        <v>2221</v>
      </c>
      <c r="F173" t="s">
        <v>2555</v>
      </c>
      <c r="G173" t="s">
        <v>2578</v>
      </c>
      <c r="H173" t="s">
        <v>2603</v>
      </c>
      <c r="I173" t="s">
        <v>2606</v>
      </c>
      <c r="J173" s="1">
        <v>45117</v>
      </c>
    </row>
    <row r="174" spans="1:10" x14ac:dyDescent="0.3">
      <c r="A174" t="s">
        <v>1559</v>
      </c>
      <c r="B174" t="s">
        <v>1666</v>
      </c>
      <c r="C174" t="s">
        <v>2049</v>
      </c>
      <c r="D174">
        <v>23</v>
      </c>
      <c r="E174" t="s">
        <v>2222</v>
      </c>
      <c r="F174" t="s">
        <v>2558</v>
      </c>
      <c r="G174" t="s">
        <v>2558</v>
      </c>
      <c r="H174" t="s">
        <v>2603</v>
      </c>
      <c r="I174" t="s">
        <v>2606</v>
      </c>
      <c r="J174" s="1">
        <v>45572</v>
      </c>
    </row>
    <row r="175" spans="1:10" x14ac:dyDescent="0.3">
      <c r="A175" t="s">
        <v>1560</v>
      </c>
      <c r="B175" t="s">
        <v>1807</v>
      </c>
      <c r="C175" t="s">
        <v>2048</v>
      </c>
      <c r="D175">
        <v>37</v>
      </c>
      <c r="E175" t="s">
        <v>2223</v>
      </c>
      <c r="F175" t="s">
        <v>2564</v>
      </c>
      <c r="G175" t="s">
        <v>2582</v>
      </c>
      <c r="H175" t="s">
        <v>2601</v>
      </c>
      <c r="I175" t="s">
        <v>2607</v>
      </c>
      <c r="J175" s="1">
        <v>45166</v>
      </c>
    </row>
    <row r="176" spans="1:10" x14ac:dyDescent="0.3">
      <c r="A176" t="s">
        <v>1066</v>
      </c>
      <c r="B176" t="s">
        <v>1808</v>
      </c>
      <c r="C176" t="s">
        <v>2048</v>
      </c>
      <c r="D176">
        <v>28</v>
      </c>
      <c r="E176" t="s">
        <v>2224</v>
      </c>
      <c r="F176" t="s">
        <v>2551</v>
      </c>
      <c r="G176" t="s">
        <v>2574</v>
      </c>
      <c r="H176" t="s">
        <v>2602</v>
      </c>
      <c r="I176" t="s">
        <v>2607</v>
      </c>
      <c r="J176" s="1">
        <v>44856</v>
      </c>
    </row>
    <row r="177" spans="1:10" x14ac:dyDescent="0.3">
      <c r="A177" t="s">
        <v>977</v>
      </c>
      <c r="B177" t="s">
        <v>1809</v>
      </c>
      <c r="C177" t="s">
        <v>2049</v>
      </c>
      <c r="D177">
        <v>18</v>
      </c>
      <c r="E177" t="s">
        <v>2225</v>
      </c>
      <c r="F177" t="s">
        <v>2555</v>
      </c>
      <c r="G177" t="s">
        <v>2578</v>
      </c>
      <c r="H177" t="s">
        <v>2603</v>
      </c>
      <c r="I177" t="s">
        <v>2608</v>
      </c>
      <c r="J177" s="1">
        <v>45052</v>
      </c>
    </row>
    <row r="178" spans="1:10" x14ac:dyDescent="0.3">
      <c r="A178" t="s">
        <v>1162</v>
      </c>
      <c r="B178" t="s">
        <v>1810</v>
      </c>
      <c r="C178" t="s">
        <v>2049</v>
      </c>
      <c r="D178">
        <v>18</v>
      </c>
      <c r="E178" t="s">
        <v>2226</v>
      </c>
      <c r="F178" t="s">
        <v>2559</v>
      </c>
      <c r="G178" t="s">
        <v>2559</v>
      </c>
      <c r="H178" t="s">
        <v>2603</v>
      </c>
      <c r="I178" t="s">
        <v>2608</v>
      </c>
      <c r="J178" s="1">
        <v>45563</v>
      </c>
    </row>
    <row r="179" spans="1:10" x14ac:dyDescent="0.3">
      <c r="A179" t="s">
        <v>1236</v>
      </c>
      <c r="B179" t="s">
        <v>1811</v>
      </c>
      <c r="C179" t="s">
        <v>2048</v>
      </c>
      <c r="D179">
        <v>32</v>
      </c>
      <c r="E179" t="s">
        <v>2227</v>
      </c>
      <c r="F179" t="s">
        <v>2569</v>
      </c>
      <c r="G179" t="s">
        <v>2587</v>
      </c>
      <c r="H179" t="s">
        <v>2604</v>
      </c>
      <c r="I179" t="s">
        <v>2608</v>
      </c>
      <c r="J179" s="1">
        <v>45192</v>
      </c>
    </row>
    <row r="180" spans="1:10" x14ac:dyDescent="0.3">
      <c r="A180" t="s">
        <v>1561</v>
      </c>
      <c r="B180" t="s">
        <v>1812</v>
      </c>
      <c r="C180" t="s">
        <v>2049</v>
      </c>
      <c r="D180">
        <v>32</v>
      </c>
      <c r="E180" t="s">
        <v>2228</v>
      </c>
      <c r="F180" t="s">
        <v>2552</v>
      </c>
      <c r="G180" t="s">
        <v>2596</v>
      </c>
      <c r="H180" t="s">
        <v>2603</v>
      </c>
      <c r="I180" t="s">
        <v>2606</v>
      </c>
      <c r="J180" s="1">
        <v>45648</v>
      </c>
    </row>
    <row r="181" spans="1:10" x14ac:dyDescent="0.3">
      <c r="A181" t="s">
        <v>1195</v>
      </c>
      <c r="B181" t="s">
        <v>1813</v>
      </c>
      <c r="C181" t="s">
        <v>2049</v>
      </c>
      <c r="D181">
        <v>22</v>
      </c>
      <c r="E181" t="s">
        <v>2229</v>
      </c>
      <c r="F181" t="s">
        <v>2555</v>
      </c>
      <c r="G181" t="s">
        <v>2578</v>
      </c>
      <c r="H181" t="s">
        <v>2603</v>
      </c>
      <c r="I181" t="s">
        <v>2606</v>
      </c>
      <c r="J181" s="1">
        <v>45652</v>
      </c>
    </row>
    <row r="182" spans="1:10" x14ac:dyDescent="0.3">
      <c r="A182" t="s">
        <v>1273</v>
      </c>
      <c r="B182" t="s">
        <v>1814</v>
      </c>
      <c r="C182" t="s">
        <v>2048</v>
      </c>
      <c r="D182">
        <v>31</v>
      </c>
      <c r="E182" t="s">
        <v>2230</v>
      </c>
      <c r="F182" t="s">
        <v>2571</v>
      </c>
      <c r="G182" t="s">
        <v>2590</v>
      </c>
      <c r="H182" t="s">
        <v>2605</v>
      </c>
      <c r="I182" t="s">
        <v>2606</v>
      </c>
      <c r="J182" s="1">
        <v>45516</v>
      </c>
    </row>
    <row r="183" spans="1:10" x14ac:dyDescent="0.3">
      <c r="A183" t="s">
        <v>1211</v>
      </c>
      <c r="B183" t="s">
        <v>1815</v>
      </c>
      <c r="C183" t="s">
        <v>2048</v>
      </c>
      <c r="D183">
        <v>32</v>
      </c>
      <c r="E183" t="s">
        <v>2231</v>
      </c>
      <c r="F183" t="s">
        <v>2550</v>
      </c>
      <c r="G183" t="s">
        <v>2573</v>
      </c>
      <c r="H183" t="s">
        <v>2601</v>
      </c>
      <c r="I183" t="s">
        <v>2606</v>
      </c>
      <c r="J183" s="1">
        <v>44745</v>
      </c>
    </row>
    <row r="184" spans="1:10" x14ac:dyDescent="0.3">
      <c r="A184" t="s">
        <v>1044</v>
      </c>
      <c r="B184" t="s">
        <v>1816</v>
      </c>
      <c r="C184" t="s">
        <v>2049</v>
      </c>
      <c r="D184">
        <v>18</v>
      </c>
      <c r="E184" t="s">
        <v>2232</v>
      </c>
      <c r="F184" t="s">
        <v>2550</v>
      </c>
      <c r="G184" t="s">
        <v>2573</v>
      </c>
      <c r="H184" t="s">
        <v>2601</v>
      </c>
      <c r="I184" t="s">
        <v>2608</v>
      </c>
      <c r="J184" s="1">
        <v>45460</v>
      </c>
    </row>
    <row r="185" spans="1:10" x14ac:dyDescent="0.3">
      <c r="A185" t="s">
        <v>1562</v>
      </c>
      <c r="B185" t="s">
        <v>1817</v>
      </c>
      <c r="C185" t="s">
        <v>2049</v>
      </c>
      <c r="D185">
        <v>37</v>
      </c>
      <c r="E185" t="s">
        <v>2233</v>
      </c>
      <c r="F185" t="s">
        <v>2557</v>
      </c>
      <c r="G185" t="s">
        <v>2576</v>
      </c>
      <c r="H185" t="s">
        <v>2602</v>
      </c>
      <c r="I185" t="s">
        <v>2607</v>
      </c>
      <c r="J185" s="1">
        <v>45440</v>
      </c>
    </row>
    <row r="186" spans="1:10" x14ac:dyDescent="0.3">
      <c r="A186" t="s">
        <v>1185</v>
      </c>
      <c r="B186" t="s">
        <v>1723</v>
      </c>
      <c r="C186" t="s">
        <v>2048</v>
      </c>
      <c r="D186">
        <v>27</v>
      </c>
      <c r="E186" t="s">
        <v>2234</v>
      </c>
      <c r="F186" t="s">
        <v>2556</v>
      </c>
      <c r="G186" t="s">
        <v>2574</v>
      </c>
      <c r="H186" t="s">
        <v>2602</v>
      </c>
      <c r="I186" t="s">
        <v>2608</v>
      </c>
      <c r="J186" s="1">
        <v>44646</v>
      </c>
    </row>
    <row r="187" spans="1:10" x14ac:dyDescent="0.3">
      <c r="A187" t="s">
        <v>1169</v>
      </c>
      <c r="B187" t="s">
        <v>1787</v>
      </c>
      <c r="C187" t="s">
        <v>2049</v>
      </c>
      <c r="D187">
        <v>42</v>
      </c>
      <c r="E187" t="s">
        <v>2235</v>
      </c>
      <c r="F187" t="s">
        <v>2556</v>
      </c>
      <c r="G187" t="s">
        <v>2592</v>
      </c>
      <c r="H187" t="s">
        <v>2602</v>
      </c>
      <c r="I187" t="s">
        <v>2606</v>
      </c>
      <c r="J187" s="1">
        <v>45619</v>
      </c>
    </row>
    <row r="188" spans="1:10" x14ac:dyDescent="0.3">
      <c r="A188" t="s">
        <v>1215</v>
      </c>
      <c r="B188" t="s">
        <v>1818</v>
      </c>
      <c r="C188" t="s">
        <v>2049</v>
      </c>
      <c r="D188">
        <v>35</v>
      </c>
      <c r="E188" t="s">
        <v>2236</v>
      </c>
      <c r="F188" t="s">
        <v>2571</v>
      </c>
      <c r="G188" t="s">
        <v>2590</v>
      </c>
      <c r="H188" t="s">
        <v>2605</v>
      </c>
      <c r="I188" t="s">
        <v>2606</v>
      </c>
      <c r="J188" s="1">
        <v>45878</v>
      </c>
    </row>
    <row r="189" spans="1:10" x14ac:dyDescent="0.3">
      <c r="A189" t="s">
        <v>1167</v>
      </c>
      <c r="B189" t="s">
        <v>1819</v>
      </c>
      <c r="C189" t="s">
        <v>2048</v>
      </c>
      <c r="D189">
        <v>24</v>
      </c>
      <c r="E189" t="s">
        <v>2237</v>
      </c>
      <c r="F189" t="s">
        <v>2567</v>
      </c>
      <c r="G189" t="s">
        <v>2585</v>
      </c>
      <c r="H189" t="s">
        <v>2604</v>
      </c>
      <c r="I189" t="s">
        <v>2608</v>
      </c>
      <c r="J189" s="1">
        <v>45989</v>
      </c>
    </row>
    <row r="190" spans="1:10" x14ac:dyDescent="0.3">
      <c r="A190" t="s">
        <v>1563</v>
      </c>
      <c r="B190" t="s">
        <v>1687</v>
      </c>
      <c r="C190" t="s">
        <v>2048</v>
      </c>
      <c r="D190">
        <v>34</v>
      </c>
      <c r="E190" t="s">
        <v>2238</v>
      </c>
      <c r="F190" t="s">
        <v>2566</v>
      </c>
      <c r="G190" t="s">
        <v>2584</v>
      </c>
      <c r="H190" t="s">
        <v>2601</v>
      </c>
      <c r="I190" t="s">
        <v>2607</v>
      </c>
      <c r="J190" s="1">
        <v>45970</v>
      </c>
    </row>
    <row r="191" spans="1:10" x14ac:dyDescent="0.3">
      <c r="A191" t="s">
        <v>990</v>
      </c>
      <c r="B191" t="s">
        <v>1818</v>
      </c>
      <c r="C191" t="s">
        <v>2049</v>
      </c>
      <c r="D191">
        <v>44</v>
      </c>
      <c r="E191" t="s">
        <v>2239</v>
      </c>
      <c r="F191" t="s">
        <v>2555</v>
      </c>
      <c r="G191" t="s">
        <v>2578</v>
      </c>
      <c r="H191" t="s">
        <v>2603</v>
      </c>
      <c r="I191" t="s">
        <v>2608</v>
      </c>
      <c r="J191" s="1">
        <v>45528</v>
      </c>
    </row>
    <row r="192" spans="1:10" x14ac:dyDescent="0.3">
      <c r="A192" t="s">
        <v>1060</v>
      </c>
      <c r="B192" t="s">
        <v>1820</v>
      </c>
      <c r="C192" t="s">
        <v>2048</v>
      </c>
      <c r="D192">
        <v>18</v>
      </c>
      <c r="E192" t="s">
        <v>2240</v>
      </c>
      <c r="F192" t="s">
        <v>2555</v>
      </c>
      <c r="G192" t="s">
        <v>2578</v>
      </c>
      <c r="H192" t="s">
        <v>2603</v>
      </c>
      <c r="I192" t="s">
        <v>2606</v>
      </c>
      <c r="J192" s="1">
        <v>44762</v>
      </c>
    </row>
    <row r="193" spans="1:10" x14ac:dyDescent="0.3">
      <c r="A193" t="s">
        <v>1289</v>
      </c>
      <c r="B193" t="s">
        <v>1821</v>
      </c>
      <c r="C193" t="s">
        <v>2049</v>
      </c>
      <c r="D193">
        <v>24</v>
      </c>
      <c r="E193" t="s">
        <v>2241</v>
      </c>
      <c r="F193" t="s">
        <v>2558</v>
      </c>
      <c r="G193" t="s">
        <v>2558</v>
      </c>
      <c r="H193" t="s">
        <v>2603</v>
      </c>
      <c r="I193" t="s">
        <v>2608</v>
      </c>
      <c r="J193" s="1">
        <v>44900</v>
      </c>
    </row>
    <row r="194" spans="1:10" x14ac:dyDescent="0.3">
      <c r="A194" t="s">
        <v>1564</v>
      </c>
      <c r="B194" t="s">
        <v>1822</v>
      </c>
      <c r="C194" t="s">
        <v>2048</v>
      </c>
      <c r="D194">
        <v>19</v>
      </c>
      <c r="E194" t="s">
        <v>2242</v>
      </c>
      <c r="F194" t="s">
        <v>2566</v>
      </c>
      <c r="G194" t="s">
        <v>2584</v>
      </c>
      <c r="H194" t="s">
        <v>2601</v>
      </c>
      <c r="I194" t="s">
        <v>2607</v>
      </c>
      <c r="J194" s="1">
        <v>45184</v>
      </c>
    </row>
    <row r="195" spans="1:10" x14ac:dyDescent="0.3">
      <c r="A195" t="s">
        <v>1133</v>
      </c>
      <c r="B195" t="s">
        <v>1823</v>
      </c>
      <c r="C195" t="s">
        <v>2048</v>
      </c>
      <c r="D195">
        <v>37</v>
      </c>
      <c r="E195" t="s">
        <v>2243</v>
      </c>
      <c r="F195" t="s">
        <v>2562</v>
      </c>
      <c r="G195" t="s">
        <v>2574</v>
      </c>
      <c r="H195" t="s">
        <v>2602</v>
      </c>
      <c r="I195" t="s">
        <v>2606</v>
      </c>
      <c r="J195" s="1">
        <v>45617</v>
      </c>
    </row>
    <row r="196" spans="1:10" x14ac:dyDescent="0.3">
      <c r="A196" t="s">
        <v>1021</v>
      </c>
      <c r="B196" t="s">
        <v>1824</v>
      </c>
      <c r="C196" t="s">
        <v>2049</v>
      </c>
      <c r="D196">
        <v>33</v>
      </c>
      <c r="E196" t="s">
        <v>2244</v>
      </c>
      <c r="F196" t="s">
        <v>2563</v>
      </c>
      <c r="G196" t="s">
        <v>2581</v>
      </c>
      <c r="H196" t="s">
        <v>2604</v>
      </c>
      <c r="I196" t="s">
        <v>2608</v>
      </c>
      <c r="J196" s="1">
        <v>45980</v>
      </c>
    </row>
    <row r="197" spans="1:10" x14ac:dyDescent="0.3">
      <c r="A197" t="s">
        <v>1282</v>
      </c>
      <c r="B197" t="s">
        <v>1825</v>
      </c>
      <c r="C197" t="s">
        <v>2049</v>
      </c>
      <c r="D197">
        <v>19</v>
      </c>
      <c r="E197" t="s">
        <v>2245</v>
      </c>
      <c r="F197" t="s">
        <v>2566</v>
      </c>
      <c r="G197" t="s">
        <v>2584</v>
      </c>
      <c r="H197" t="s">
        <v>2601</v>
      </c>
      <c r="I197" t="s">
        <v>2606</v>
      </c>
      <c r="J197" s="1">
        <v>45153</v>
      </c>
    </row>
    <row r="198" spans="1:10" x14ac:dyDescent="0.3">
      <c r="A198" t="s">
        <v>1266</v>
      </c>
      <c r="B198" t="s">
        <v>1826</v>
      </c>
      <c r="C198" t="s">
        <v>2048</v>
      </c>
      <c r="D198">
        <v>36</v>
      </c>
      <c r="E198" t="s">
        <v>2246</v>
      </c>
      <c r="F198" t="s">
        <v>2554</v>
      </c>
      <c r="G198" t="s">
        <v>2597</v>
      </c>
      <c r="H198" t="s">
        <v>2601</v>
      </c>
      <c r="I198" t="s">
        <v>2608</v>
      </c>
      <c r="J198" s="1">
        <v>45332</v>
      </c>
    </row>
    <row r="199" spans="1:10" x14ac:dyDescent="0.3">
      <c r="A199" t="s">
        <v>1024</v>
      </c>
      <c r="B199" t="s">
        <v>1827</v>
      </c>
      <c r="C199" t="s">
        <v>2049</v>
      </c>
      <c r="D199">
        <v>34</v>
      </c>
      <c r="E199" t="s">
        <v>2247</v>
      </c>
      <c r="F199" t="s">
        <v>2553</v>
      </c>
      <c r="G199" t="s">
        <v>2576</v>
      </c>
      <c r="H199" t="s">
        <v>2602</v>
      </c>
      <c r="I199" t="s">
        <v>2606</v>
      </c>
      <c r="J199" s="1">
        <v>44731</v>
      </c>
    </row>
    <row r="200" spans="1:10" x14ac:dyDescent="0.3">
      <c r="A200" t="s">
        <v>1565</v>
      </c>
      <c r="B200" t="s">
        <v>1828</v>
      </c>
      <c r="C200" t="s">
        <v>2048</v>
      </c>
      <c r="D200">
        <v>18</v>
      </c>
      <c r="E200" t="s">
        <v>2248</v>
      </c>
      <c r="F200" t="s">
        <v>2567</v>
      </c>
      <c r="G200" t="s">
        <v>2585</v>
      </c>
      <c r="H200" t="s">
        <v>2604</v>
      </c>
      <c r="I200" t="s">
        <v>2608</v>
      </c>
      <c r="J200" s="1">
        <v>45890</v>
      </c>
    </row>
    <row r="201" spans="1:10" x14ac:dyDescent="0.3">
      <c r="A201" t="s">
        <v>1057</v>
      </c>
      <c r="B201" t="s">
        <v>1793</v>
      </c>
      <c r="C201" t="s">
        <v>2049</v>
      </c>
      <c r="D201">
        <v>39</v>
      </c>
      <c r="E201" t="s">
        <v>2249</v>
      </c>
      <c r="F201" t="s">
        <v>2552</v>
      </c>
      <c r="G201" t="s">
        <v>2575</v>
      </c>
      <c r="H201" t="s">
        <v>2603</v>
      </c>
      <c r="I201" t="s">
        <v>2606</v>
      </c>
      <c r="J201" s="1">
        <v>44927</v>
      </c>
    </row>
    <row r="202" spans="1:10" x14ac:dyDescent="0.3">
      <c r="A202" t="s">
        <v>1198</v>
      </c>
      <c r="B202" t="s">
        <v>1829</v>
      </c>
      <c r="C202" t="s">
        <v>2048</v>
      </c>
      <c r="D202">
        <v>49</v>
      </c>
      <c r="E202" t="s">
        <v>2250</v>
      </c>
      <c r="F202" t="s">
        <v>2561</v>
      </c>
      <c r="G202" t="s">
        <v>2580</v>
      </c>
      <c r="H202" t="s">
        <v>2601</v>
      </c>
      <c r="I202" t="s">
        <v>2608</v>
      </c>
      <c r="J202" s="1">
        <v>44916</v>
      </c>
    </row>
    <row r="203" spans="1:10" x14ac:dyDescent="0.3">
      <c r="A203" t="s">
        <v>1160</v>
      </c>
      <c r="B203" t="s">
        <v>1830</v>
      </c>
      <c r="C203" t="s">
        <v>2049</v>
      </c>
      <c r="D203">
        <v>21</v>
      </c>
      <c r="E203" t="s">
        <v>2251</v>
      </c>
      <c r="F203" t="s">
        <v>2555</v>
      </c>
      <c r="G203" t="s">
        <v>2578</v>
      </c>
      <c r="H203" t="s">
        <v>2603</v>
      </c>
      <c r="I203" t="s">
        <v>2606</v>
      </c>
      <c r="J203" s="1">
        <v>45788</v>
      </c>
    </row>
    <row r="204" spans="1:10" x14ac:dyDescent="0.3">
      <c r="A204" t="s">
        <v>1566</v>
      </c>
      <c r="B204" t="s">
        <v>1831</v>
      </c>
      <c r="C204" t="s">
        <v>2049</v>
      </c>
      <c r="D204">
        <v>33</v>
      </c>
      <c r="E204" t="s">
        <v>2252</v>
      </c>
      <c r="F204" t="s">
        <v>2555</v>
      </c>
      <c r="G204" t="s">
        <v>2578</v>
      </c>
      <c r="H204" t="s">
        <v>2603</v>
      </c>
      <c r="I204" t="s">
        <v>2608</v>
      </c>
      <c r="J204" s="1">
        <v>45330</v>
      </c>
    </row>
    <row r="205" spans="1:10" x14ac:dyDescent="0.3">
      <c r="A205" t="s">
        <v>1567</v>
      </c>
      <c r="B205" t="s">
        <v>1832</v>
      </c>
      <c r="C205" t="s">
        <v>2048</v>
      </c>
      <c r="D205">
        <v>43</v>
      </c>
      <c r="E205" t="s">
        <v>2253</v>
      </c>
      <c r="F205" t="s">
        <v>2561</v>
      </c>
      <c r="G205" t="s">
        <v>2580</v>
      </c>
      <c r="H205" t="s">
        <v>2601</v>
      </c>
      <c r="I205" t="s">
        <v>2606</v>
      </c>
      <c r="J205" s="1">
        <v>44713</v>
      </c>
    </row>
    <row r="206" spans="1:10" x14ac:dyDescent="0.3">
      <c r="A206" t="s">
        <v>1018</v>
      </c>
      <c r="B206" t="s">
        <v>1833</v>
      </c>
      <c r="C206" t="s">
        <v>2049</v>
      </c>
      <c r="D206">
        <v>39</v>
      </c>
      <c r="E206" t="s">
        <v>2254</v>
      </c>
      <c r="F206" t="s">
        <v>2553</v>
      </c>
      <c r="G206" t="s">
        <v>2576</v>
      </c>
      <c r="H206" t="s">
        <v>2602</v>
      </c>
      <c r="I206" t="s">
        <v>2606</v>
      </c>
      <c r="J206" s="1">
        <v>45968</v>
      </c>
    </row>
    <row r="207" spans="1:10" x14ac:dyDescent="0.3">
      <c r="A207" t="s">
        <v>1568</v>
      </c>
      <c r="B207" t="s">
        <v>1834</v>
      </c>
      <c r="C207" t="s">
        <v>2049</v>
      </c>
      <c r="D207">
        <v>19</v>
      </c>
      <c r="E207" t="s">
        <v>2255</v>
      </c>
      <c r="F207" t="s">
        <v>2561</v>
      </c>
      <c r="G207" t="s">
        <v>2580</v>
      </c>
      <c r="H207" t="s">
        <v>2601</v>
      </c>
      <c r="I207" t="s">
        <v>2607</v>
      </c>
      <c r="J207" s="1">
        <v>45167</v>
      </c>
    </row>
    <row r="208" spans="1:10" x14ac:dyDescent="0.3">
      <c r="A208" t="s">
        <v>1116</v>
      </c>
      <c r="B208" t="s">
        <v>1799</v>
      </c>
      <c r="C208" t="s">
        <v>2048</v>
      </c>
      <c r="D208">
        <v>28</v>
      </c>
      <c r="E208" t="s">
        <v>2256</v>
      </c>
      <c r="F208" t="s">
        <v>2570</v>
      </c>
      <c r="G208" t="s">
        <v>2590</v>
      </c>
      <c r="H208" t="s">
        <v>2605</v>
      </c>
      <c r="I208" t="s">
        <v>2606</v>
      </c>
      <c r="J208" s="1">
        <v>45751</v>
      </c>
    </row>
    <row r="209" spans="1:10" x14ac:dyDescent="0.3">
      <c r="A209" t="s">
        <v>1317</v>
      </c>
      <c r="B209" t="s">
        <v>1835</v>
      </c>
      <c r="C209" t="s">
        <v>2048</v>
      </c>
      <c r="D209">
        <v>37</v>
      </c>
      <c r="E209" t="s">
        <v>2257</v>
      </c>
      <c r="F209" t="s">
        <v>2557</v>
      </c>
      <c r="G209" t="s">
        <v>2576</v>
      </c>
      <c r="H209" t="s">
        <v>2602</v>
      </c>
      <c r="I209" t="s">
        <v>2606</v>
      </c>
      <c r="J209" s="1">
        <v>45700</v>
      </c>
    </row>
    <row r="210" spans="1:10" x14ac:dyDescent="0.3">
      <c r="A210" t="s">
        <v>1569</v>
      </c>
      <c r="B210" t="s">
        <v>1836</v>
      </c>
      <c r="C210" t="s">
        <v>2048</v>
      </c>
      <c r="D210">
        <v>57</v>
      </c>
      <c r="E210" t="s">
        <v>2258</v>
      </c>
      <c r="F210" t="s">
        <v>2551</v>
      </c>
      <c r="G210" t="s">
        <v>2574</v>
      </c>
      <c r="H210" t="s">
        <v>2602</v>
      </c>
      <c r="I210" t="s">
        <v>2606</v>
      </c>
      <c r="J210" s="1">
        <v>45725</v>
      </c>
    </row>
    <row r="211" spans="1:10" x14ac:dyDescent="0.3">
      <c r="A211" t="s">
        <v>1170</v>
      </c>
      <c r="B211" t="s">
        <v>1837</v>
      </c>
      <c r="C211" t="s">
        <v>2049</v>
      </c>
      <c r="D211">
        <v>51</v>
      </c>
      <c r="E211" t="s">
        <v>2259</v>
      </c>
      <c r="F211" t="s">
        <v>2561</v>
      </c>
      <c r="G211" t="s">
        <v>2580</v>
      </c>
      <c r="H211" t="s">
        <v>2601</v>
      </c>
      <c r="I211" t="s">
        <v>2607</v>
      </c>
      <c r="J211" s="1">
        <v>45070</v>
      </c>
    </row>
    <row r="212" spans="1:10" x14ac:dyDescent="0.3">
      <c r="A212" t="s">
        <v>1247</v>
      </c>
      <c r="B212" t="s">
        <v>1724</v>
      </c>
      <c r="C212" t="s">
        <v>2048</v>
      </c>
      <c r="D212">
        <v>33</v>
      </c>
      <c r="E212" t="s">
        <v>2260</v>
      </c>
      <c r="F212" t="s">
        <v>2558</v>
      </c>
      <c r="G212" t="s">
        <v>2558</v>
      </c>
      <c r="H212" t="s">
        <v>2603</v>
      </c>
      <c r="I212" t="s">
        <v>2607</v>
      </c>
      <c r="J212" s="1">
        <v>45300</v>
      </c>
    </row>
    <row r="213" spans="1:10" x14ac:dyDescent="0.3">
      <c r="A213" t="s">
        <v>1272</v>
      </c>
      <c r="B213" t="s">
        <v>1744</v>
      </c>
      <c r="C213" t="s">
        <v>2048</v>
      </c>
      <c r="D213">
        <v>37</v>
      </c>
      <c r="E213" t="s">
        <v>2261</v>
      </c>
      <c r="F213" t="s">
        <v>2570</v>
      </c>
      <c r="G213" t="s">
        <v>2590</v>
      </c>
      <c r="H213" t="s">
        <v>2605</v>
      </c>
      <c r="I213" t="s">
        <v>2606</v>
      </c>
      <c r="J213" s="1">
        <v>44898</v>
      </c>
    </row>
    <row r="214" spans="1:10" x14ac:dyDescent="0.3">
      <c r="A214" t="s">
        <v>1239</v>
      </c>
      <c r="B214" t="s">
        <v>1838</v>
      </c>
      <c r="C214" t="s">
        <v>2049</v>
      </c>
      <c r="D214">
        <v>36</v>
      </c>
      <c r="E214" t="s">
        <v>2262</v>
      </c>
      <c r="F214" t="s">
        <v>2565</v>
      </c>
      <c r="G214" t="s">
        <v>2583</v>
      </c>
      <c r="H214" t="s">
        <v>2604</v>
      </c>
      <c r="I214" t="s">
        <v>2608</v>
      </c>
      <c r="J214" s="1">
        <v>45731</v>
      </c>
    </row>
    <row r="215" spans="1:10" x14ac:dyDescent="0.3">
      <c r="A215" t="s">
        <v>1006</v>
      </c>
      <c r="B215" t="s">
        <v>1839</v>
      </c>
      <c r="C215" t="s">
        <v>2048</v>
      </c>
      <c r="D215">
        <v>28</v>
      </c>
      <c r="E215" t="s">
        <v>2263</v>
      </c>
      <c r="F215" t="s">
        <v>2571</v>
      </c>
      <c r="G215" t="s">
        <v>2590</v>
      </c>
      <c r="H215" t="s">
        <v>2605</v>
      </c>
      <c r="I215" t="s">
        <v>2608</v>
      </c>
      <c r="J215" s="1">
        <v>45156</v>
      </c>
    </row>
    <row r="216" spans="1:10" x14ac:dyDescent="0.3">
      <c r="A216" t="s">
        <v>999</v>
      </c>
      <c r="B216" t="s">
        <v>1840</v>
      </c>
      <c r="C216" t="s">
        <v>2048</v>
      </c>
      <c r="D216">
        <v>28</v>
      </c>
      <c r="E216" t="s">
        <v>2264</v>
      </c>
      <c r="F216" t="s">
        <v>2567</v>
      </c>
      <c r="G216" t="s">
        <v>2585</v>
      </c>
      <c r="H216" t="s">
        <v>2604</v>
      </c>
      <c r="I216" t="s">
        <v>2606</v>
      </c>
      <c r="J216" s="1">
        <v>45311</v>
      </c>
    </row>
    <row r="217" spans="1:10" x14ac:dyDescent="0.3">
      <c r="A217" t="s">
        <v>1570</v>
      </c>
      <c r="B217" t="s">
        <v>1841</v>
      </c>
      <c r="C217" t="s">
        <v>2048</v>
      </c>
      <c r="D217">
        <v>29</v>
      </c>
      <c r="E217" t="s">
        <v>2265</v>
      </c>
      <c r="F217" t="s">
        <v>2572</v>
      </c>
      <c r="G217" t="s">
        <v>2582</v>
      </c>
      <c r="H217" t="s">
        <v>2601</v>
      </c>
      <c r="I217" t="s">
        <v>2606</v>
      </c>
      <c r="J217" s="1">
        <v>45344</v>
      </c>
    </row>
    <row r="218" spans="1:10" x14ac:dyDescent="0.3">
      <c r="A218" t="s">
        <v>1045</v>
      </c>
      <c r="B218" t="s">
        <v>1686</v>
      </c>
      <c r="C218" t="s">
        <v>2048</v>
      </c>
      <c r="D218">
        <v>36</v>
      </c>
      <c r="E218" t="s">
        <v>2266</v>
      </c>
      <c r="F218" t="s">
        <v>2550</v>
      </c>
      <c r="G218" t="s">
        <v>2573</v>
      </c>
      <c r="H218" t="s">
        <v>2601</v>
      </c>
      <c r="I218" t="s">
        <v>2606</v>
      </c>
      <c r="J218" s="1">
        <v>45698</v>
      </c>
    </row>
    <row r="219" spans="1:10" x14ac:dyDescent="0.3">
      <c r="A219" t="s">
        <v>1268</v>
      </c>
      <c r="B219" t="s">
        <v>1842</v>
      </c>
      <c r="C219" t="s">
        <v>2048</v>
      </c>
      <c r="D219">
        <v>18</v>
      </c>
      <c r="E219" t="s">
        <v>2267</v>
      </c>
      <c r="F219" t="s">
        <v>2560</v>
      </c>
      <c r="G219" t="s">
        <v>2579</v>
      </c>
      <c r="H219" t="s">
        <v>2604</v>
      </c>
      <c r="I219" t="s">
        <v>2608</v>
      </c>
      <c r="J219" s="1">
        <v>44716</v>
      </c>
    </row>
    <row r="220" spans="1:10" x14ac:dyDescent="0.3">
      <c r="A220" t="s">
        <v>1046</v>
      </c>
      <c r="B220" t="s">
        <v>1843</v>
      </c>
      <c r="C220" t="s">
        <v>2049</v>
      </c>
      <c r="D220">
        <v>29</v>
      </c>
      <c r="E220" t="s">
        <v>2268</v>
      </c>
      <c r="F220" t="s">
        <v>2555</v>
      </c>
      <c r="G220" t="s">
        <v>2578</v>
      </c>
      <c r="H220" t="s">
        <v>2603</v>
      </c>
      <c r="I220" t="s">
        <v>2606</v>
      </c>
      <c r="J220" s="1">
        <v>44708</v>
      </c>
    </row>
    <row r="221" spans="1:10" x14ac:dyDescent="0.3">
      <c r="A221" t="s">
        <v>1571</v>
      </c>
      <c r="B221" t="s">
        <v>1742</v>
      </c>
      <c r="C221" t="s">
        <v>2049</v>
      </c>
      <c r="D221">
        <v>32</v>
      </c>
      <c r="E221" t="s">
        <v>2269</v>
      </c>
      <c r="F221" t="s">
        <v>2555</v>
      </c>
      <c r="G221" t="s">
        <v>2578</v>
      </c>
      <c r="H221" t="s">
        <v>2603</v>
      </c>
      <c r="I221" t="s">
        <v>2607</v>
      </c>
      <c r="J221" s="1">
        <v>45005</v>
      </c>
    </row>
    <row r="222" spans="1:10" x14ac:dyDescent="0.3">
      <c r="A222" t="s">
        <v>1193</v>
      </c>
      <c r="B222" t="s">
        <v>1844</v>
      </c>
      <c r="C222" t="s">
        <v>2049</v>
      </c>
      <c r="D222">
        <v>32</v>
      </c>
      <c r="E222" t="s">
        <v>2270</v>
      </c>
      <c r="F222" t="s">
        <v>2563</v>
      </c>
      <c r="G222" t="s">
        <v>2581</v>
      </c>
      <c r="H222" t="s">
        <v>2604</v>
      </c>
      <c r="I222" t="s">
        <v>2608</v>
      </c>
      <c r="J222" s="1">
        <v>45950</v>
      </c>
    </row>
    <row r="223" spans="1:10" x14ac:dyDescent="0.3">
      <c r="A223" t="s">
        <v>1319</v>
      </c>
      <c r="B223" t="s">
        <v>1845</v>
      </c>
      <c r="C223" t="s">
        <v>2049</v>
      </c>
      <c r="D223">
        <v>44</v>
      </c>
      <c r="E223" t="s">
        <v>2271</v>
      </c>
      <c r="F223" t="s">
        <v>2566</v>
      </c>
      <c r="G223" t="s">
        <v>2584</v>
      </c>
      <c r="H223" t="s">
        <v>2601</v>
      </c>
      <c r="I223" t="s">
        <v>2608</v>
      </c>
      <c r="J223" s="1">
        <v>44977</v>
      </c>
    </row>
    <row r="224" spans="1:10" x14ac:dyDescent="0.3">
      <c r="A224" t="s">
        <v>1070</v>
      </c>
      <c r="B224" t="s">
        <v>1846</v>
      </c>
      <c r="C224" t="s">
        <v>2048</v>
      </c>
      <c r="D224">
        <v>53</v>
      </c>
      <c r="E224" t="s">
        <v>2272</v>
      </c>
      <c r="F224" t="s">
        <v>2555</v>
      </c>
      <c r="G224" t="s">
        <v>2578</v>
      </c>
      <c r="H224" t="s">
        <v>2603</v>
      </c>
      <c r="I224" t="s">
        <v>2608</v>
      </c>
      <c r="J224" s="1">
        <v>45105</v>
      </c>
    </row>
    <row r="225" spans="1:10" x14ac:dyDescent="0.3">
      <c r="A225" t="s">
        <v>1572</v>
      </c>
      <c r="B225" t="s">
        <v>1847</v>
      </c>
      <c r="C225" t="s">
        <v>2049</v>
      </c>
      <c r="D225">
        <v>24</v>
      </c>
      <c r="E225" t="s">
        <v>2273</v>
      </c>
      <c r="F225" t="s">
        <v>2561</v>
      </c>
      <c r="G225" t="s">
        <v>2580</v>
      </c>
      <c r="H225" t="s">
        <v>2601</v>
      </c>
      <c r="I225" t="s">
        <v>2608</v>
      </c>
      <c r="J225" s="1">
        <v>44605</v>
      </c>
    </row>
    <row r="226" spans="1:10" x14ac:dyDescent="0.3">
      <c r="A226" t="s">
        <v>1204</v>
      </c>
      <c r="B226" t="s">
        <v>1848</v>
      </c>
      <c r="C226" t="s">
        <v>2049</v>
      </c>
      <c r="D226">
        <v>34</v>
      </c>
      <c r="E226" t="s">
        <v>2274</v>
      </c>
      <c r="F226" t="s">
        <v>2562</v>
      </c>
      <c r="G226" t="s">
        <v>2574</v>
      </c>
      <c r="H226" t="s">
        <v>2602</v>
      </c>
      <c r="I226" t="s">
        <v>2606</v>
      </c>
      <c r="J226" s="1">
        <v>44683</v>
      </c>
    </row>
    <row r="227" spans="1:10" x14ac:dyDescent="0.3">
      <c r="A227" t="s">
        <v>967</v>
      </c>
      <c r="B227" t="s">
        <v>1849</v>
      </c>
      <c r="C227" t="s">
        <v>2049</v>
      </c>
      <c r="D227">
        <v>19</v>
      </c>
      <c r="E227" t="s">
        <v>2275</v>
      </c>
      <c r="F227" t="s">
        <v>2550</v>
      </c>
      <c r="G227" t="s">
        <v>2573</v>
      </c>
      <c r="H227" t="s">
        <v>2601</v>
      </c>
      <c r="I227" t="s">
        <v>2607</v>
      </c>
      <c r="J227" s="1">
        <v>45190</v>
      </c>
    </row>
    <row r="228" spans="1:10" x14ac:dyDescent="0.3">
      <c r="A228" t="s">
        <v>1209</v>
      </c>
      <c r="B228" t="s">
        <v>1800</v>
      </c>
      <c r="C228" t="s">
        <v>2048</v>
      </c>
      <c r="D228">
        <v>35</v>
      </c>
      <c r="E228" t="s">
        <v>2276</v>
      </c>
      <c r="F228" t="s">
        <v>2567</v>
      </c>
      <c r="G228" t="s">
        <v>2585</v>
      </c>
      <c r="H228" t="s">
        <v>2604</v>
      </c>
      <c r="I228" t="s">
        <v>2608</v>
      </c>
      <c r="J228" s="1">
        <v>45163</v>
      </c>
    </row>
    <row r="229" spans="1:10" x14ac:dyDescent="0.3">
      <c r="A229" t="s">
        <v>1175</v>
      </c>
      <c r="B229" t="s">
        <v>1850</v>
      </c>
      <c r="C229" t="s">
        <v>2049</v>
      </c>
      <c r="D229">
        <v>26</v>
      </c>
      <c r="E229" t="s">
        <v>2277</v>
      </c>
      <c r="F229" t="s">
        <v>2569</v>
      </c>
      <c r="G229" t="s">
        <v>2587</v>
      </c>
      <c r="H229" t="s">
        <v>2604</v>
      </c>
      <c r="I229" t="s">
        <v>2606</v>
      </c>
      <c r="J229" s="1">
        <v>45923</v>
      </c>
    </row>
    <row r="230" spans="1:10" x14ac:dyDescent="0.3">
      <c r="A230" t="s">
        <v>1573</v>
      </c>
      <c r="B230" t="s">
        <v>1851</v>
      </c>
      <c r="C230" t="s">
        <v>2049</v>
      </c>
      <c r="D230">
        <v>29</v>
      </c>
      <c r="E230" t="s">
        <v>2278</v>
      </c>
      <c r="F230" t="s">
        <v>2572</v>
      </c>
      <c r="G230" t="s">
        <v>2582</v>
      </c>
      <c r="H230" t="s">
        <v>2601</v>
      </c>
      <c r="I230" t="s">
        <v>2606</v>
      </c>
      <c r="J230" s="1">
        <v>45821</v>
      </c>
    </row>
    <row r="231" spans="1:10" x14ac:dyDescent="0.3">
      <c r="A231" t="s">
        <v>1142</v>
      </c>
      <c r="B231" t="s">
        <v>1852</v>
      </c>
      <c r="C231" t="s">
        <v>2049</v>
      </c>
      <c r="D231">
        <v>27</v>
      </c>
      <c r="E231" t="s">
        <v>2279</v>
      </c>
      <c r="F231" t="s">
        <v>2563</v>
      </c>
      <c r="G231" t="s">
        <v>2581</v>
      </c>
      <c r="H231" t="s">
        <v>2604</v>
      </c>
      <c r="I231" t="s">
        <v>2608</v>
      </c>
      <c r="J231" s="1">
        <v>45208</v>
      </c>
    </row>
    <row r="232" spans="1:10" x14ac:dyDescent="0.3">
      <c r="A232" t="s">
        <v>1103</v>
      </c>
      <c r="B232" t="s">
        <v>1853</v>
      </c>
      <c r="C232" t="s">
        <v>2049</v>
      </c>
      <c r="D232">
        <v>44</v>
      </c>
      <c r="E232" t="s">
        <v>2280</v>
      </c>
      <c r="F232" t="s">
        <v>2556</v>
      </c>
      <c r="G232" t="s">
        <v>2574</v>
      </c>
      <c r="H232" t="s">
        <v>2602</v>
      </c>
      <c r="I232" t="s">
        <v>2606</v>
      </c>
      <c r="J232" s="1">
        <v>45969</v>
      </c>
    </row>
    <row r="233" spans="1:10" x14ac:dyDescent="0.3">
      <c r="A233" t="s">
        <v>1216</v>
      </c>
      <c r="B233" t="s">
        <v>1854</v>
      </c>
      <c r="C233" t="s">
        <v>2048</v>
      </c>
      <c r="D233">
        <v>56</v>
      </c>
      <c r="E233" t="s">
        <v>2281</v>
      </c>
      <c r="F233" t="s">
        <v>2565</v>
      </c>
      <c r="G233" t="s">
        <v>2583</v>
      </c>
      <c r="H233" t="s">
        <v>2604</v>
      </c>
      <c r="I233" t="s">
        <v>2607</v>
      </c>
      <c r="J233" s="1">
        <v>44968</v>
      </c>
    </row>
    <row r="234" spans="1:10" x14ac:dyDescent="0.3">
      <c r="A234" t="s">
        <v>1574</v>
      </c>
      <c r="B234" t="s">
        <v>1788</v>
      </c>
      <c r="C234" t="s">
        <v>2048</v>
      </c>
      <c r="D234">
        <v>62</v>
      </c>
      <c r="E234" t="s">
        <v>2282</v>
      </c>
      <c r="F234" t="s">
        <v>2567</v>
      </c>
      <c r="G234" t="s">
        <v>2585</v>
      </c>
      <c r="H234" t="s">
        <v>2604</v>
      </c>
      <c r="I234" t="s">
        <v>2608</v>
      </c>
      <c r="J234" s="1">
        <v>45034</v>
      </c>
    </row>
    <row r="235" spans="1:10" x14ac:dyDescent="0.3">
      <c r="A235" t="s">
        <v>1240</v>
      </c>
      <c r="B235" t="s">
        <v>1855</v>
      </c>
      <c r="C235" t="s">
        <v>2049</v>
      </c>
      <c r="D235">
        <v>45</v>
      </c>
      <c r="E235" t="s">
        <v>2283</v>
      </c>
      <c r="F235" t="s">
        <v>2572</v>
      </c>
      <c r="G235" t="s">
        <v>2582</v>
      </c>
      <c r="H235" t="s">
        <v>2601</v>
      </c>
      <c r="I235" t="s">
        <v>2606</v>
      </c>
      <c r="J235" s="1">
        <v>45334</v>
      </c>
    </row>
    <row r="236" spans="1:10" x14ac:dyDescent="0.3">
      <c r="A236" t="s">
        <v>1102</v>
      </c>
      <c r="B236" t="s">
        <v>1856</v>
      </c>
      <c r="C236" t="s">
        <v>2049</v>
      </c>
      <c r="D236">
        <v>45</v>
      </c>
      <c r="E236" t="s">
        <v>2284</v>
      </c>
      <c r="F236" t="s">
        <v>2559</v>
      </c>
      <c r="G236" t="s">
        <v>2559</v>
      </c>
      <c r="H236" t="s">
        <v>2603</v>
      </c>
      <c r="I236" t="s">
        <v>2606</v>
      </c>
      <c r="J236" s="1">
        <v>45358</v>
      </c>
    </row>
    <row r="237" spans="1:10" x14ac:dyDescent="0.3">
      <c r="A237" t="s">
        <v>1171</v>
      </c>
      <c r="B237" t="s">
        <v>1779</v>
      </c>
      <c r="C237" t="s">
        <v>2049</v>
      </c>
      <c r="D237">
        <v>44</v>
      </c>
      <c r="E237" t="s">
        <v>2285</v>
      </c>
      <c r="F237" t="s">
        <v>2556</v>
      </c>
      <c r="G237" t="s">
        <v>2574</v>
      </c>
      <c r="H237" t="s">
        <v>2602</v>
      </c>
      <c r="I237" t="s">
        <v>2607</v>
      </c>
      <c r="J237" s="1">
        <v>45403</v>
      </c>
    </row>
    <row r="238" spans="1:10" x14ac:dyDescent="0.3">
      <c r="A238" t="s">
        <v>1082</v>
      </c>
      <c r="B238" t="s">
        <v>1857</v>
      </c>
      <c r="C238" t="s">
        <v>2048</v>
      </c>
      <c r="D238">
        <v>36</v>
      </c>
      <c r="E238" t="s">
        <v>2286</v>
      </c>
      <c r="F238" t="s">
        <v>2554</v>
      </c>
      <c r="G238" t="s">
        <v>2577</v>
      </c>
      <c r="H238" t="s">
        <v>2601</v>
      </c>
      <c r="I238" t="s">
        <v>2606</v>
      </c>
      <c r="J238" s="1">
        <v>45400</v>
      </c>
    </row>
    <row r="239" spans="1:10" x14ac:dyDescent="0.3">
      <c r="A239" t="s">
        <v>1575</v>
      </c>
      <c r="B239" t="s">
        <v>1858</v>
      </c>
      <c r="C239" t="s">
        <v>2049</v>
      </c>
      <c r="D239">
        <v>30</v>
      </c>
      <c r="E239" t="s">
        <v>2287</v>
      </c>
      <c r="F239" t="s">
        <v>2556</v>
      </c>
      <c r="G239" t="s">
        <v>2574</v>
      </c>
      <c r="H239" t="s">
        <v>2602</v>
      </c>
      <c r="I239" t="s">
        <v>2607</v>
      </c>
      <c r="J239" s="1">
        <v>45575</v>
      </c>
    </row>
    <row r="240" spans="1:10" x14ac:dyDescent="0.3">
      <c r="A240" t="s">
        <v>1056</v>
      </c>
      <c r="B240" t="s">
        <v>1795</v>
      </c>
      <c r="C240" t="s">
        <v>2048</v>
      </c>
      <c r="D240">
        <v>33</v>
      </c>
      <c r="E240" t="s">
        <v>2288</v>
      </c>
      <c r="F240" t="s">
        <v>2551</v>
      </c>
      <c r="G240" t="s">
        <v>2574</v>
      </c>
      <c r="H240" t="s">
        <v>2602</v>
      </c>
      <c r="I240" t="s">
        <v>2606</v>
      </c>
      <c r="J240" s="1">
        <v>45598</v>
      </c>
    </row>
    <row r="241" spans="1:10" x14ac:dyDescent="0.3">
      <c r="A241" t="s">
        <v>1576</v>
      </c>
      <c r="B241" t="s">
        <v>1696</v>
      </c>
      <c r="C241" t="s">
        <v>2049</v>
      </c>
      <c r="D241">
        <v>18</v>
      </c>
      <c r="E241" t="s">
        <v>2289</v>
      </c>
      <c r="F241" t="s">
        <v>2572</v>
      </c>
      <c r="G241" t="s">
        <v>2582</v>
      </c>
      <c r="H241" t="s">
        <v>2601</v>
      </c>
      <c r="I241" t="s">
        <v>2606</v>
      </c>
      <c r="J241" s="1">
        <v>45049</v>
      </c>
    </row>
    <row r="242" spans="1:10" x14ac:dyDescent="0.3">
      <c r="A242" t="s">
        <v>1577</v>
      </c>
      <c r="B242" t="s">
        <v>1859</v>
      </c>
      <c r="C242" t="s">
        <v>2048</v>
      </c>
      <c r="E242" t="s">
        <v>2290</v>
      </c>
      <c r="F242" t="s">
        <v>2567</v>
      </c>
      <c r="G242" t="s">
        <v>2585</v>
      </c>
      <c r="H242" t="s">
        <v>2604</v>
      </c>
      <c r="I242" t="s">
        <v>2606</v>
      </c>
      <c r="J242" s="1">
        <v>45393</v>
      </c>
    </row>
    <row r="243" spans="1:10" x14ac:dyDescent="0.3">
      <c r="A243" t="s">
        <v>1084</v>
      </c>
      <c r="B243" t="s">
        <v>1860</v>
      </c>
      <c r="C243" t="s">
        <v>2048</v>
      </c>
      <c r="D243">
        <v>39</v>
      </c>
      <c r="E243" t="s">
        <v>2291</v>
      </c>
      <c r="F243" t="s">
        <v>2565</v>
      </c>
      <c r="G243" t="s">
        <v>2583</v>
      </c>
      <c r="H243" t="s">
        <v>2604</v>
      </c>
      <c r="I243" t="s">
        <v>2606</v>
      </c>
      <c r="J243" s="1">
        <v>45472</v>
      </c>
    </row>
    <row r="244" spans="1:10" x14ac:dyDescent="0.3">
      <c r="A244" t="s">
        <v>1311</v>
      </c>
      <c r="B244" t="s">
        <v>1861</v>
      </c>
      <c r="C244" t="s">
        <v>2049</v>
      </c>
      <c r="D244">
        <v>31</v>
      </c>
      <c r="E244" t="s">
        <v>2292</v>
      </c>
      <c r="F244" t="s">
        <v>2557</v>
      </c>
      <c r="G244" t="s">
        <v>2576</v>
      </c>
      <c r="H244" t="s">
        <v>2602</v>
      </c>
      <c r="I244" t="s">
        <v>2606</v>
      </c>
      <c r="J244" s="1">
        <v>45384</v>
      </c>
    </row>
    <row r="245" spans="1:10" x14ac:dyDescent="0.3">
      <c r="A245" t="s">
        <v>1210</v>
      </c>
      <c r="B245" t="s">
        <v>1787</v>
      </c>
      <c r="C245" t="s">
        <v>2049</v>
      </c>
      <c r="D245">
        <v>34</v>
      </c>
      <c r="E245" t="s">
        <v>2293</v>
      </c>
      <c r="F245" t="s">
        <v>2558</v>
      </c>
      <c r="G245" t="s">
        <v>2558</v>
      </c>
      <c r="H245" t="s">
        <v>2603</v>
      </c>
      <c r="I245" t="s">
        <v>2606</v>
      </c>
      <c r="J245" s="1">
        <v>45168</v>
      </c>
    </row>
    <row r="246" spans="1:10" x14ac:dyDescent="0.3">
      <c r="A246" t="s">
        <v>1578</v>
      </c>
      <c r="B246" t="s">
        <v>1862</v>
      </c>
      <c r="C246" t="s">
        <v>2049</v>
      </c>
      <c r="D246">
        <v>22</v>
      </c>
      <c r="E246" t="s">
        <v>2294</v>
      </c>
      <c r="F246" t="s">
        <v>2562</v>
      </c>
      <c r="G246" t="s">
        <v>2574</v>
      </c>
      <c r="H246" t="s">
        <v>2602</v>
      </c>
      <c r="I246" t="s">
        <v>2608</v>
      </c>
      <c r="J246" s="1">
        <v>44711</v>
      </c>
    </row>
    <row r="247" spans="1:10" x14ac:dyDescent="0.3">
      <c r="A247" t="s">
        <v>1109</v>
      </c>
      <c r="B247" t="s">
        <v>1762</v>
      </c>
      <c r="C247" t="s">
        <v>2049</v>
      </c>
      <c r="D247">
        <v>27</v>
      </c>
      <c r="E247" t="s">
        <v>2295</v>
      </c>
      <c r="F247" t="s">
        <v>2554</v>
      </c>
      <c r="G247" t="s">
        <v>2577</v>
      </c>
      <c r="H247" t="s">
        <v>2601</v>
      </c>
      <c r="I247" t="s">
        <v>2606</v>
      </c>
      <c r="J247" s="1">
        <v>45956</v>
      </c>
    </row>
    <row r="248" spans="1:10" x14ac:dyDescent="0.3">
      <c r="A248" t="s">
        <v>1579</v>
      </c>
      <c r="B248" t="s">
        <v>1863</v>
      </c>
      <c r="C248" t="s">
        <v>2048</v>
      </c>
      <c r="D248">
        <v>40</v>
      </c>
      <c r="E248" t="s">
        <v>2296</v>
      </c>
      <c r="F248" t="s">
        <v>2562</v>
      </c>
      <c r="G248" t="s">
        <v>2574</v>
      </c>
      <c r="H248" t="s">
        <v>2602</v>
      </c>
      <c r="I248" t="s">
        <v>2606</v>
      </c>
      <c r="J248" s="1">
        <v>45345</v>
      </c>
    </row>
    <row r="249" spans="1:10" x14ac:dyDescent="0.3">
      <c r="A249" t="s">
        <v>1152</v>
      </c>
      <c r="B249" t="s">
        <v>1864</v>
      </c>
      <c r="C249" t="s">
        <v>2048</v>
      </c>
      <c r="D249">
        <v>42</v>
      </c>
      <c r="E249" t="s">
        <v>2297</v>
      </c>
      <c r="F249" t="s">
        <v>2565</v>
      </c>
      <c r="G249" t="s">
        <v>2589</v>
      </c>
      <c r="H249" t="s">
        <v>2604</v>
      </c>
      <c r="I249" t="s">
        <v>2608</v>
      </c>
      <c r="J249" s="1">
        <v>45536</v>
      </c>
    </row>
    <row r="250" spans="1:10" x14ac:dyDescent="0.3">
      <c r="A250" t="s">
        <v>1157</v>
      </c>
      <c r="B250" t="s">
        <v>1865</v>
      </c>
      <c r="C250" t="s">
        <v>2048</v>
      </c>
      <c r="D250">
        <v>52</v>
      </c>
      <c r="E250" t="s">
        <v>2298</v>
      </c>
      <c r="F250" t="s">
        <v>2551</v>
      </c>
      <c r="G250" t="s">
        <v>2574</v>
      </c>
      <c r="H250" t="s">
        <v>2602</v>
      </c>
      <c r="I250" t="s">
        <v>2606</v>
      </c>
      <c r="J250" s="1">
        <v>45361</v>
      </c>
    </row>
    <row r="251" spans="1:10" x14ac:dyDescent="0.3">
      <c r="A251" t="s">
        <v>1153</v>
      </c>
      <c r="B251" t="s">
        <v>1846</v>
      </c>
      <c r="C251" t="s">
        <v>2048</v>
      </c>
      <c r="D251">
        <v>41</v>
      </c>
      <c r="E251" t="s">
        <v>2299</v>
      </c>
      <c r="F251" t="s">
        <v>2561</v>
      </c>
      <c r="G251" t="s">
        <v>2580</v>
      </c>
      <c r="H251" t="s">
        <v>2601</v>
      </c>
      <c r="I251" t="s">
        <v>2606</v>
      </c>
      <c r="J251" s="1">
        <v>45620</v>
      </c>
    </row>
    <row r="252" spans="1:10" x14ac:dyDescent="0.3">
      <c r="A252" t="s">
        <v>1314</v>
      </c>
      <c r="B252" t="s">
        <v>1866</v>
      </c>
      <c r="C252" t="s">
        <v>2048</v>
      </c>
      <c r="E252" t="s">
        <v>2300</v>
      </c>
      <c r="F252" t="s">
        <v>2570</v>
      </c>
      <c r="G252" t="s">
        <v>2590</v>
      </c>
      <c r="H252" t="s">
        <v>2605</v>
      </c>
      <c r="I252" t="s">
        <v>2608</v>
      </c>
      <c r="J252" s="1">
        <v>45250</v>
      </c>
    </row>
    <row r="253" spans="1:10" x14ac:dyDescent="0.3">
      <c r="A253" t="s">
        <v>1093</v>
      </c>
      <c r="B253" t="s">
        <v>1867</v>
      </c>
      <c r="C253" t="s">
        <v>2048</v>
      </c>
      <c r="D253">
        <v>44</v>
      </c>
      <c r="E253" t="s">
        <v>2301</v>
      </c>
      <c r="F253" t="s">
        <v>2567</v>
      </c>
      <c r="G253" t="s">
        <v>2585</v>
      </c>
      <c r="H253" t="s">
        <v>2604</v>
      </c>
      <c r="I253" t="s">
        <v>2606</v>
      </c>
      <c r="J253" s="1">
        <v>44878</v>
      </c>
    </row>
    <row r="254" spans="1:10" x14ac:dyDescent="0.3">
      <c r="A254" t="s">
        <v>1580</v>
      </c>
      <c r="B254" t="s">
        <v>1868</v>
      </c>
      <c r="C254" t="s">
        <v>2049</v>
      </c>
      <c r="D254">
        <v>18</v>
      </c>
      <c r="E254" t="s">
        <v>2302</v>
      </c>
      <c r="F254" t="s">
        <v>2551</v>
      </c>
      <c r="G254" t="s">
        <v>2574</v>
      </c>
      <c r="H254" t="s">
        <v>2602</v>
      </c>
      <c r="I254" t="s">
        <v>2606</v>
      </c>
      <c r="J254" s="1">
        <v>45449</v>
      </c>
    </row>
    <row r="255" spans="1:10" x14ac:dyDescent="0.3">
      <c r="A255" t="s">
        <v>1124</v>
      </c>
      <c r="B255" t="s">
        <v>1869</v>
      </c>
      <c r="C255" t="s">
        <v>2048</v>
      </c>
      <c r="D255">
        <v>39</v>
      </c>
      <c r="E255" t="s">
        <v>2303</v>
      </c>
      <c r="F255" t="s">
        <v>2564</v>
      </c>
      <c r="G255" t="s">
        <v>2582</v>
      </c>
      <c r="H255" t="s">
        <v>2601</v>
      </c>
      <c r="I255" t="s">
        <v>2606</v>
      </c>
      <c r="J255" s="1">
        <v>44894</v>
      </c>
    </row>
    <row r="256" spans="1:10" x14ac:dyDescent="0.3">
      <c r="A256" t="s">
        <v>1105</v>
      </c>
      <c r="B256" t="s">
        <v>1870</v>
      </c>
      <c r="C256" t="s">
        <v>2049</v>
      </c>
      <c r="D256">
        <v>23</v>
      </c>
      <c r="E256" t="s">
        <v>2304</v>
      </c>
      <c r="F256" t="s">
        <v>2571</v>
      </c>
      <c r="G256" t="s">
        <v>2590</v>
      </c>
      <c r="H256" t="s">
        <v>2605</v>
      </c>
      <c r="I256" t="s">
        <v>2606</v>
      </c>
      <c r="J256" s="1">
        <v>45508</v>
      </c>
    </row>
    <row r="257" spans="1:10" x14ac:dyDescent="0.3">
      <c r="A257" t="s">
        <v>1277</v>
      </c>
      <c r="B257" t="s">
        <v>1871</v>
      </c>
      <c r="C257" t="s">
        <v>2049</v>
      </c>
      <c r="D257">
        <v>23</v>
      </c>
      <c r="E257" t="s">
        <v>2305</v>
      </c>
      <c r="F257" t="s">
        <v>2552</v>
      </c>
      <c r="G257" t="s">
        <v>2575</v>
      </c>
      <c r="H257" t="s">
        <v>2603</v>
      </c>
      <c r="I257" t="s">
        <v>2606</v>
      </c>
      <c r="J257" s="1">
        <v>45887</v>
      </c>
    </row>
    <row r="258" spans="1:10" x14ac:dyDescent="0.3">
      <c r="A258" t="s">
        <v>1200</v>
      </c>
      <c r="B258" t="s">
        <v>1872</v>
      </c>
      <c r="C258" t="s">
        <v>2048</v>
      </c>
      <c r="D258">
        <v>18</v>
      </c>
      <c r="E258" t="s">
        <v>2306</v>
      </c>
      <c r="F258" t="s">
        <v>2557</v>
      </c>
      <c r="G258" t="s">
        <v>2576</v>
      </c>
      <c r="H258" t="s">
        <v>2602</v>
      </c>
      <c r="I258" t="s">
        <v>2606</v>
      </c>
      <c r="J258" s="1">
        <v>45948</v>
      </c>
    </row>
    <row r="259" spans="1:10" x14ac:dyDescent="0.3">
      <c r="A259" t="s">
        <v>1581</v>
      </c>
      <c r="B259" t="s">
        <v>1873</v>
      </c>
      <c r="C259" t="s">
        <v>2049</v>
      </c>
      <c r="D259">
        <v>46</v>
      </c>
      <c r="E259" t="s">
        <v>2307</v>
      </c>
      <c r="F259" t="s">
        <v>2556</v>
      </c>
      <c r="G259" t="s">
        <v>2574</v>
      </c>
      <c r="H259" t="s">
        <v>2602</v>
      </c>
      <c r="I259" t="s">
        <v>2608</v>
      </c>
      <c r="J259" s="1">
        <v>45409</v>
      </c>
    </row>
    <row r="260" spans="1:10" x14ac:dyDescent="0.3">
      <c r="A260" t="s">
        <v>1582</v>
      </c>
      <c r="B260" t="s">
        <v>1820</v>
      </c>
      <c r="C260" t="s">
        <v>2048</v>
      </c>
      <c r="D260">
        <v>33</v>
      </c>
      <c r="E260" t="s">
        <v>2308</v>
      </c>
      <c r="F260" t="s">
        <v>2563</v>
      </c>
      <c r="G260" t="s">
        <v>2581</v>
      </c>
      <c r="H260" t="s">
        <v>2604</v>
      </c>
      <c r="I260" t="s">
        <v>2606</v>
      </c>
      <c r="J260" s="1">
        <v>45915</v>
      </c>
    </row>
    <row r="261" spans="1:10" x14ac:dyDescent="0.3">
      <c r="A261" t="s">
        <v>984</v>
      </c>
      <c r="B261" t="s">
        <v>1836</v>
      </c>
      <c r="C261" t="s">
        <v>2048</v>
      </c>
      <c r="D261">
        <v>21</v>
      </c>
      <c r="E261" t="s">
        <v>2309</v>
      </c>
      <c r="F261" t="s">
        <v>2564</v>
      </c>
      <c r="G261" t="s">
        <v>2582</v>
      </c>
      <c r="H261" t="s">
        <v>2601</v>
      </c>
      <c r="I261" t="s">
        <v>2608</v>
      </c>
      <c r="J261" s="1">
        <v>45404</v>
      </c>
    </row>
    <row r="262" spans="1:10" x14ac:dyDescent="0.3">
      <c r="A262" t="s">
        <v>1245</v>
      </c>
      <c r="B262" t="s">
        <v>1662</v>
      </c>
      <c r="C262" t="s">
        <v>2048</v>
      </c>
      <c r="D262">
        <v>26</v>
      </c>
      <c r="E262" t="s">
        <v>2310</v>
      </c>
      <c r="F262" t="s">
        <v>2569</v>
      </c>
      <c r="G262" t="s">
        <v>2587</v>
      </c>
      <c r="H262" t="s">
        <v>2604</v>
      </c>
      <c r="I262" t="s">
        <v>2608</v>
      </c>
      <c r="J262" s="1">
        <v>45206</v>
      </c>
    </row>
    <row r="263" spans="1:10" x14ac:dyDescent="0.3">
      <c r="A263" t="s">
        <v>1172</v>
      </c>
      <c r="B263" t="s">
        <v>1778</v>
      </c>
      <c r="C263" t="s">
        <v>2048</v>
      </c>
      <c r="D263">
        <v>54</v>
      </c>
      <c r="E263" t="s">
        <v>2311</v>
      </c>
      <c r="F263" t="s">
        <v>2569</v>
      </c>
      <c r="G263" t="s">
        <v>2587</v>
      </c>
      <c r="H263" t="s">
        <v>2604</v>
      </c>
      <c r="I263" t="s">
        <v>2606</v>
      </c>
      <c r="J263" s="1">
        <v>45005</v>
      </c>
    </row>
    <row r="264" spans="1:10" x14ac:dyDescent="0.3">
      <c r="A264" t="s">
        <v>1107</v>
      </c>
      <c r="B264" t="s">
        <v>1874</v>
      </c>
      <c r="C264" t="s">
        <v>2048</v>
      </c>
      <c r="D264">
        <v>27</v>
      </c>
      <c r="E264" t="s">
        <v>2312</v>
      </c>
      <c r="F264" t="s">
        <v>2572</v>
      </c>
      <c r="G264" t="s">
        <v>2582</v>
      </c>
      <c r="H264" t="s">
        <v>2601</v>
      </c>
      <c r="I264" t="s">
        <v>2608</v>
      </c>
      <c r="J264" s="1">
        <v>45292</v>
      </c>
    </row>
    <row r="265" spans="1:10" x14ac:dyDescent="0.3">
      <c r="A265" t="s">
        <v>1062</v>
      </c>
      <c r="B265" t="s">
        <v>1836</v>
      </c>
      <c r="C265" t="s">
        <v>2048</v>
      </c>
      <c r="D265">
        <v>43</v>
      </c>
      <c r="E265" t="s">
        <v>2313</v>
      </c>
      <c r="F265" t="s">
        <v>2555</v>
      </c>
      <c r="G265" t="s">
        <v>2578</v>
      </c>
      <c r="H265" t="s">
        <v>2603</v>
      </c>
      <c r="I265" t="s">
        <v>2606</v>
      </c>
      <c r="J265" s="1">
        <v>45015</v>
      </c>
    </row>
    <row r="266" spans="1:10" x14ac:dyDescent="0.3">
      <c r="A266" t="s">
        <v>1086</v>
      </c>
      <c r="B266" t="s">
        <v>1840</v>
      </c>
      <c r="C266" t="s">
        <v>2048</v>
      </c>
      <c r="D266">
        <v>35</v>
      </c>
      <c r="E266" t="s">
        <v>2314</v>
      </c>
      <c r="F266" t="s">
        <v>2566</v>
      </c>
      <c r="G266" t="s">
        <v>2584</v>
      </c>
      <c r="H266" t="s">
        <v>2601</v>
      </c>
      <c r="I266" t="s">
        <v>2607</v>
      </c>
      <c r="J266" s="1">
        <v>44833</v>
      </c>
    </row>
    <row r="267" spans="1:10" x14ac:dyDescent="0.3">
      <c r="A267" t="s">
        <v>1048</v>
      </c>
      <c r="B267" t="s">
        <v>1875</v>
      </c>
      <c r="C267" t="s">
        <v>2048</v>
      </c>
      <c r="D267">
        <v>31</v>
      </c>
      <c r="E267" t="s">
        <v>2315</v>
      </c>
      <c r="F267" t="s">
        <v>2555</v>
      </c>
      <c r="G267" t="s">
        <v>2578</v>
      </c>
      <c r="H267" t="s">
        <v>2603</v>
      </c>
      <c r="I267" t="s">
        <v>2608</v>
      </c>
      <c r="J267" s="1">
        <v>44966</v>
      </c>
    </row>
    <row r="268" spans="1:10" x14ac:dyDescent="0.3">
      <c r="A268" t="s">
        <v>1583</v>
      </c>
      <c r="B268" t="s">
        <v>1840</v>
      </c>
      <c r="C268" t="s">
        <v>2048</v>
      </c>
      <c r="D268">
        <v>36</v>
      </c>
      <c r="E268" t="s">
        <v>2316</v>
      </c>
      <c r="F268" t="s">
        <v>2556</v>
      </c>
      <c r="G268" t="s">
        <v>2574</v>
      </c>
      <c r="H268" t="s">
        <v>2602</v>
      </c>
      <c r="I268" t="s">
        <v>2608</v>
      </c>
      <c r="J268" s="1">
        <v>44751</v>
      </c>
    </row>
    <row r="269" spans="1:10" x14ac:dyDescent="0.3">
      <c r="A269" t="s">
        <v>1584</v>
      </c>
      <c r="B269" t="s">
        <v>1876</v>
      </c>
      <c r="C269" t="s">
        <v>2048</v>
      </c>
      <c r="D269">
        <v>35</v>
      </c>
      <c r="E269" t="s">
        <v>2317</v>
      </c>
      <c r="F269" t="s">
        <v>2560</v>
      </c>
      <c r="G269" t="s">
        <v>2579</v>
      </c>
      <c r="H269" t="s">
        <v>2604</v>
      </c>
      <c r="I269" t="s">
        <v>2606</v>
      </c>
      <c r="J269" s="1">
        <v>44946</v>
      </c>
    </row>
    <row r="270" spans="1:10" x14ac:dyDescent="0.3">
      <c r="A270" t="s">
        <v>1039</v>
      </c>
      <c r="B270" t="s">
        <v>1877</v>
      </c>
      <c r="C270" t="s">
        <v>2049</v>
      </c>
      <c r="D270">
        <v>28</v>
      </c>
      <c r="E270" t="s">
        <v>2318</v>
      </c>
      <c r="F270" t="s">
        <v>2556</v>
      </c>
      <c r="G270" t="s">
        <v>2574</v>
      </c>
      <c r="H270" t="s">
        <v>2602</v>
      </c>
      <c r="I270" t="s">
        <v>2606</v>
      </c>
      <c r="J270" s="1">
        <v>45024</v>
      </c>
    </row>
    <row r="271" spans="1:10" x14ac:dyDescent="0.3">
      <c r="A271" t="s">
        <v>1141</v>
      </c>
      <c r="B271" t="s">
        <v>1878</v>
      </c>
      <c r="C271" t="s">
        <v>2049</v>
      </c>
      <c r="D271">
        <v>26</v>
      </c>
      <c r="E271" t="s">
        <v>2319</v>
      </c>
      <c r="F271" t="s">
        <v>2563</v>
      </c>
      <c r="G271" t="s">
        <v>2581</v>
      </c>
      <c r="H271" t="s">
        <v>2604</v>
      </c>
      <c r="I271" t="s">
        <v>2607</v>
      </c>
      <c r="J271" s="1">
        <v>45772</v>
      </c>
    </row>
    <row r="272" spans="1:10" x14ac:dyDescent="0.3">
      <c r="A272" t="s">
        <v>1147</v>
      </c>
      <c r="B272" t="s">
        <v>1879</v>
      </c>
      <c r="C272" t="s">
        <v>2048</v>
      </c>
      <c r="D272">
        <v>37</v>
      </c>
      <c r="E272" t="s">
        <v>2320</v>
      </c>
      <c r="F272" t="s">
        <v>2552</v>
      </c>
      <c r="G272" t="s">
        <v>2575</v>
      </c>
      <c r="H272" t="s">
        <v>2603</v>
      </c>
      <c r="I272" t="s">
        <v>2607</v>
      </c>
      <c r="J272" s="1">
        <v>45616</v>
      </c>
    </row>
    <row r="273" spans="1:10" x14ac:dyDescent="0.3">
      <c r="A273" t="s">
        <v>1019</v>
      </c>
      <c r="B273" t="s">
        <v>1799</v>
      </c>
      <c r="C273" t="s">
        <v>2048</v>
      </c>
      <c r="D273">
        <v>34</v>
      </c>
      <c r="E273" t="s">
        <v>2321</v>
      </c>
      <c r="F273" t="s">
        <v>2569</v>
      </c>
      <c r="G273" t="s">
        <v>2587</v>
      </c>
      <c r="H273" t="s">
        <v>2604</v>
      </c>
      <c r="I273" t="s">
        <v>2607</v>
      </c>
      <c r="J273" s="1">
        <v>45962</v>
      </c>
    </row>
    <row r="274" spans="1:10" x14ac:dyDescent="0.3">
      <c r="A274" t="s">
        <v>1145</v>
      </c>
      <c r="B274" t="s">
        <v>1805</v>
      </c>
      <c r="C274" t="s">
        <v>2048</v>
      </c>
      <c r="D274">
        <v>33</v>
      </c>
      <c r="E274" t="s">
        <v>2322</v>
      </c>
      <c r="F274" t="s">
        <v>2564</v>
      </c>
      <c r="G274" t="s">
        <v>2582</v>
      </c>
      <c r="H274" t="s">
        <v>2601</v>
      </c>
      <c r="I274" t="s">
        <v>2608</v>
      </c>
      <c r="J274" s="1">
        <v>45661</v>
      </c>
    </row>
    <row r="275" spans="1:10" x14ac:dyDescent="0.3">
      <c r="A275" t="s">
        <v>1069</v>
      </c>
      <c r="B275" t="s">
        <v>1880</v>
      </c>
      <c r="C275" t="s">
        <v>2049</v>
      </c>
      <c r="D275">
        <v>27</v>
      </c>
      <c r="E275" t="s">
        <v>2323</v>
      </c>
      <c r="F275" t="s">
        <v>2567</v>
      </c>
      <c r="G275" t="s">
        <v>2585</v>
      </c>
      <c r="H275" t="s">
        <v>2604</v>
      </c>
      <c r="I275" t="s">
        <v>2607</v>
      </c>
      <c r="J275" s="1">
        <v>45615</v>
      </c>
    </row>
    <row r="276" spans="1:10" x14ac:dyDescent="0.3">
      <c r="A276" t="s">
        <v>1065</v>
      </c>
      <c r="B276" t="s">
        <v>1881</v>
      </c>
      <c r="C276" t="s">
        <v>2049</v>
      </c>
      <c r="D276">
        <v>19</v>
      </c>
      <c r="E276" t="s">
        <v>2324</v>
      </c>
      <c r="F276" t="s">
        <v>2563</v>
      </c>
      <c r="G276" t="s">
        <v>2581</v>
      </c>
      <c r="H276" t="s">
        <v>2604</v>
      </c>
      <c r="I276" t="s">
        <v>2607</v>
      </c>
      <c r="J276" s="1">
        <v>45328</v>
      </c>
    </row>
    <row r="277" spans="1:10" x14ac:dyDescent="0.3">
      <c r="A277" t="s">
        <v>1014</v>
      </c>
      <c r="B277" t="s">
        <v>1882</v>
      </c>
      <c r="C277" t="s">
        <v>2049</v>
      </c>
      <c r="D277">
        <v>45</v>
      </c>
      <c r="E277" t="s">
        <v>2325</v>
      </c>
      <c r="F277" t="s">
        <v>2564</v>
      </c>
      <c r="G277" t="s">
        <v>2582</v>
      </c>
      <c r="H277" t="s">
        <v>2601</v>
      </c>
      <c r="I277" t="s">
        <v>2606</v>
      </c>
      <c r="J277" s="1">
        <v>44673</v>
      </c>
    </row>
    <row r="278" spans="1:10" x14ac:dyDescent="0.3">
      <c r="A278" t="s">
        <v>1223</v>
      </c>
      <c r="B278" t="s">
        <v>1883</v>
      </c>
      <c r="C278" t="s">
        <v>2048</v>
      </c>
      <c r="D278">
        <v>51</v>
      </c>
      <c r="E278" t="s">
        <v>2326</v>
      </c>
      <c r="F278" t="s">
        <v>2555</v>
      </c>
      <c r="G278" t="s">
        <v>2578</v>
      </c>
      <c r="H278" t="s">
        <v>2603</v>
      </c>
      <c r="I278" t="s">
        <v>2606</v>
      </c>
      <c r="J278" s="1">
        <v>44566</v>
      </c>
    </row>
    <row r="279" spans="1:10" x14ac:dyDescent="0.3">
      <c r="A279" t="s">
        <v>1008</v>
      </c>
      <c r="B279" t="s">
        <v>1884</v>
      </c>
      <c r="C279" t="s">
        <v>2049</v>
      </c>
      <c r="D279">
        <v>35</v>
      </c>
      <c r="E279" t="s">
        <v>2327</v>
      </c>
      <c r="F279" t="s">
        <v>2564</v>
      </c>
      <c r="G279" t="s">
        <v>2582</v>
      </c>
      <c r="H279" t="s">
        <v>2601</v>
      </c>
      <c r="I279" t="s">
        <v>2606</v>
      </c>
      <c r="J279" s="1">
        <v>44588</v>
      </c>
    </row>
    <row r="280" spans="1:10" x14ac:dyDescent="0.3">
      <c r="A280" t="s">
        <v>1121</v>
      </c>
      <c r="B280" t="s">
        <v>1885</v>
      </c>
      <c r="C280" t="s">
        <v>2048</v>
      </c>
      <c r="D280">
        <v>39</v>
      </c>
      <c r="E280" t="s">
        <v>2328</v>
      </c>
      <c r="F280" t="s">
        <v>2558</v>
      </c>
      <c r="G280" t="s">
        <v>2558</v>
      </c>
      <c r="H280" t="s">
        <v>2603</v>
      </c>
      <c r="I280" t="s">
        <v>2606</v>
      </c>
      <c r="J280" s="1">
        <v>44627</v>
      </c>
    </row>
    <row r="281" spans="1:10" x14ac:dyDescent="0.3">
      <c r="A281" t="s">
        <v>1585</v>
      </c>
      <c r="B281" t="s">
        <v>1886</v>
      </c>
      <c r="C281" t="s">
        <v>2048</v>
      </c>
      <c r="D281">
        <v>35</v>
      </c>
      <c r="E281" t="s">
        <v>2329</v>
      </c>
      <c r="F281" t="s">
        <v>2567</v>
      </c>
      <c r="G281" t="s">
        <v>2585</v>
      </c>
      <c r="H281" t="s">
        <v>2604</v>
      </c>
      <c r="I281" t="s">
        <v>2606</v>
      </c>
      <c r="J281" s="1">
        <v>45972</v>
      </c>
    </row>
    <row r="282" spans="1:10" x14ac:dyDescent="0.3">
      <c r="A282" t="s">
        <v>978</v>
      </c>
      <c r="B282" t="s">
        <v>1887</v>
      </c>
      <c r="C282" t="s">
        <v>2049</v>
      </c>
      <c r="D282">
        <v>36</v>
      </c>
      <c r="E282" t="s">
        <v>2330</v>
      </c>
      <c r="F282" t="s">
        <v>2555</v>
      </c>
      <c r="G282" t="s">
        <v>2578</v>
      </c>
      <c r="H282" t="s">
        <v>2603</v>
      </c>
      <c r="I282" t="s">
        <v>2607</v>
      </c>
      <c r="J282" s="1">
        <v>45152</v>
      </c>
    </row>
    <row r="283" spans="1:10" x14ac:dyDescent="0.3">
      <c r="A283" t="s">
        <v>1128</v>
      </c>
      <c r="B283" t="s">
        <v>1888</v>
      </c>
      <c r="C283" t="s">
        <v>2049</v>
      </c>
      <c r="D283">
        <v>43</v>
      </c>
      <c r="E283" t="s">
        <v>2331</v>
      </c>
      <c r="F283" t="s">
        <v>2555</v>
      </c>
      <c r="G283" t="s">
        <v>2578</v>
      </c>
      <c r="H283" t="s">
        <v>2603</v>
      </c>
      <c r="I283" t="s">
        <v>2606</v>
      </c>
      <c r="J283" s="1">
        <v>45582</v>
      </c>
    </row>
    <row r="284" spans="1:10" x14ac:dyDescent="0.3">
      <c r="A284" t="s">
        <v>1138</v>
      </c>
      <c r="B284" t="s">
        <v>1889</v>
      </c>
      <c r="C284" t="s">
        <v>2048</v>
      </c>
      <c r="D284">
        <v>43</v>
      </c>
      <c r="E284" t="s">
        <v>2332</v>
      </c>
      <c r="F284" t="s">
        <v>2559</v>
      </c>
      <c r="G284" t="s">
        <v>2559</v>
      </c>
      <c r="H284" t="s">
        <v>2603</v>
      </c>
      <c r="I284" t="s">
        <v>2606</v>
      </c>
      <c r="J284" s="1">
        <v>45094</v>
      </c>
    </row>
    <row r="285" spans="1:10" x14ac:dyDescent="0.3">
      <c r="A285" t="s">
        <v>1586</v>
      </c>
      <c r="B285" t="s">
        <v>1890</v>
      </c>
      <c r="C285" t="s">
        <v>2049</v>
      </c>
      <c r="D285">
        <v>34</v>
      </c>
      <c r="E285" t="s">
        <v>2333</v>
      </c>
      <c r="F285" t="s">
        <v>2557</v>
      </c>
      <c r="G285" t="s">
        <v>2576</v>
      </c>
      <c r="H285" t="s">
        <v>2602</v>
      </c>
      <c r="I285" t="s">
        <v>2606</v>
      </c>
      <c r="J285" s="1">
        <v>45531</v>
      </c>
    </row>
    <row r="286" spans="1:10" x14ac:dyDescent="0.3">
      <c r="A286" t="s">
        <v>1307</v>
      </c>
      <c r="B286" t="s">
        <v>1891</v>
      </c>
      <c r="C286" t="s">
        <v>2049</v>
      </c>
      <c r="D286">
        <v>36</v>
      </c>
      <c r="E286" t="s">
        <v>2334</v>
      </c>
      <c r="F286" t="s">
        <v>2572</v>
      </c>
      <c r="G286" t="s">
        <v>2582</v>
      </c>
      <c r="H286" t="s">
        <v>2601</v>
      </c>
      <c r="I286" t="s">
        <v>2606</v>
      </c>
      <c r="J286" s="1">
        <v>45260</v>
      </c>
    </row>
    <row r="287" spans="1:10" x14ac:dyDescent="0.3">
      <c r="A287" t="s">
        <v>1222</v>
      </c>
      <c r="B287" t="s">
        <v>1892</v>
      </c>
      <c r="C287" t="s">
        <v>2049</v>
      </c>
      <c r="D287">
        <v>32</v>
      </c>
      <c r="E287" t="s">
        <v>2335</v>
      </c>
      <c r="F287" t="s">
        <v>2562</v>
      </c>
      <c r="G287" t="s">
        <v>2574</v>
      </c>
      <c r="H287" t="s">
        <v>2602</v>
      </c>
      <c r="I287" t="s">
        <v>2606</v>
      </c>
      <c r="J287" s="1">
        <v>45741</v>
      </c>
    </row>
    <row r="288" spans="1:10" x14ac:dyDescent="0.3">
      <c r="A288" t="s">
        <v>1587</v>
      </c>
      <c r="B288" t="s">
        <v>1893</v>
      </c>
      <c r="C288" t="s">
        <v>2049</v>
      </c>
      <c r="D288">
        <v>19</v>
      </c>
      <c r="E288" t="s">
        <v>2336</v>
      </c>
      <c r="F288" t="s">
        <v>2572</v>
      </c>
      <c r="G288" t="s">
        <v>2582</v>
      </c>
      <c r="H288" t="s">
        <v>2601</v>
      </c>
      <c r="I288" t="s">
        <v>2608</v>
      </c>
      <c r="J288" s="1">
        <v>44931</v>
      </c>
    </row>
    <row r="289" spans="1:10" x14ac:dyDescent="0.3">
      <c r="A289" t="s">
        <v>980</v>
      </c>
      <c r="B289" t="s">
        <v>1894</v>
      </c>
      <c r="C289" t="s">
        <v>2049</v>
      </c>
      <c r="D289">
        <v>34</v>
      </c>
      <c r="E289" t="s">
        <v>2337</v>
      </c>
      <c r="F289" t="s">
        <v>2561</v>
      </c>
      <c r="G289" t="s">
        <v>2580</v>
      </c>
      <c r="H289" t="s">
        <v>2601</v>
      </c>
      <c r="I289" t="s">
        <v>2606</v>
      </c>
      <c r="J289" s="1">
        <v>45041</v>
      </c>
    </row>
    <row r="290" spans="1:10" x14ac:dyDescent="0.3">
      <c r="A290" t="s">
        <v>1078</v>
      </c>
      <c r="B290" t="s">
        <v>1895</v>
      </c>
      <c r="C290" t="s">
        <v>2048</v>
      </c>
      <c r="D290">
        <v>38</v>
      </c>
      <c r="E290" t="s">
        <v>2338</v>
      </c>
      <c r="F290" t="s">
        <v>2556</v>
      </c>
      <c r="G290" t="s">
        <v>2574</v>
      </c>
      <c r="H290" t="s">
        <v>2602</v>
      </c>
      <c r="I290" t="s">
        <v>2606</v>
      </c>
      <c r="J290" s="1">
        <v>45050</v>
      </c>
    </row>
    <row r="291" spans="1:10" x14ac:dyDescent="0.3">
      <c r="A291" t="s">
        <v>1052</v>
      </c>
      <c r="B291" t="s">
        <v>1896</v>
      </c>
      <c r="C291" t="s">
        <v>2048</v>
      </c>
      <c r="D291">
        <v>28</v>
      </c>
      <c r="E291" t="s">
        <v>2339</v>
      </c>
      <c r="F291" t="s">
        <v>2551</v>
      </c>
      <c r="G291" t="s">
        <v>2574</v>
      </c>
      <c r="H291" t="s">
        <v>2602</v>
      </c>
      <c r="I291" t="s">
        <v>2606</v>
      </c>
      <c r="J291" s="1">
        <v>45517</v>
      </c>
    </row>
    <row r="292" spans="1:10" x14ac:dyDescent="0.3">
      <c r="A292" t="s">
        <v>1588</v>
      </c>
      <c r="B292" t="s">
        <v>1773</v>
      </c>
      <c r="C292" t="s">
        <v>2048</v>
      </c>
      <c r="D292">
        <v>26</v>
      </c>
      <c r="E292" t="s">
        <v>2340</v>
      </c>
      <c r="F292" t="s">
        <v>2572</v>
      </c>
      <c r="G292" t="s">
        <v>2582</v>
      </c>
      <c r="H292" t="s">
        <v>2601</v>
      </c>
      <c r="I292" t="s">
        <v>2606</v>
      </c>
      <c r="J292" s="1">
        <v>45304</v>
      </c>
    </row>
    <row r="293" spans="1:10" x14ac:dyDescent="0.3">
      <c r="A293" t="s">
        <v>1150</v>
      </c>
      <c r="B293" t="s">
        <v>1897</v>
      </c>
      <c r="C293" t="s">
        <v>2049</v>
      </c>
      <c r="E293" t="s">
        <v>2341</v>
      </c>
      <c r="F293" t="s">
        <v>2550</v>
      </c>
      <c r="G293" t="s">
        <v>2573</v>
      </c>
      <c r="H293" t="s">
        <v>2601</v>
      </c>
      <c r="I293" t="s">
        <v>2607</v>
      </c>
      <c r="J293" s="1">
        <v>45960</v>
      </c>
    </row>
    <row r="294" spans="1:10" x14ac:dyDescent="0.3">
      <c r="A294" t="s">
        <v>1038</v>
      </c>
      <c r="B294" t="s">
        <v>1898</v>
      </c>
      <c r="C294" t="s">
        <v>2049</v>
      </c>
      <c r="D294">
        <v>35</v>
      </c>
      <c r="E294" t="s">
        <v>2342</v>
      </c>
      <c r="F294" t="s">
        <v>2570</v>
      </c>
      <c r="G294" t="s">
        <v>2590</v>
      </c>
      <c r="H294" t="s">
        <v>2605</v>
      </c>
      <c r="I294" t="s">
        <v>2607</v>
      </c>
      <c r="J294" s="1">
        <v>44630</v>
      </c>
    </row>
    <row r="295" spans="1:10" x14ac:dyDescent="0.3">
      <c r="A295" t="s">
        <v>1148</v>
      </c>
      <c r="B295" t="s">
        <v>1884</v>
      </c>
      <c r="C295" t="s">
        <v>2049</v>
      </c>
      <c r="D295">
        <v>34</v>
      </c>
      <c r="E295" t="s">
        <v>2343</v>
      </c>
      <c r="F295" t="s">
        <v>2557</v>
      </c>
      <c r="G295" t="s">
        <v>2576</v>
      </c>
      <c r="H295" t="s">
        <v>2602</v>
      </c>
      <c r="I295" t="s">
        <v>2607</v>
      </c>
      <c r="J295" s="1">
        <v>45643</v>
      </c>
    </row>
    <row r="296" spans="1:10" x14ac:dyDescent="0.3">
      <c r="A296" t="s">
        <v>1207</v>
      </c>
      <c r="B296" t="s">
        <v>1898</v>
      </c>
      <c r="C296" t="s">
        <v>2049</v>
      </c>
      <c r="D296">
        <v>33</v>
      </c>
      <c r="E296" t="s">
        <v>2344</v>
      </c>
      <c r="F296" t="s">
        <v>2565</v>
      </c>
      <c r="G296" t="s">
        <v>2583</v>
      </c>
      <c r="H296" t="s">
        <v>2604</v>
      </c>
      <c r="I296" t="s">
        <v>2606</v>
      </c>
      <c r="J296" s="1">
        <v>45230</v>
      </c>
    </row>
    <row r="297" spans="1:10" x14ac:dyDescent="0.3">
      <c r="A297" t="s">
        <v>1589</v>
      </c>
      <c r="B297" t="s">
        <v>1899</v>
      </c>
      <c r="C297" t="s">
        <v>2049</v>
      </c>
      <c r="D297">
        <v>34</v>
      </c>
      <c r="E297" t="s">
        <v>2345</v>
      </c>
      <c r="F297" t="s">
        <v>2561</v>
      </c>
      <c r="G297" t="s">
        <v>2580</v>
      </c>
      <c r="H297" t="s">
        <v>2601</v>
      </c>
      <c r="I297" t="s">
        <v>2608</v>
      </c>
      <c r="J297" s="1">
        <v>45252</v>
      </c>
    </row>
    <row r="298" spans="1:10" x14ac:dyDescent="0.3">
      <c r="A298" t="s">
        <v>1129</v>
      </c>
      <c r="B298" t="s">
        <v>1900</v>
      </c>
      <c r="C298" t="s">
        <v>2049</v>
      </c>
      <c r="D298">
        <v>26</v>
      </c>
      <c r="E298" t="s">
        <v>2346</v>
      </c>
      <c r="F298" t="s">
        <v>2562</v>
      </c>
      <c r="G298" t="s">
        <v>2574</v>
      </c>
      <c r="H298" t="s">
        <v>2602</v>
      </c>
      <c r="I298" t="s">
        <v>2608</v>
      </c>
      <c r="J298" s="1">
        <v>45271</v>
      </c>
    </row>
    <row r="299" spans="1:10" x14ac:dyDescent="0.3">
      <c r="A299" t="s">
        <v>1320</v>
      </c>
      <c r="B299" t="s">
        <v>1901</v>
      </c>
      <c r="C299" t="s">
        <v>2048</v>
      </c>
      <c r="D299">
        <v>42</v>
      </c>
      <c r="E299" t="s">
        <v>2347</v>
      </c>
      <c r="F299" t="s">
        <v>2560</v>
      </c>
      <c r="G299" t="s">
        <v>2579</v>
      </c>
      <c r="H299" t="s">
        <v>2604</v>
      </c>
      <c r="I299" t="s">
        <v>2608</v>
      </c>
      <c r="J299" s="1">
        <v>45886</v>
      </c>
    </row>
    <row r="300" spans="1:10" x14ac:dyDescent="0.3">
      <c r="A300" t="s">
        <v>1218</v>
      </c>
      <c r="B300" t="s">
        <v>1837</v>
      </c>
      <c r="C300" t="s">
        <v>2049</v>
      </c>
      <c r="D300">
        <v>43</v>
      </c>
      <c r="E300" t="s">
        <v>2348</v>
      </c>
      <c r="F300" t="s">
        <v>2566</v>
      </c>
      <c r="G300" t="s">
        <v>2584</v>
      </c>
      <c r="H300" t="s">
        <v>2601</v>
      </c>
      <c r="I300" t="s">
        <v>2606</v>
      </c>
      <c r="J300" s="1">
        <v>45043</v>
      </c>
    </row>
    <row r="301" spans="1:10" x14ac:dyDescent="0.3">
      <c r="A301" t="s">
        <v>1590</v>
      </c>
      <c r="B301" t="s">
        <v>1902</v>
      </c>
      <c r="C301" t="s">
        <v>2048</v>
      </c>
      <c r="D301">
        <v>25</v>
      </c>
      <c r="E301" t="s">
        <v>2349</v>
      </c>
      <c r="F301" t="s">
        <v>2564</v>
      </c>
      <c r="G301" t="s">
        <v>2582</v>
      </c>
      <c r="H301" t="s">
        <v>2601</v>
      </c>
      <c r="I301" t="s">
        <v>2608</v>
      </c>
      <c r="J301" s="1">
        <v>44934</v>
      </c>
    </row>
    <row r="302" spans="1:10" x14ac:dyDescent="0.3">
      <c r="A302" t="s">
        <v>1274</v>
      </c>
      <c r="B302" t="s">
        <v>1903</v>
      </c>
      <c r="C302" t="s">
        <v>2049</v>
      </c>
      <c r="D302">
        <v>24</v>
      </c>
      <c r="E302" t="s">
        <v>2350</v>
      </c>
      <c r="F302" t="s">
        <v>2571</v>
      </c>
      <c r="G302" t="s">
        <v>2590</v>
      </c>
      <c r="H302" t="s">
        <v>2605</v>
      </c>
      <c r="I302" t="s">
        <v>2606</v>
      </c>
      <c r="J302" s="1">
        <v>45235</v>
      </c>
    </row>
    <row r="303" spans="1:10" x14ac:dyDescent="0.3">
      <c r="A303" t="s">
        <v>970</v>
      </c>
      <c r="B303" t="s">
        <v>1904</v>
      </c>
      <c r="C303" t="s">
        <v>2048</v>
      </c>
      <c r="D303">
        <v>40</v>
      </c>
      <c r="E303" t="s">
        <v>2351</v>
      </c>
      <c r="F303" t="s">
        <v>2551</v>
      </c>
      <c r="G303" t="s">
        <v>2592</v>
      </c>
      <c r="H303" t="s">
        <v>2602</v>
      </c>
      <c r="I303" t="s">
        <v>2606</v>
      </c>
      <c r="J303" s="1">
        <v>45011</v>
      </c>
    </row>
    <row r="304" spans="1:10" x14ac:dyDescent="0.3">
      <c r="A304" t="s">
        <v>1182</v>
      </c>
      <c r="B304" t="s">
        <v>1905</v>
      </c>
      <c r="C304" t="s">
        <v>2048</v>
      </c>
      <c r="D304">
        <v>23</v>
      </c>
      <c r="E304" t="s">
        <v>2352</v>
      </c>
      <c r="F304" t="s">
        <v>2571</v>
      </c>
      <c r="G304" t="s">
        <v>2590</v>
      </c>
      <c r="H304" t="s">
        <v>2605</v>
      </c>
      <c r="I304" t="s">
        <v>2606</v>
      </c>
      <c r="J304" s="1">
        <v>45028</v>
      </c>
    </row>
    <row r="305" spans="1:10" x14ac:dyDescent="0.3">
      <c r="A305" t="s">
        <v>1276</v>
      </c>
      <c r="B305" t="s">
        <v>1891</v>
      </c>
      <c r="C305" t="s">
        <v>2049</v>
      </c>
      <c r="D305">
        <v>39</v>
      </c>
      <c r="E305" t="s">
        <v>2353</v>
      </c>
      <c r="F305" t="s">
        <v>2567</v>
      </c>
      <c r="G305" t="s">
        <v>2585</v>
      </c>
      <c r="H305" t="s">
        <v>2604</v>
      </c>
      <c r="I305" t="s">
        <v>2606</v>
      </c>
      <c r="J305" s="1">
        <v>45244</v>
      </c>
    </row>
    <row r="306" spans="1:10" x14ac:dyDescent="0.3">
      <c r="A306" t="s">
        <v>1088</v>
      </c>
      <c r="B306" t="s">
        <v>1906</v>
      </c>
      <c r="C306" t="s">
        <v>2049</v>
      </c>
      <c r="D306">
        <v>55</v>
      </c>
      <c r="E306" t="s">
        <v>2354</v>
      </c>
      <c r="F306" t="s">
        <v>2571</v>
      </c>
      <c r="G306" t="s">
        <v>2590</v>
      </c>
      <c r="H306" t="s">
        <v>2605</v>
      </c>
      <c r="I306" t="s">
        <v>2606</v>
      </c>
      <c r="J306" s="1">
        <v>44728</v>
      </c>
    </row>
    <row r="307" spans="1:10" x14ac:dyDescent="0.3">
      <c r="A307" t="s">
        <v>1322</v>
      </c>
      <c r="B307" t="s">
        <v>1907</v>
      </c>
      <c r="C307" t="s">
        <v>2049</v>
      </c>
      <c r="D307">
        <v>23</v>
      </c>
      <c r="E307" t="s">
        <v>2355</v>
      </c>
      <c r="F307" t="s">
        <v>2570</v>
      </c>
      <c r="G307" t="s">
        <v>2590</v>
      </c>
      <c r="H307" t="s">
        <v>2605</v>
      </c>
      <c r="I307" t="s">
        <v>2608</v>
      </c>
      <c r="J307" s="1">
        <v>45198</v>
      </c>
    </row>
    <row r="308" spans="1:10" x14ac:dyDescent="0.3">
      <c r="A308" t="s">
        <v>1202</v>
      </c>
      <c r="B308" t="s">
        <v>1908</v>
      </c>
      <c r="C308" t="s">
        <v>2049</v>
      </c>
      <c r="D308">
        <v>25</v>
      </c>
      <c r="E308" t="s">
        <v>2356</v>
      </c>
      <c r="F308" t="s">
        <v>2552</v>
      </c>
      <c r="G308" t="s">
        <v>2575</v>
      </c>
      <c r="H308" t="s">
        <v>2603</v>
      </c>
      <c r="I308" t="s">
        <v>2606</v>
      </c>
      <c r="J308" s="1">
        <v>45033</v>
      </c>
    </row>
    <row r="309" spans="1:10" x14ac:dyDescent="0.3">
      <c r="A309" t="s">
        <v>1591</v>
      </c>
      <c r="B309" t="s">
        <v>1909</v>
      </c>
      <c r="C309" t="s">
        <v>2049</v>
      </c>
      <c r="D309">
        <v>34</v>
      </c>
      <c r="E309" t="s">
        <v>2357</v>
      </c>
      <c r="F309" t="s">
        <v>2566</v>
      </c>
      <c r="G309" t="s">
        <v>2584</v>
      </c>
      <c r="H309" t="s">
        <v>2601</v>
      </c>
      <c r="I309" t="s">
        <v>2606</v>
      </c>
      <c r="J309" s="1">
        <v>45987</v>
      </c>
    </row>
    <row r="310" spans="1:10" x14ac:dyDescent="0.3">
      <c r="A310" t="s">
        <v>1159</v>
      </c>
      <c r="B310" t="s">
        <v>1910</v>
      </c>
      <c r="C310" t="s">
        <v>2048</v>
      </c>
      <c r="D310">
        <v>19</v>
      </c>
      <c r="E310" t="s">
        <v>2358</v>
      </c>
      <c r="F310" t="s">
        <v>2555</v>
      </c>
      <c r="G310" t="s">
        <v>2578</v>
      </c>
      <c r="H310" t="s">
        <v>2603</v>
      </c>
      <c r="I310" t="s">
        <v>2606</v>
      </c>
      <c r="J310" s="1">
        <v>44677</v>
      </c>
    </row>
    <row r="311" spans="1:10" x14ac:dyDescent="0.3">
      <c r="A311" t="s">
        <v>1296</v>
      </c>
      <c r="B311" t="s">
        <v>1911</v>
      </c>
      <c r="C311" t="s">
        <v>2049</v>
      </c>
      <c r="D311">
        <v>34</v>
      </c>
      <c r="E311" t="s">
        <v>2359</v>
      </c>
      <c r="F311" t="s">
        <v>2569</v>
      </c>
      <c r="G311" t="s">
        <v>2587</v>
      </c>
      <c r="H311" t="s">
        <v>2604</v>
      </c>
      <c r="I311" t="s">
        <v>2606</v>
      </c>
      <c r="J311" s="1">
        <v>45886</v>
      </c>
    </row>
    <row r="312" spans="1:10" x14ac:dyDescent="0.3">
      <c r="A312" t="s">
        <v>1592</v>
      </c>
      <c r="B312" t="s">
        <v>1912</v>
      </c>
      <c r="C312" t="s">
        <v>2048</v>
      </c>
      <c r="D312">
        <v>35</v>
      </c>
      <c r="E312" t="s">
        <v>2360</v>
      </c>
      <c r="F312" t="s">
        <v>2552</v>
      </c>
      <c r="G312" t="s">
        <v>2575</v>
      </c>
      <c r="H312" t="s">
        <v>2603</v>
      </c>
      <c r="I312" t="s">
        <v>2606</v>
      </c>
      <c r="J312" s="1">
        <v>44626</v>
      </c>
    </row>
    <row r="313" spans="1:10" x14ac:dyDescent="0.3">
      <c r="A313" t="s">
        <v>1306</v>
      </c>
      <c r="B313" t="s">
        <v>1913</v>
      </c>
      <c r="C313" t="s">
        <v>2049</v>
      </c>
      <c r="D313">
        <v>21</v>
      </c>
      <c r="E313" t="s">
        <v>2361</v>
      </c>
      <c r="F313" t="s">
        <v>2570</v>
      </c>
      <c r="G313" t="s">
        <v>2590</v>
      </c>
      <c r="H313" t="s">
        <v>2605</v>
      </c>
      <c r="I313" t="s">
        <v>2606</v>
      </c>
      <c r="J313" s="1">
        <v>44591</v>
      </c>
    </row>
    <row r="314" spans="1:10" x14ac:dyDescent="0.3">
      <c r="A314" t="s">
        <v>1261</v>
      </c>
      <c r="B314" t="s">
        <v>1914</v>
      </c>
      <c r="C314" t="s">
        <v>2049</v>
      </c>
      <c r="D314">
        <v>46</v>
      </c>
      <c r="E314" t="s">
        <v>2362</v>
      </c>
      <c r="F314" t="s">
        <v>2567</v>
      </c>
      <c r="G314" t="s">
        <v>2585</v>
      </c>
      <c r="H314" t="s">
        <v>2604</v>
      </c>
      <c r="I314" t="s">
        <v>2608</v>
      </c>
      <c r="J314" s="1">
        <v>44955</v>
      </c>
    </row>
    <row r="315" spans="1:10" x14ac:dyDescent="0.3">
      <c r="A315" t="s">
        <v>1593</v>
      </c>
      <c r="B315" t="s">
        <v>1915</v>
      </c>
      <c r="C315" t="s">
        <v>2049</v>
      </c>
      <c r="D315">
        <v>23</v>
      </c>
      <c r="E315" t="s">
        <v>2363</v>
      </c>
      <c r="F315" t="s">
        <v>2566</v>
      </c>
      <c r="G315" t="s">
        <v>2584</v>
      </c>
      <c r="H315" t="s">
        <v>2601</v>
      </c>
      <c r="I315" t="s">
        <v>2608</v>
      </c>
      <c r="J315" s="1">
        <v>45927</v>
      </c>
    </row>
    <row r="316" spans="1:10" x14ac:dyDescent="0.3">
      <c r="A316" t="s">
        <v>1179</v>
      </c>
      <c r="B316" t="s">
        <v>1916</v>
      </c>
      <c r="C316" t="s">
        <v>2048</v>
      </c>
      <c r="D316">
        <v>44</v>
      </c>
      <c r="E316" t="s">
        <v>2364</v>
      </c>
      <c r="F316" t="s">
        <v>2551</v>
      </c>
      <c r="G316" t="s">
        <v>2574</v>
      </c>
      <c r="H316" t="s">
        <v>2602</v>
      </c>
      <c r="I316" t="s">
        <v>2606</v>
      </c>
      <c r="J316" s="1">
        <v>44905</v>
      </c>
    </row>
    <row r="317" spans="1:10" x14ac:dyDescent="0.3">
      <c r="A317" t="s">
        <v>1025</v>
      </c>
      <c r="B317" t="s">
        <v>1917</v>
      </c>
      <c r="C317" t="s">
        <v>2048</v>
      </c>
      <c r="D317">
        <v>36</v>
      </c>
      <c r="E317" t="s">
        <v>2365</v>
      </c>
      <c r="F317" t="s">
        <v>2556</v>
      </c>
      <c r="G317" t="s">
        <v>2574</v>
      </c>
      <c r="H317" t="s">
        <v>2602</v>
      </c>
      <c r="I317" t="s">
        <v>2608</v>
      </c>
      <c r="J317" s="1">
        <v>45685</v>
      </c>
    </row>
    <row r="318" spans="1:10" x14ac:dyDescent="0.3">
      <c r="A318" t="s">
        <v>1134</v>
      </c>
      <c r="B318" t="s">
        <v>1918</v>
      </c>
      <c r="C318" t="s">
        <v>2049</v>
      </c>
      <c r="D318">
        <v>32</v>
      </c>
      <c r="E318" t="s">
        <v>2366</v>
      </c>
      <c r="F318" t="s">
        <v>2558</v>
      </c>
      <c r="G318" t="s">
        <v>2558</v>
      </c>
      <c r="H318" t="s">
        <v>2603</v>
      </c>
      <c r="I318" t="s">
        <v>2608</v>
      </c>
      <c r="J318" s="1">
        <v>45122</v>
      </c>
    </row>
    <row r="319" spans="1:10" x14ac:dyDescent="0.3">
      <c r="A319" t="s">
        <v>1151</v>
      </c>
      <c r="B319" t="s">
        <v>1919</v>
      </c>
      <c r="C319" t="s">
        <v>2048</v>
      </c>
      <c r="D319">
        <v>40</v>
      </c>
      <c r="E319" t="s">
        <v>2367</v>
      </c>
      <c r="F319" t="s">
        <v>2572</v>
      </c>
      <c r="G319" t="s">
        <v>2582</v>
      </c>
      <c r="H319" t="s">
        <v>2601</v>
      </c>
      <c r="I319" t="s">
        <v>2608</v>
      </c>
      <c r="J319" s="1">
        <v>44773</v>
      </c>
    </row>
    <row r="320" spans="1:10" x14ac:dyDescent="0.3">
      <c r="A320" t="s">
        <v>1298</v>
      </c>
      <c r="B320" t="s">
        <v>1920</v>
      </c>
      <c r="C320" t="s">
        <v>2049</v>
      </c>
      <c r="D320">
        <v>38</v>
      </c>
      <c r="E320" t="s">
        <v>2368</v>
      </c>
      <c r="F320" t="s">
        <v>2551</v>
      </c>
      <c r="G320" t="s">
        <v>2574</v>
      </c>
      <c r="H320" t="s">
        <v>2602</v>
      </c>
      <c r="I320" t="s">
        <v>2608</v>
      </c>
      <c r="J320" s="1">
        <v>45441</v>
      </c>
    </row>
    <row r="321" spans="1:10" x14ac:dyDescent="0.3">
      <c r="A321" t="s">
        <v>1194</v>
      </c>
      <c r="B321" t="s">
        <v>1921</v>
      </c>
      <c r="C321" t="s">
        <v>2049</v>
      </c>
      <c r="D321">
        <v>43</v>
      </c>
      <c r="E321" t="s">
        <v>2369</v>
      </c>
      <c r="F321" t="s">
        <v>2561</v>
      </c>
      <c r="G321" t="s">
        <v>2580</v>
      </c>
      <c r="H321" t="s">
        <v>2601</v>
      </c>
      <c r="I321" t="s">
        <v>2606</v>
      </c>
      <c r="J321" s="1">
        <v>44599</v>
      </c>
    </row>
    <row r="322" spans="1:10" x14ac:dyDescent="0.3">
      <c r="A322" t="s">
        <v>1137</v>
      </c>
      <c r="B322" t="s">
        <v>1922</v>
      </c>
      <c r="C322" t="s">
        <v>2048</v>
      </c>
      <c r="D322">
        <v>21</v>
      </c>
      <c r="E322" t="s">
        <v>2370</v>
      </c>
      <c r="F322" t="s">
        <v>2550</v>
      </c>
      <c r="G322" t="s">
        <v>2573</v>
      </c>
      <c r="H322" t="s">
        <v>2601</v>
      </c>
      <c r="I322" t="s">
        <v>2608</v>
      </c>
      <c r="J322" s="1">
        <v>45129</v>
      </c>
    </row>
    <row r="323" spans="1:10" x14ac:dyDescent="0.3">
      <c r="A323" t="s">
        <v>1237</v>
      </c>
      <c r="B323" t="s">
        <v>1789</v>
      </c>
      <c r="C323" t="s">
        <v>2048</v>
      </c>
      <c r="D323">
        <v>18</v>
      </c>
      <c r="E323" t="s">
        <v>2371</v>
      </c>
      <c r="F323" t="s">
        <v>2555</v>
      </c>
      <c r="G323" t="s">
        <v>2578</v>
      </c>
      <c r="H323" t="s">
        <v>2603</v>
      </c>
      <c r="I323" t="s">
        <v>2606</v>
      </c>
      <c r="J323" s="1">
        <v>44752</v>
      </c>
    </row>
    <row r="324" spans="1:10" x14ac:dyDescent="0.3">
      <c r="A324" t="s">
        <v>1248</v>
      </c>
      <c r="B324" t="s">
        <v>1923</v>
      </c>
      <c r="C324" t="s">
        <v>2049</v>
      </c>
      <c r="D324">
        <v>45</v>
      </c>
      <c r="E324" t="s">
        <v>2372</v>
      </c>
      <c r="F324" t="s">
        <v>2552</v>
      </c>
      <c r="G324" t="s">
        <v>2575</v>
      </c>
      <c r="H324" t="s">
        <v>2603</v>
      </c>
      <c r="I324" t="s">
        <v>2606</v>
      </c>
      <c r="J324" s="1">
        <v>44783</v>
      </c>
    </row>
    <row r="325" spans="1:10" x14ac:dyDescent="0.3">
      <c r="A325" t="s">
        <v>1594</v>
      </c>
      <c r="B325" t="s">
        <v>1924</v>
      </c>
      <c r="C325" t="s">
        <v>2049</v>
      </c>
      <c r="D325">
        <v>18</v>
      </c>
      <c r="E325" t="s">
        <v>2373</v>
      </c>
      <c r="F325" t="s">
        <v>2567</v>
      </c>
      <c r="G325" t="s">
        <v>2585</v>
      </c>
      <c r="H325" t="s">
        <v>2604</v>
      </c>
      <c r="I325" t="s">
        <v>2608</v>
      </c>
      <c r="J325" s="1">
        <v>45355</v>
      </c>
    </row>
    <row r="326" spans="1:10" x14ac:dyDescent="0.3">
      <c r="A326" t="s">
        <v>1595</v>
      </c>
      <c r="B326" t="s">
        <v>1925</v>
      </c>
      <c r="C326" t="s">
        <v>2048</v>
      </c>
      <c r="D326">
        <v>46</v>
      </c>
      <c r="E326" t="s">
        <v>2374</v>
      </c>
      <c r="F326" t="s">
        <v>2553</v>
      </c>
      <c r="G326" t="s">
        <v>2576</v>
      </c>
      <c r="H326" t="s">
        <v>2602</v>
      </c>
      <c r="I326" t="s">
        <v>2606</v>
      </c>
      <c r="J326" s="1">
        <v>45558</v>
      </c>
    </row>
    <row r="327" spans="1:10" x14ac:dyDescent="0.3">
      <c r="A327" t="s">
        <v>1596</v>
      </c>
      <c r="B327" t="s">
        <v>1926</v>
      </c>
      <c r="C327" t="s">
        <v>2048</v>
      </c>
      <c r="E327" t="s">
        <v>2375</v>
      </c>
      <c r="F327" t="s">
        <v>2552</v>
      </c>
      <c r="G327" t="s">
        <v>2575</v>
      </c>
      <c r="H327" t="s">
        <v>2603</v>
      </c>
      <c r="I327" t="s">
        <v>2606</v>
      </c>
      <c r="J327" s="1">
        <v>44573</v>
      </c>
    </row>
    <row r="328" spans="1:10" x14ac:dyDescent="0.3">
      <c r="A328" t="s">
        <v>1197</v>
      </c>
      <c r="B328" t="s">
        <v>1927</v>
      </c>
      <c r="C328" t="s">
        <v>2048</v>
      </c>
      <c r="D328">
        <v>18</v>
      </c>
      <c r="E328" t="s">
        <v>2376</v>
      </c>
      <c r="F328" t="s">
        <v>2570</v>
      </c>
      <c r="G328" t="s">
        <v>2590</v>
      </c>
      <c r="H328" t="s">
        <v>2605</v>
      </c>
      <c r="I328" t="s">
        <v>2606</v>
      </c>
      <c r="J328" s="1">
        <v>45339</v>
      </c>
    </row>
    <row r="329" spans="1:10" x14ac:dyDescent="0.3">
      <c r="A329" t="s">
        <v>1270</v>
      </c>
      <c r="B329" t="s">
        <v>1928</v>
      </c>
      <c r="C329" t="s">
        <v>2049</v>
      </c>
      <c r="D329">
        <v>29</v>
      </c>
      <c r="E329" t="s">
        <v>2377</v>
      </c>
      <c r="F329" t="s">
        <v>2551</v>
      </c>
      <c r="G329" t="s">
        <v>2574</v>
      </c>
      <c r="H329" t="s">
        <v>2602</v>
      </c>
      <c r="I329" t="s">
        <v>2606</v>
      </c>
      <c r="J329" s="1">
        <v>45659</v>
      </c>
    </row>
    <row r="330" spans="1:10" x14ac:dyDescent="0.3">
      <c r="A330" t="s">
        <v>1090</v>
      </c>
      <c r="B330" t="s">
        <v>1817</v>
      </c>
      <c r="C330" t="s">
        <v>2049</v>
      </c>
      <c r="D330">
        <v>46</v>
      </c>
      <c r="E330" t="s">
        <v>2378</v>
      </c>
      <c r="F330" t="s">
        <v>2559</v>
      </c>
      <c r="G330" t="s">
        <v>2559</v>
      </c>
      <c r="H330" t="s">
        <v>2603</v>
      </c>
      <c r="I330" t="s">
        <v>2607</v>
      </c>
      <c r="J330" s="1">
        <v>44602</v>
      </c>
    </row>
    <row r="331" spans="1:10" x14ac:dyDescent="0.3">
      <c r="A331" t="s">
        <v>1295</v>
      </c>
      <c r="B331" t="s">
        <v>1929</v>
      </c>
      <c r="C331" t="s">
        <v>2049</v>
      </c>
      <c r="D331">
        <v>38</v>
      </c>
      <c r="E331" t="s">
        <v>2379</v>
      </c>
      <c r="F331" t="s">
        <v>2570</v>
      </c>
      <c r="G331" t="s">
        <v>2588</v>
      </c>
      <c r="H331" t="s">
        <v>2605</v>
      </c>
      <c r="I331" t="s">
        <v>2607</v>
      </c>
      <c r="J331" s="1">
        <v>44702</v>
      </c>
    </row>
    <row r="332" spans="1:10" x14ac:dyDescent="0.3">
      <c r="A332" t="s">
        <v>983</v>
      </c>
      <c r="B332" t="s">
        <v>1760</v>
      </c>
      <c r="C332" t="s">
        <v>2048</v>
      </c>
      <c r="D332">
        <v>38</v>
      </c>
      <c r="E332" t="s">
        <v>2380</v>
      </c>
      <c r="F332" t="s">
        <v>2571</v>
      </c>
      <c r="G332" t="s">
        <v>2590</v>
      </c>
      <c r="H332" t="s">
        <v>2605</v>
      </c>
      <c r="I332" t="s">
        <v>2606</v>
      </c>
      <c r="J332" s="1">
        <v>45652</v>
      </c>
    </row>
    <row r="333" spans="1:10" x14ac:dyDescent="0.3">
      <c r="A333" t="s">
        <v>1597</v>
      </c>
      <c r="B333" t="s">
        <v>1855</v>
      </c>
      <c r="C333" t="s">
        <v>2049</v>
      </c>
      <c r="D333">
        <v>38</v>
      </c>
      <c r="E333" t="s">
        <v>2381</v>
      </c>
      <c r="F333" t="s">
        <v>2559</v>
      </c>
      <c r="G333" t="s">
        <v>2559</v>
      </c>
      <c r="H333" t="s">
        <v>2603</v>
      </c>
      <c r="I333" t="s">
        <v>2606</v>
      </c>
      <c r="J333" s="1">
        <v>45061</v>
      </c>
    </row>
    <row r="334" spans="1:10" x14ac:dyDescent="0.3">
      <c r="A334" t="s">
        <v>1079</v>
      </c>
      <c r="B334" t="s">
        <v>1930</v>
      </c>
      <c r="C334" t="s">
        <v>2048</v>
      </c>
      <c r="D334">
        <v>34</v>
      </c>
      <c r="E334" t="s">
        <v>2382</v>
      </c>
      <c r="F334" t="s">
        <v>2560</v>
      </c>
      <c r="G334" t="s">
        <v>2579</v>
      </c>
      <c r="H334" t="s">
        <v>2604</v>
      </c>
      <c r="I334" t="s">
        <v>2608</v>
      </c>
      <c r="J334" s="1">
        <v>45556</v>
      </c>
    </row>
    <row r="335" spans="1:10" x14ac:dyDescent="0.3">
      <c r="A335" t="s">
        <v>1250</v>
      </c>
      <c r="B335" t="s">
        <v>1931</v>
      </c>
      <c r="C335" t="s">
        <v>2048</v>
      </c>
      <c r="D335">
        <v>18</v>
      </c>
      <c r="E335" t="s">
        <v>2383</v>
      </c>
      <c r="F335" t="s">
        <v>2550</v>
      </c>
      <c r="G335" t="s">
        <v>2573</v>
      </c>
      <c r="H335" t="s">
        <v>2601</v>
      </c>
      <c r="I335" t="s">
        <v>2608</v>
      </c>
      <c r="J335" s="1">
        <v>44620</v>
      </c>
    </row>
    <row r="336" spans="1:10" x14ac:dyDescent="0.3">
      <c r="A336" t="s">
        <v>1229</v>
      </c>
      <c r="B336" t="s">
        <v>1749</v>
      </c>
      <c r="C336" t="s">
        <v>2048</v>
      </c>
      <c r="D336">
        <v>33</v>
      </c>
      <c r="E336" t="s">
        <v>2384</v>
      </c>
      <c r="F336" t="s">
        <v>2554</v>
      </c>
      <c r="G336" t="s">
        <v>2577</v>
      </c>
      <c r="H336" t="s">
        <v>2601</v>
      </c>
      <c r="I336" t="s">
        <v>2606</v>
      </c>
      <c r="J336" s="1">
        <v>45186</v>
      </c>
    </row>
    <row r="337" spans="1:10" x14ac:dyDescent="0.3">
      <c r="A337" t="s">
        <v>966</v>
      </c>
      <c r="B337" t="s">
        <v>1828</v>
      </c>
      <c r="C337" t="s">
        <v>2048</v>
      </c>
      <c r="D337">
        <v>61</v>
      </c>
      <c r="E337" t="s">
        <v>2385</v>
      </c>
      <c r="F337" t="s">
        <v>2569</v>
      </c>
      <c r="G337" t="s">
        <v>2587</v>
      </c>
      <c r="H337" t="s">
        <v>2604</v>
      </c>
      <c r="I337" t="s">
        <v>2606</v>
      </c>
      <c r="J337" s="1">
        <v>44984</v>
      </c>
    </row>
    <row r="338" spans="1:10" x14ac:dyDescent="0.3">
      <c r="A338" t="s">
        <v>1598</v>
      </c>
      <c r="B338" t="s">
        <v>1932</v>
      </c>
      <c r="C338" t="s">
        <v>2048</v>
      </c>
      <c r="D338">
        <v>42</v>
      </c>
      <c r="E338" t="s">
        <v>2386</v>
      </c>
      <c r="F338" t="s">
        <v>2550</v>
      </c>
      <c r="G338" t="s">
        <v>2573</v>
      </c>
      <c r="H338" t="s">
        <v>2601</v>
      </c>
      <c r="I338" t="s">
        <v>2607</v>
      </c>
      <c r="J338" s="1">
        <v>45041</v>
      </c>
    </row>
    <row r="339" spans="1:10" x14ac:dyDescent="0.3">
      <c r="A339" t="s">
        <v>1599</v>
      </c>
      <c r="B339" t="s">
        <v>1933</v>
      </c>
      <c r="C339" t="s">
        <v>2049</v>
      </c>
      <c r="D339">
        <v>24</v>
      </c>
      <c r="E339" t="s">
        <v>2387</v>
      </c>
      <c r="F339" t="s">
        <v>2567</v>
      </c>
      <c r="G339" t="s">
        <v>2585</v>
      </c>
      <c r="H339" t="s">
        <v>2604</v>
      </c>
      <c r="I339" t="s">
        <v>2606</v>
      </c>
      <c r="J339" s="1">
        <v>44999</v>
      </c>
    </row>
    <row r="340" spans="1:10" x14ac:dyDescent="0.3">
      <c r="A340" t="s">
        <v>1600</v>
      </c>
      <c r="B340" t="s">
        <v>1934</v>
      </c>
      <c r="C340" t="s">
        <v>2049</v>
      </c>
      <c r="D340">
        <v>49</v>
      </c>
      <c r="E340" t="s">
        <v>2388</v>
      </c>
      <c r="F340" t="s">
        <v>2560</v>
      </c>
      <c r="G340" t="s">
        <v>2579</v>
      </c>
      <c r="H340" t="s">
        <v>2604</v>
      </c>
      <c r="I340" t="s">
        <v>2608</v>
      </c>
      <c r="J340" s="1">
        <v>45128</v>
      </c>
    </row>
    <row r="341" spans="1:10" x14ac:dyDescent="0.3">
      <c r="A341" t="s">
        <v>1287</v>
      </c>
      <c r="B341" t="s">
        <v>1935</v>
      </c>
      <c r="C341" t="s">
        <v>2049</v>
      </c>
      <c r="E341" t="s">
        <v>2389</v>
      </c>
      <c r="F341" t="s">
        <v>2566</v>
      </c>
      <c r="G341" t="s">
        <v>2584</v>
      </c>
      <c r="H341" t="s">
        <v>2601</v>
      </c>
      <c r="I341" t="s">
        <v>2608</v>
      </c>
      <c r="J341" s="1">
        <v>45119</v>
      </c>
    </row>
    <row r="342" spans="1:10" x14ac:dyDescent="0.3">
      <c r="A342" t="s">
        <v>1234</v>
      </c>
      <c r="B342" t="s">
        <v>1932</v>
      </c>
      <c r="C342" t="s">
        <v>2048</v>
      </c>
      <c r="D342">
        <v>48</v>
      </c>
      <c r="E342" t="s">
        <v>2390</v>
      </c>
      <c r="F342" t="s">
        <v>2555</v>
      </c>
      <c r="G342" t="s">
        <v>2578</v>
      </c>
      <c r="H342" t="s">
        <v>2603</v>
      </c>
      <c r="I342" t="s">
        <v>2606</v>
      </c>
      <c r="J342" s="1">
        <v>45874</v>
      </c>
    </row>
    <row r="343" spans="1:10" x14ac:dyDescent="0.3">
      <c r="A343" t="s">
        <v>1106</v>
      </c>
      <c r="B343" t="s">
        <v>1936</v>
      </c>
      <c r="C343" t="s">
        <v>2049</v>
      </c>
      <c r="D343">
        <v>25</v>
      </c>
      <c r="E343" t="s">
        <v>2391</v>
      </c>
      <c r="F343" t="s">
        <v>2554</v>
      </c>
      <c r="G343" t="s">
        <v>2577</v>
      </c>
      <c r="H343" t="s">
        <v>2601</v>
      </c>
      <c r="I343" t="s">
        <v>2608</v>
      </c>
      <c r="J343" s="1">
        <v>45957</v>
      </c>
    </row>
    <row r="344" spans="1:10" x14ac:dyDescent="0.3">
      <c r="A344" t="s">
        <v>1257</v>
      </c>
      <c r="B344" t="s">
        <v>1937</v>
      </c>
      <c r="C344" t="s">
        <v>2049</v>
      </c>
      <c r="D344">
        <v>32</v>
      </c>
      <c r="E344" t="s">
        <v>2392</v>
      </c>
      <c r="F344" t="s">
        <v>2558</v>
      </c>
      <c r="G344" t="s">
        <v>2558</v>
      </c>
      <c r="H344" t="s">
        <v>2603</v>
      </c>
      <c r="I344" t="s">
        <v>2608</v>
      </c>
      <c r="J344" s="1">
        <v>44702</v>
      </c>
    </row>
    <row r="345" spans="1:10" x14ac:dyDescent="0.3">
      <c r="A345" t="s">
        <v>1017</v>
      </c>
      <c r="B345" t="s">
        <v>1898</v>
      </c>
      <c r="C345" t="s">
        <v>2049</v>
      </c>
      <c r="D345">
        <v>27</v>
      </c>
      <c r="E345" t="s">
        <v>2393</v>
      </c>
      <c r="F345" t="s">
        <v>2551</v>
      </c>
      <c r="G345" t="s">
        <v>2574</v>
      </c>
      <c r="H345" t="s">
        <v>2602</v>
      </c>
      <c r="I345" t="s">
        <v>2606</v>
      </c>
      <c r="J345" s="1">
        <v>45250</v>
      </c>
    </row>
    <row r="346" spans="1:10" x14ac:dyDescent="0.3">
      <c r="A346" t="s">
        <v>1072</v>
      </c>
      <c r="B346" t="s">
        <v>1695</v>
      </c>
      <c r="C346" t="s">
        <v>2049</v>
      </c>
      <c r="D346">
        <v>25</v>
      </c>
      <c r="E346" t="s">
        <v>2394</v>
      </c>
      <c r="F346" t="s">
        <v>2569</v>
      </c>
      <c r="G346" t="s">
        <v>2587</v>
      </c>
      <c r="H346" t="s">
        <v>2604</v>
      </c>
      <c r="I346" t="s">
        <v>2608</v>
      </c>
      <c r="J346" s="1">
        <v>44969</v>
      </c>
    </row>
    <row r="347" spans="1:10" x14ac:dyDescent="0.3">
      <c r="A347" t="s">
        <v>1601</v>
      </c>
      <c r="B347" t="s">
        <v>1938</v>
      </c>
      <c r="C347" t="s">
        <v>2048</v>
      </c>
      <c r="D347">
        <v>30</v>
      </c>
      <c r="E347" t="s">
        <v>2395</v>
      </c>
      <c r="F347" t="s">
        <v>2560</v>
      </c>
      <c r="G347" t="s">
        <v>2579</v>
      </c>
      <c r="H347" t="s">
        <v>2604</v>
      </c>
      <c r="I347" t="s">
        <v>2608</v>
      </c>
      <c r="J347" s="1">
        <v>44711</v>
      </c>
    </row>
    <row r="348" spans="1:10" x14ac:dyDescent="0.3">
      <c r="A348" t="s">
        <v>1140</v>
      </c>
      <c r="B348" t="s">
        <v>1939</v>
      </c>
      <c r="C348" t="s">
        <v>2048</v>
      </c>
      <c r="E348" t="s">
        <v>2396</v>
      </c>
      <c r="F348" t="s">
        <v>2561</v>
      </c>
      <c r="G348" t="s">
        <v>2598</v>
      </c>
      <c r="H348" t="s">
        <v>2601</v>
      </c>
      <c r="I348" t="s">
        <v>2607</v>
      </c>
      <c r="J348" s="1">
        <v>44940</v>
      </c>
    </row>
    <row r="349" spans="1:10" x14ac:dyDescent="0.3">
      <c r="A349" t="s">
        <v>1043</v>
      </c>
      <c r="B349" t="s">
        <v>1940</v>
      </c>
      <c r="C349" t="s">
        <v>2048</v>
      </c>
      <c r="D349">
        <v>55</v>
      </c>
      <c r="E349" t="s">
        <v>2397</v>
      </c>
      <c r="F349" t="s">
        <v>2566</v>
      </c>
      <c r="G349" t="s">
        <v>2584</v>
      </c>
      <c r="H349" t="s">
        <v>2601</v>
      </c>
      <c r="I349" t="s">
        <v>2606</v>
      </c>
      <c r="J349" s="1">
        <v>45099</v>
      </c>
    </row>
    <row r="350" spans="1:10" x14ac:dyDescent="0.3">
      <c r="A350" t="s">
        <v>1602</v>
      </c>
      <c r="B350" t="s">
        <v>1941</v>
      </c>
      <c r="C350" t="s">
        <v>2048</v>
      </c>
      <c r="D350">
        <v>18</v>
      </c>
      <c r="E350" t="s">
        <v>2398</v>
      </c>
      <c r="F350" t="s">
        <v>2558</v>
      </c>
      <c r="G350" t="s">
        <v>2558</v>
      </c>
      <c r="H350" t="s">
        <v>2603</v>
      </c>
      <c r="I350" t="s">
        <v>2606</v>
      </c>
      <c r="J350" s="1">
        <v>45381</v>
      </c>
    </row>
    <row r="351" spans="1:10" x14ac:dyDescent="0.3">
      <c r="A351" t="s">
        <v>1302</v>
      </c>
      <c r="B351" t="s">
        <v>1942</v>
      </c>
      <c r="C351" t="s">
        <v>2048</v>
      </c>
      <c r="D351">
        <v>32</v>
      </c>
      <c r="E351" t="s">
        <v>2399</v>
      </c>
      <c r="F351" t="s">
        <v>2565</v>
      </c>
      <c r="G351" t="s">
        <v>2583</v>
      </c>
      <c r="H351" t="s">
        <v>2604</v>
      </c>
      <c r="I351" t="s">
        <v>2608</v>
      </c>
      <c r="J351" s="1">
        <v>44837</v>
      </c>
    </row>
    <row r="352" spans="1:10" x14ac:dyDescent="0.3">
      <c r="A352" t="s">
        <v>1131</v>
      </c>
      <c r="B352" t="s">
        <v>1943</v>
      </c>
      <c r="C352" t="s">
        <v>2048</v>
      </c>
      <c r="D352">
        <v>41</v>
      </c>
      <c r="E352" t="s">
        <v>2400</v>
      </c>
      <c r="F352" t="s">
        <v>2556</v>
      </c>
      <c r="G352" t="s">
        <v>2574</v>
      </c>
      <c r="H352" t="s">
        <v>2602</v>
      </c>
      <c r="I352" t="s">
        <v>2608</v>
      </c>
      <c r="J352" s="1">
        <v>45978</v>
      </c>
    </row>
    <row r="353" spans="1:10" x14ac:dyDescent="0.3">
      <c r="A353" t="s">
        <v>1030</v>
      </c>
      <c r="B353" t="s">
        <v>1944</v>
      </c>
      <c r="C353" t="s">
        <v>2049</v>
      </c>
      <c r="D353">
        <v>29</v>
      </c>
      <c r="E353" t="s">
        <v>2401</v>
      </c>
      <c r="F353" t="s">
        <v>2558</v>
      </c>
      <c r="G353" t="s">
        <v>2558</v>
      </c>
      <c r="H353" t="s">
        <v>2603</v>
      </c>
      <c r="I353" t="s">
        <v>2606</v>
      </c>
      <c r="J353" s="1">
        <v>44844</v>
      </c>
    </row>
    <row r="354" spans="1:10" x14ac:dyDescent="0.3">
      <c r="A354" t="s">
        <v>1292</v>
      </c>
      <c r="B354" t="s">
        <v>1671</v>
      </c>
      <c r="C354" t="s">
        <v>2049</v>
      </c>
      <c r="D354">
        <v>29</v>
      </c>
      <c r="E354" t="s">
        <v>2402</v>
      </c>
      <c r="F354" t="s">
        <v>2556</v>
      </c>
      <c r="G354" t="s">
        <v>2592</v>
      </c>
      <c r="H354" t="s">
        <v>2602</v>
      </c>
      <c r="I354" t="s">
        <v>2606</v>
      </c>
      <c r="J354" s="1">
        <v>45585</v>
      </c>
    </row>
    <row r="355" spans="1:10" x14ac:dyDescent="0.3">
      <c r="A355" t="s">
        <v>1603</v>
      </c>
      <c r="B355" t="s">
        <v>1945</v>
      </c>
      <c r="C355" t="s">
        <v>2049</v>
      </c>
      <c r="D355">
        <v>34</v>
      </c>
      <c r="E355" t="s">
        <v>2403</v>
      </c>
      <c r="F355" t="s">
        <v>2559</v>
      </c>
      <c r="G355" t="s">
        <v>2559</v>
      </c>
      <c r="H355" t="s">
        <v>2603</v>
      </c>
      <c r="I355" t="s">
        <v>2606</v>
      </c>
      <c r="J355" s="1">
        <v>44642</v>
      </c>
    </row>
    <row r="356" spans="1:10" x14ac:dyDescent="0.3">
      <c r="A356" t="s">
        <v>1053</v>
      </c>
      <c r="B356" t="s">
        <v>1737</v>
      </c>
      <c r="C356" t="s">
        <v>2048</v>
      </c>
      <c r="D356">
        <v>18</v>
      </c>
      <c r="E356" t="s">
        <v>2404</v>
      </c>
      <c r="F356" t="s">
        <v>2562</v>
      </c>
      <c r="G356" t="s">
        <v>2574</v>
      </c>
      <c r="H356" t="s">
        <v>2602</v>
      </c>
      <c r="I356" t="s">
        <v>2606</v>
      </c>
      <c r="J356" s="1">
        <v>45537</v>
      </c>
    </row>
    <row r="357" spans="1:10" x14ac:dyDescent="0.3">
      <c r="A357" t="s">
        <v>1604</v>
      </c>
      <c r="B357" t="s">
        <v>1946</v>
      </c>
      <c r="C357" t="s">
        <v>2048</v>
      </c>
      <c r="D357">
        <v>20</v>
      </c>
      <c r="E357" t="s">
        <v>2405</v>
      </c>
      <c r="F357" t="s">
        <v>2572</v>
      </c>
      <c r="G357" t="s">
        <v>2582</v>
      </c>
      <c r="H357" t="s">
        <v>2601</v>
      </c>
      <c r="I357" t="s">
        <v>2606</v>
      </c>
      <c r="J357" s="1">
        <v>45565</v>
      </c>
    </row>
    <row r="358" spans="1:10" x14ac:dyDescent="0.3">
      <c r="A358" t="s">
        <v>1605</v>
      </c>
      <c r="B358" t="s">
        <v>1947</v>
      </c>
      <c r="C358" t="s">
        <v>2049</v>
      </c>
      <c r="D358">
        <v>47</v>
      </c>
      <c r="E358" t="s">
        <v>2406</v>
      </c>
      <c r="F358" t="s">
        <v>2551</v>
      </c>
      <c r="G358" t="s">
        <v>2574</v>
      </c>
      <c r="H358" t="s">
        <v>2602</v>
      </c>
      <c r="I358" t="s">
        <v>2606</v>
      </c>
      <c r="J358" s="1">
        <v>45064</v>
      </c>
    </row>
    <row r="359" spans="1:10" x14ac:dyDescent="0.3">
      <c r="A359" t="s">
        <v>1606</v>
      </c>
      <c r="B359" t="s">
        <v>1948</v>
      </c>
      <c r="C359" t="s">
        <v>2049</v>
      </c>
      <c r="D359">
        <v>29</v>
      </c>
      <c r="E359" t="s">
        <v>2407</v>
      </c>
      <c r="F359" t="s">
        <v>2568</v>
      </c>
      <c r="G359" t="s">
        <v>2586</v>
      </c>
      <c r="H359" t="s">
        <v>2603</v>
      </c>
      <c r="I359" t="s">
        <v>2608</v>
      </c>
      <c r="J359" s="1">
        <v>45664</v>
      </c>
    </row>
    <row r="360" spans="1:10" x14ac:dyDescent="0.3">
      <c r="A360" t="s">
        <v>1026</v>
      </c>
      <c r="B360" t="s">
        <v>1736</v>
      </c>
      <c r="C360" t="s">
        <v>2048</v>
      </c>
      <c r="D360">
        <v>39</v>
      </c>
      <c r="E360" t="s">
        <v>2408</v>
      </c>
      <c r="F360" t="s">
        <v>2571</v>
      </c>
      <c r="G360" t="s">
        <v>2590</v>
      </c>
      <c r="H360" t="s">
        <v>2605</v>
      </c>
      <c r="I360" t="s">
        <v>2607</v>
      </c>
      <c r="J360" s="1">
        <v>45937</v>
      </c>
    </row>
    <row r="361" spans="1:10" x14ac:dyDescent="0.3">
      <c r="A361" t="s">
        <v>1242</v>
      </c>
      <c r="B361" t="s">
        <v>1921</v>
      </c>
      <c r="C361" t="s">
        <v>2049</v>
      </c>
      <c r="D361">
        <v>35</v>
      </c>
      <c r="E361" t="s">
        <v>2409</v>
      </c>
      <c r="F361" t="s">
        <v>2554</v>
      </c>
      <c r="G361" t="s">
        <v>2577</v>
      </c>
      <c r="H361" t="s">
        <v>2601</v>
      </c>
      <c r="I361" t="s">
        <v>2606</v>
      </c>
      <c r="J361" s="1">
        <v>45715</v>
      </c>
    </row>
    <row r="362" spans="1:10" x14ac:dyDescent="0.3">
      <c r="A362" t="s">
        <v>1290</v>
      </c>
      <c r="B362" t="s">
        <v>1692</v>
      </c>
      <c r="C362" t="s">
        <v>2048</v>
      </c>
      <c r="D362">
        <v>33</v>
      </c>
      <c r="E362" t="s">
        <v>2410</v>
      </c>
      <c r="F362" t="s">
        <v>2553</v>
      </c>
      <c r="G362" t="s">
        <v>2576</v>
      </c>
      <c r="H362" t="s">
        <v>2602</v>
      </c>
      <c r="I362" t="s">
        <v>2607</v>
      </c>
      <c r="J362" s="1">
        <v>45304</v>
      </c>
    </row>
    <row r="363" spans="1:10" x14ac:dyDescent="0.3">
      <c r="A363" t="s">
        <v>1607</v>
      </c>
      <c r="B363" t="s">
        <v>1949</v>
      </c>
      <c r="C363" t="s">
        <v>2049</v>
      </c>
      <c r="D363">
        <v>26</v>
      </c>
      <c r="E363" t="s">
        <v>2411</v>
      </c>
      <c r="F363" t="s">
        <v>2569</v>
      </c>
      <c r="G363" t="s">
        <v>2587</v>
      </c>
      <c r="H363" t="s">
        <v>2604</v>
      </c>
      <c r="I363" t="s">
        <v>2606</v>
      </c>
      <c r="J363" s="1">
        <v>45441</v>
      </c>
    </row>
    <row r="364" spans="1:10" x14ac:dyDescent="0.3">
      <c r="A364" t="s">
        <v>1177</v>
      </c>
      <c r="B364" t="s">
        <v>1950</v>
      </c>
      <c r="C364" t="s">
        <v>2049</v>
      </c>
      <c r="D364">
        <v>32</v>
      </c>
      <c r="E364" t="s">
        <v>2412</v>
      </c>
      <c r="F364" t="s">
        <v>2564</v>
      </c>
      <c r="G364" t="s">
        <v>2582</v>
      </c>
      <c r="H364" t="s">
        <v>2601</v>
      </c>
      <c r="I364" t="s">
        <v>2607</v>
      </c>
      <c r="J364" s="1">
        <v>44908</v>
      </c>
    </row>
    <row r="365" spans="1:10" x14ac:dyDescent="0.3">
      <c r="A365" t="s">
        <v>1178</v>
      </c>
      <c r="B365" t="s">
        <v>1951</v>
      </c>
      <c r="C365" t="s">
        <v>2048</v>
      </c>
      <c r="D365">
        <v>39</v>
      </c>
      <c r="E365" t="s">
        <v>2413</v>
      </c>
      <c r="F365" t="s">
        <v>2571</v>
      </c>
      <c r="G365" t="s">
        <v>2590</v>
      </c>
      <c r="H365" t="s">
        <v>2605</v>
      </c>
      <c r="I365" t="s">
        <v>2606</v>
      </c>
      <c r="J365" s="1">
        <v>45346</v>
      </c>
    </row>
    <row r="366" spans="1:10" x14ac:dyDescent="0.3">
      <c r="A366" t="s">
        <v>1608</v>
      </c>
      <c r="B366" t="s">
        <v>1952</v>
      </c>
      <c r="C366" t="s">
        <v>2048</v>
      </c>
      <c r="D366">
        <v>38</v>
      </c>
      <c r="E366" t="s">
        <v>2414</v>
      </c>
      <c r="F366" t="s">
        <v>2555</v>
      </c>
      <c r="G366" t="s">
        <v>2578</v>
      </c>
      <c r="H366" t="s">
        <v>2603</v>
      </c>
      <c r="I366" t="s">
        <v>2606</v>
      </c>
      <c r="J366" s="1">
        <v>44926</v>
      </c>
    </row>
    <row r="367" spans="1:10" x14ac:dyDescent="0.3">
      <c r="A367" t="s">
        <v>1255</v>
      </c>
      <c r="B367" t="s">
        <v>1953</v>
      </c>
      <c r="C367" t="s">
        <v>2049</v>
      </c>
      <c r="D367">
        <v>30</v>
      </c>
      <c r="E367" t="s">
        <v>2415</v>
      </c>
      <c r="F367" t="s">
        <v>2563</v>
      </c>
      <c r="G367" t="s">
        <v>2581</v>
      </c>
      <c r="H367" t="s">
        <v>2604</v>
      </c>
      <c r="I367" t="s">
        <v>2606</v>
      </c>
      <c r="J367" s="1">
        <v>45529</v>
      </c>
    </row>
    <row r="368" spans="1:10" x14ac:dyDescent="0.3">
      <c r="A368" t="s">
        <v>1049</v>
      </c>
      <c r="B368" t="s">
        <v>1784</v>
      </c>
      <c r="C368" t="s">
        <v>2048</v>
      </c>
      <c r="D368">
        <v>36</v>
      </c>
      <c r="E368" t="s">
        <v>2416</v>
      </c>
      <c r="F368" t="s">
        <v>2551</v>
      </c>
      <c r="G368" t="s">
        <v>2574</v>
      </c>
      <c r="H368" t="s">
        <v>2602</v>
      </c>
      <c r="I368" t="s">
        <v>2606</v>
      </c>
      <c r="J368" s="1">
        <v>45599</v>
      </c>
    </row>
    <row r="369" spans="1:10" x14ac:dyDescent="0.3">
      <c r="A369" t="s">
        <v>1100</v>
      </c>
      <c r="B369" t="s">
        <v>1954</v>
      </c>
      <c r="C369" t="s">
        <v>2048</v>
      </c>
      <c r="D369">
        <v>31</v>
      </c>
      <c r="E369" t="s">
        <v>2417</v>
      </c>
      <c r="F369" t="s">
        <v>2556</v>
      </c>
      <c r="G369" t="s">
        <v>2574</v>
      </c>
      <c r="H369" t="s">
        <v>2602</v>
      </c>
      <c r="I369" t="s">
        <v>2608</v>
      </c>
      <c r="J369" s="1">
        <v>44759</v>
      </c>
    </row>
    <row r="370" spans="1:10" x14ac:dyDescent="0.3">
      <c r="A370" t="s">
        <v>986</v>
      </c>
      <c r="B370" t="s">
        <v>1955</v>
      </c>
      <c r="C370" t="s">
        <v>2048</v>
      </c>
      <c r="D370">
        <v>33</v>
      </c>
      <c r="E370" t="s">
        <v>2418</v>
      </c>
      <c r="F370" t="s">
        <v>2568</v>
      </c>
      <c r="G370" t="s">
        <v>2586</v>
      </c>
      <c r="H370" t="s">
        <v>2603</v>
      </c>
      <c r="I370" t="s">
        <v>2606</v>
      </c>
      <c r="J370" s="1">
        <v>45593</v>
      </c>
    </row>
    <row r="371" spans="1:10" x14ac:dyDescent="0.3">
      <c r="A371" t="s">
        <v>975</v>
      </c>
      <c r="B371" t="s">
        <v>1956</v>
      </c>
      <c r="C371" t="s">
        <v>2049</v>
      </c>
      <c r="D371">
        <v>41</v>
      </c>
      <c r="E371" t="s">
        <v>2419</v>
      </c>
      <c r="F371" t="s">
        <v>2559</v>
      </c>
      <c r="G371" t="s">
        <v>2559</v>
      </c>
      <c r="H371" t="s">
        <v>2603</v>
      </c>
      <c r="I371" t="s">
        <v>2608</v>
      </c>
      <c r="J371" s="1">
        <v>45757</v>
      </c>
    </row>
    <row r="372" spans="1:10" x14ac:dyDescent="0.3">
      <c r="A372" t="s">
        <v>1609</v>
      </c>
      <c r="B372" t="s">
        <v>1957</v>
      </c>
      <c r="C372" t="s">
        <v>2049</v>
      </c>
      <c r="D372">
        <v>18</v>
      </c>
      <c r="E372" t="s">
        <v>2420</v>
      </c>
      <c r="F372" t="s">
        <v>2565</v>
      </c>
      <c r="G372" t="s">
        <v>2583</v>
      </c>
      <c r="H372" t="s">
        <v>2604</v>
      </c>
      <c r="I372" t="s">
        <v>2606</v>
      </c>
      <c r="J372" s="1">
        <v>45686</v>
      </c>
    </row>
    <row r="373" spans="1:10" x14ac:dyDescent="0.3">
      <c r="A373" t="s">
        <v>1095</v>
      </c>
      <c r="B373" t="s">
        <v>1958</v>
      </c>
      <c r="C373" t="s">
        <v>2048</v>
      </c>
      <c r="D373">
        <v>42</v>
      </c>
      <c r="E373" t="s">
        <v>2421</v>
      </c>
      <c r="F373" t="s">
        <v>2560</v>
      </c>
      <c r="G373" t="s">
        <v>2579</v>
      </c>
      <c r="H373" t="s">
        <v>2604</v>
      </c>
      <c r="I373" t="s">
        <v>2606</v>
      </c>
      <c r="J373" s="1">
        <v>44755</v>
      </c>
    </row>
    <row r="374" spans="1:10" x14ac:dyDescent="0.3">
      <c r="A374" t="s">
        <v>1610</v>
      </c>
      <c r="B374" t="s">
        <v>1726</v>
      </c>
      <c r="C374" t="s">
        <v>2049</v>
      </c>
      <c r="D374">
        <v>34</v>
      </c>
      <c r="E374" t="s">
        <v>2422</v>
      </c>
      <c r="F374" t="s">
        <v>2559</v>
      </c>
      <c r="G374" t="s">
        <v>2559</v>
      </c>
      <c r="H374" t="s">
        <v>2603</v>
      </c>
      <c r="I374" t="s">
        <v>2608</v>
      </c>
      <c r="J374" s="1">
        <v>45867</v>
      </c>
    </row>
    <row r="375" spans="1:10" x14ac:dyDescent="0.3">
      <c r="A375" t="s">
        <v>1326</v>
      </c>
      <c r="B375" t="s">
        <v>1937</v>
      </c>
      <c r="C375" t="s">
        <v>2049</v>
      </c>
      <c r="D375">
        <v>24</v>
      </c>
      <c r="E375" t="s">
        <v>2423</v>
      </c>
      <c r="F375" t="s">
        <v>2550</v>
      </c>
      <c r="G375" t="s">
        <v>2573</v>
      </c>
      <c r="H375" t="s">
        <v>2601</v>
      </c>
      <c r="I375" t="s">
        <v>2607</v>
      </c>
      <c r="J375" s="1">
        <v>45396</v>
      </c>
    </row>
    <row r="376" spans="1:10" x14ac:dyDescent="0.3">
      <c r="A376" t="s">
        <v>1161</v>
      </c>
      <c r="B376" t="s">
        <v>1959</v>
      </c>
      <c r="C376" t="s">
        <v>2048</v>
      </c>
      <c r="D376">
        <v>18</v>
      </c>
      <c r="E376" t="s">
        <v>2424</v>
      </c>
      <c r="F376" t="s">
        <v>2554</v>
      </c>
      <c r="G376" t="s">
        <v>2577</v>
      </c>
      <c r="H376" t="s">
        <v>2601</v>
      </c>
      <c r="I376" t="s">
        <v>2606</v>
      </c>
      <c r="J376" s="1">
        <v>45582</v>
      </c>
    </row>
    <row r="377" spans="1:10" x14ac:dyDescent="0.3">
      <c r="A377" t="s">
        <v>1227</v>
      </c>
      <c r="B377" t="s">
        <v>1960</v>
      </c>
      <c r="C377" t="s">
        <v>2048</v>
      </c>
      <c r="D377">
        <v>24</v>
      </c>
      <c r="E377" t="s">
        <v>2425</v>
      </c>
      <c r="F377" t="s">
        <v>2555</v>
      </c>
      <c r="G377" t="s">
        <v>2578</v>
      </c>
      <c r="H377" t="s">
        <v>2603</v>
      </c>
      <c r="I377" t="s">
        <v>2606</v>
      </c>
      <c r="J377" s="1">
        <v>44826</v>
      </c>
    </row>
    <row r="378" spans="1:10" x14ac:dyDescent="0.3">
      <c r="A378" t="s">
        <v>1201</v>
      </c>
      <c r="B378" t="s">
        <v>1727</v>
      </c>
      <c r="C378" t="s">
        <v>2049</v>
      </c>
      <c r="D378">
        <v>24</v>
      </c>
      <c r="E378" t="s">
        <v>2426</v>
      </c>
      <c r="F378" t="s">
        <v>2553</v>
      </c>
      <c r="G378" t="s">
        <v>2576</v>
      </c>
      <c r="H378" t="s">
        <v>2602</v>
      </c>
      <c r="I378" t="s">
        <v>2608</v>
      </c>
      <c r="J378" s="1">
        <v>44918</v>
      </c>
    </row>
    <row r="379" spans="1:10" x14ac:dyDescent="0.3">
      <c r="A379" t="s">
        <v>1074</v>
      </c>
      <c r="B379" t="s">
        <v>1961</v>
      </c>
      <c r="C379" t="s">
        <v>2048</v>
      </c>
      <c r="D379">
        <v>18</v>
      </c>
      <c r="E379" t="s">
        <v>2427</v>
      </c>
      <c r="F379" t="s">
        <v>2555</v>
      </c>
      <c r="G379" t="s">
        <v>2578</v>
      </c>
      <c r="H379" t="s">
        <v>2603</v>
      </c>
      <c r="I379" t="s">
        <v>2608</v>
      </c>
      <c r="J379" s="1">
        <v>44896</v>
      </c>
    </row>
    <row r="380" spans="1:10" x14ac:dyDescent="0.3">
      <c r="A380" t="s">
        <v>1318</v>
      </c>
      <c r="B380" t="s">
        <v>1962</v>
      </c>
      <c r="C380" t="s">
        <v>2048</v>
      </c>
      <c r="D380">
        <v>28</v>
      </c>
      <c r="E380" t="s">
        <v>2428</v>
      </c>
      <c r="F380" t="s">
        <v>2551</v>
      </c>
      <c r="G380" t="s">
        <v>2574</v>
      </c>
      <c r="H380" t="s">
        <v>2602</v>
      </c>
      <c r="I380" t="s">
        <v>2608</v>
      </c>
      <c r="J380" s="1">
        <v>45329</v>
      </c>
    </row>
    <row r="381" spans="1:10" x14ac:dyDescent="0.3">
      <c r="A381" t="s">
        <v>1174</v>
      </c>
      <c r="B381" t="s">
        <v>1963</v>
      </c>
      <c r="C381" t="s">
        <v>2048</v>
      </c>
      <c r="D381">
        <v>45</v>
      </c>
      <c r="E381" t="s">
        <v>2429</v>
      </c>
      <c r="F381" t="s">
        <v>2569</v>
      </c>
      <c r="G381" t="s">
        <v>2594</v>
      </c>
      <c r="H381" t="s">
        <v>2604</v>
      </c>
      <c r="I381" t="s">
        <v>2606</v>
      </c>
      <c r="J381" s="1">
        <v>45865</v>
      </c>
    </row>
    <row r="382" spans="1:10" x14ac:dyDescent="0.3">
      <c r="A382" t="s">
        <v>1285</v>
      </c>
      <c r="B382" t="s">
        <v>1964</v>
      </c>
      <c r="C382" t="s">
        <v>2049</v>
      </c>
      <c r="D382">
        <v>18</v>
      </c>
      <c r="E382" t="s">
        <v>2430</v>
      </c>
      <c r="F382" t="s">
        <v>2563</v>
      </c>
      <c r="G382" t="s">
        <v>2581</v>
      </c>
      <c r="H382" t="s">
        <v>2604</v>
      </c>
      <c r="I382" t="s">
        <v>2606</v>
      </c>
      <c r="J382" s="1">
        <v>45618</v>
      </c>
    </row>
    <row r="383" spans="1:10" x14ac:dyDescent="0.3">
      <c r="A383" t="s">
        <v>1012</v>
      </c>
      <c r="B383" t="s">
        <v>1965</v>
      </c>
      <c r="C383" t="s">
        <v>2049</v>
      </c>
      <c r="D383">
        <v>33</v>
      </c>
      <c r="E383" t="s">
        <v>2431</v>
      </c>
      <c r="F383" t="s">
        <v>2569</v>
      </c>
      <c r="G383" t="s">
        <v>2587</v>
      </c>
      <c r="H383" t="s">
        <v>2604</v>
      </c>
      <c r="I383" t="s">
        <v>2607</v>
      </c>
      <c r="J383" s="1">
        <v>45003</v>
      </c>
    </row>
    <row r="384" spans="1:10" x14ac:dyDescent="0.3">
      <c r="A384" t="s">
        <v>1132</v>
      </c>
      <c r="B384" t="s">
        <v>1966</v>
      </c>
      <c r="C384" t="s">
        <v>2049</v>
      </c>
      <c r="D384">
        <v>49</v>
      </c>
      <c r="E384" t="s">
        <v>2432</v>
      </c>
      <c r="F384" t="s">
        <v>2554</v>
      </c>
      <c r="G384" t="s">
        <v>2577</v>
      </c>
      <c r="H384" t="s">
        <v>2601</v>
      </c>
      <c r="I384" t="s">
        <v>2606</v>
      </c>
      <c r="J384" s="1">
        <v>45496</v>
      </c>
    </row>
    <row r="385" spans="1:10" x14ac:dyDescent="0.3">
      <c r="A385" t="s">
        <v>1611</v>
      </c>
      <c r="B385" t="s">
        <v>1967</v>
      </c>
      <c r="C385" t="s">
        <v>2049</v>
      </c>
      <c r="D385">
        <v>32</v>
      </c>
      <c r="E385" t="s">
        <v>2433</v>
      </c>
      <c r="F385" t="s">
        <v>2560</v>
      </c>
      <c r="G385" t="s">
        <v>2579</v>
      </c>
      <c r="H385" t="s">
        <v>2604</v>
      </c>
      <c r="I385" t="s">
        <v>2606</v>
      </c>
      <c r="J385" s="1">
        <v>44685</v>
      </c>
    </row>
    <row r="386" spans="1:10" x14ac:dyDescent="0.3">
      <c r="A386" t="s">
        <v>1612</v>
      </c>
      <c r="B386" t="s">
        <v>1968</v>
      </c>
      <c r="C386" t="s">
        <v>2049</v>
      </c>
      <c r="D386">
        <v>33</v>
      </c>
      <c r="E386" t="s">
        <v>2434</v>
      </c>
      <c r="F386" t="s">
        <v>2571</v>
      </c>
      <c r="G386" t="s">
        <v>2588</v>
      </c>
      <c r="H386" t="s">
        <v>2605</v>
      </c>
      <c r="I386" t="s">
        <v>2608</v>
      </c>
      <c r="J386" s="1">
        <v>45622</v>
      </c>
    </row>
    <row r="387" spans="1:10" x14ac:dyDescent="0.3">
      <c r="A387" t="s">
        <v>1180</v>
      </c>
      <c r="B387" t="s">
        <v>1969</v>
      </c>
      <c r="C387" t="s">
        <v>2049</v>
      </c>
      <c r="D387">
        <v>40</v>
      </c>
      <c r="E387" t="s">
        <v>2435</v>
      </c>
      <c r="F387" t="s">
        <v>2560</v>
      </c>
      <c r="G387" t="s">
        <v>2579</v>
      </c>
      <c r="H387" t="s">
        <v>2604</v>
      </c>
      <c r="I387" t="s">
        <v>2608</v>
      </c>
      <c r="J387" s="1">
        <v>45910</v>
      </c>
    </row>
    <row r="388" spans="1:10" x14ac:dyDescent="0.3">
      <c r="A388" t="s">
        <v>1327</v>
      </c>
      <c r="B388" t="s">
        <v>1970</v>
      </c>
      <c r="C388" t="s">
        <v>2049</v>
      </c>
      <c r="D388">
        <v>33</v>
      </c>
      <c r="E388" t="s">
        <v>2436</v>
      </c>
      <c r="F388" t="s">
        <v>2566</v>
      </c>
      <c r="G388" t="s">
        <v>2584</v>
      </c>
      <c r="H388" t="s">
        <v>2601</v>
      </c>
      <c r="I388" t="s">
        <v>2606</v>
      </c>
      <c r="J388" s="1">
        <v>45524</v>
      </c>
    </row>
    <row r="389" spans="1:10" x14ac:dyDescent="0.3">
      <c r="A389" t="s">
        <v>1114</v>
      </c>
      <c r="B389" t="s">
        <v>1687</v>
      </c>
      <c r="C389" t="s">
        <v>2048</v>
      </c>
      <c r="D389">
        <v>40</v>
      </c>
      <c r="E389" t="s">
        <v>2437</v>
      </c>
      <c r="F389" t="s">
        <v>2568</v>
      </c>
      <c r="G389" t="s">
        <v>2586</v>
      </c>
      <c r="H389" t="s">
        <v>2603</v>
      </c>
      <c r="I389" t="s">
        <v>2607</v>
      </c>
      <c r="J389" s="1">
        <v>45573</v>
      </c>
    </row>
    <row r="390" spans="1:10" x14ac:dyDescent="0.3">
      <c r="A390" t="s">
        <v>1283</v>
      </c>
      <c r="B390" t="s">
        <v>1971</v>
      </c>
      <c r="C390" t="s">
        <v>2049</v>
      </c>
      <c r="D390">
        <v>38</v>
      </c>
      <c r="E390" t="s">
        <v>2438</v>
      </c>
      <c r="F390" t="s">
        <v>2560</v>
      </c>
      <c r="G390" t="s">
        <v>2579</v>
      </c>
      <c r="H390" t="s">
        <v>2604</v>
      </c>
      <c r="I390" t="s">
        <v>2606</v>
      </c>
      <c r="J390" s="1">
        <v>45351</v>
      </c>
    </row>
    <row r="391" spans="1:10" x14ac:dyDescent="0.3">
      <c r="A391" t="s">
        <v>1085</v>
      </c>
      <c r="B391" t="s">
        <v>1652</v>
      </c>
      <c r="C391" t="s">
        <v>2049</v>
      </c>
      <c r="D391">
        <v>18</v>
      </c>
      <c r="E391" t="s">
        <v>2439</v>
      </c>
      <c r="F391" t="s">
        <v>2553</v>
      </c>
      <c r="G391" t="s">
        <v>2576</v>
      </c>
      <c r="H391" t="s">
        <v>2602</v>
      </c>
      <c r="I391" t="s">
        <v>2608</v>
      </c>
      <c r="J391" s="1">
        <v>45913</v>
      </c>
    </row>
    <row r="392" spans="1:10" x14ac:dyDescent="0.3">
      <c r="A392" t="s">
        <v>1135</v>
      </c>
      <c r="B392" t="s">
        <v>1680</v>
      </c>
      <c r="C392" t="s">
        <v>2048</v>
      </c>
      <c r="D392">
        <v>30</v>
      </c>
      <c r="E392" t="s">
        <v>2440</v>
      </c>
      <c r="F392" t="s">
        <v>2558</v>
      </c>
      <c r="G392" t="s">
        <v>2558</v>
      </c>
      <c r="H392" t="s">
        <v>2603</v>
      </c>
      <c r="I392" t="s">
        <v>2606</v>
      </c>
      <c r="J392" s="1">
        <v>45372</v>
      </c>
    </row>
    <row r="393" spans="1:10" x14ac:dyDescent="0.3">
      <c r="A393" t="s">
        <v>1099</v>
      </c>
      <c r="B393" t="s">
        <v>1777</v>
      </c>
      <c r="C393" t="s">
        <v>2048</v>
      </c>
      <c r="D393">
        <v>35</v>
      </c>
      <c r="E393" t="s">
        <v>2441</v>
      </c>
      <c r="F393" t="s">
        <v>2563</v>
      </c>
      <c r="G393" t="s">
        <v>2581</v>
      </c>
      <c r="H393" t="s">
        <v>2604</v>
      </c>
      <c r="I393" t="s">
        <v>2608</v>
      </c>
      <c r="J393" s="1">
        <v>45313</v>
      </c>
    </row>
    <row r="394" spans="1:10" x14ac:dyDescent="0.3">
      <c r="A394" t="s">
        <v>1613</v>
      </c>
      <c r="B394" t="s">
        <v>1972</v>
      </c>
      <c r="C394" t="s">
        <v>2048</v>
      </c>
      <c r="D394">
        <v>45</v>
      </c>
      <c r="E394" t="s">
        <v>2442</v>
      </c>
      <c r="F394" t="s">
        <v>2557</v>
      </c>
      <c r="G394" t="s">
        <v>2576</v>
      </c>
      <c r="H394" t="s">
        <v>2602</v>
      </c>
      <c r="I394" t="s">
        <v>2606</v>
      </c>
      <c r="J394" s="1">
        <v>44600</v>
      </c>
    </row>
    <row r="395" spans="1:10" x14ac:dyDescent="0.3">
      <c r="A395" t="s">
        <v>1614</v>
      </c>
      <c r="B395" t="s">
        <v>1973</v>
      </c>
      <c r="C395" t="s">
        <v>2049</v>
      </c>
      <c r="D395">
        <v>38</v>
      </c>
      <c r="E395" t="s">
        <v>2443</v>
      </c>
      <c r="F395" t="s">
        <v>2566</v>
      </c>
      <c r="G395" t="s">
        <v>2584</v>
      </c>
      <c r="H395" t="s">
        <v>2601</v>
      </c>
      <c r="I395" t="s">
        <v>2607</v>
      </c>
      <c r="J395" s="1">
        <v>44688</v>
      </c>
    </row>
    <row r="396" spans="1:10" x14ac:dyDescent="0.3">
      <c r="A396" t="s">
        <v>1615</v>
      </c>
      <c r="B396" t="s">
        <v>1974</v>
      </c>
      <c r="C396" t="s">
        <v>2048</v>
      </c>
      <c r="D396">
        <v>22</v>
      </c>
      <c r="E396" t="s">
        <v>2444</v>
      </c>
      <c r="F396" t="s">
        <v>2565</v>
      </c>
      <c r="G396" t="s">
        <v>2583</v>
      </c>
      <c r="H396" t="s">
        <v>2604</v>
      </c>
      <c r="I396" t="s">
        <v>2606</v>
      </c>
      <c r="J396" s="1">
        <v>44875</v>
      </c>
    </row>
    <row r="397" spans="1:10" x14ac:dyDescent="0.3">
      <c r="A397" t="s">
        <v>1192</v>
      </c>
      <c r="B397" t="s">
        <v>1975</v>
      </c>
      <c r="C397" t="s">
        <v>2048</v>
      </c>
      <c r="D397">
        <v>23</v>
      </c>
      <c r="E397" t="s">
        <v>2445</v>
      </c>
      <c r="F397" t="s">
        <v>2572</v>
      </c>
      <c r="G397" t="s">
        <v>2582</v>
      </c>
      <c r="H397" t="s">
        <v>2601</v>
      </c>
      <c r="I397" t="s">
        <v>2606</v>
      </c>
      <c r="J397" s="1">
        <v>45241</v>
      </c>
    </row>
    <row r="398" spans="1:10" x14ac:dyDescent="0.3">
      <c r="A398" t="s">
        <v>1224</v>
      </c>
      <c r="B398" t="s">
        <v>1976</v>
      </c>
      <c r="C398" t="s">
        <v>2049</v>
      </c>
      <c r="D398">
        <v>18</v>
      </c>
      <c r="E398" t="s">
        <v>2446</v>
      </c>
      <c r="F398" t="s">
        <v>2557</v>
      </c>
      <c r="G398" t="s">
        <v>2576</v>
      </c>
      <c r="H398" t="s">
        <v>2602</v>
      </c>
      <c r="I398" t="s">
        <v>2606</v>
      </c>
      <c r="J398" s="1">
        <v>44877</v>
      </c>
    </row>
    <row r="399" spans="1:10" x14ac:dyDescent="0.3">
      <c r="A399" t="s">
        <v>1616</v>
      </c>
      <c r="B399" t="s">
        <v>1977</v>
      </c>
      <c r="C399" t="s">
        <v>2048</v>
      </c>
      <c r="D399">
        <v>30</v>
      </c>
      <c r="E399" t="s">
        <v>2447</v>
      </c>
      <c r="F399" t="s">
        <v>2563</v>
      </c>
      <c r="G399" t="s">
        <v>2581</v>
      </c>
      <c r="H399" t="s">
        <v>2604</v>
      </c>
      <c r="I399" t="s">
        <v>2608</v>
      </c>
      <c r="J399" s="1">
        <v>44903</v>
      </c>
    </row>
    <row r="400" spans="1:10" x14ac:dyDescent="0.3">
      <c r="A400" t="s">
        <v>1080</v>
      </c>
      <c r="B400" t="s">
        <v>1978</v>
      </c>
      <c r="C400" t="s">
        <v>2048</v>
      </c>
      <c r="D400">
        <v>29</v>
      </c>
      <c r="E400" t="s">
        <v>2448</v>
      </c>
      <c r="F400" t="s">
        <v>2562</v>
      </c>
      <c r="G400" t="s">
        <v>2574</v>
      </c>
      <c r="H400" t="s">
        <v>2602</v>
      </c>
      <c r="I400" t="s">
        <v>2607</v>
      </c>
      <c r="J400" s="1">
        <v>45716</v>
      </c>
    </row>
    <row r="401" spans="1:10" x14ac:dyDescent="0.3">
      <c r="A401" t="s">
        <v>1251</v>
      </c>
      <c r="B401" t="s">
        <v>1979</v>
      </c>
      <c r="C401" t="s">
        <v>2049</v>
      </c>
      <c r="D401">
        <v>18</v>
      </c>
      <c r="E401" t="s">
        <v>2449</v>
      </c>
      <c r="F401" t="s">
        <v>2554</v>
      </c>
      <c r="G401" t="s">
        <v>2577</v>
      </c>
      <c r="H401" t="s">
        <v>2601</v>
      </c>
      <c r="I401" t="s">
        <v>2606</v>
      </c>
      <c r="J401" s="1">
        <v>45430</v>
      </c>
    </row>
    <row r="402" spans="1:10" x14ac:dyDescent="0.3">
      <c r="A402" t="s">
        <v>1280</v>
      </c>
      <c r="B402" t="s">
        <v>1917</v>
      </c>
      <c r="C402" t="s">
        <v>2048</v>
      </c>
      <c r="D402">
        <v>44</v>
      </c>
      <c r="E402" t="s">
        <v>2450</v>
      </c>
      <c r="F402" t="s">
        <v>2558</v>
      </c>
      <c r="G402" t="s">
        <v>2558</v>
      </c>
      <c r="H402" t="s">
        <v>2603</v>
      </c>
      <c r="I402" t="s">
        <v>2606</v>
      </c>
      <c r="J402" s="1">
        <v>45378</v>
      </c>
    </row>
    <row r="403" spans="1:10" x14ac:dyDescent="0.3">
      <c r="A403" t="s">
        <v>1617</v>
      </c>
      <c r="B403" t="s">
        <v>1980</v>
      </c>
      <c r="C403" t="s">
        <v>2048</v>
      </c>
      <c r="D403">
        <v>22</v>
      </c>
      <c r="E403" t="s">
        <v>2451</v>
      </c>
      <c r="F403" t="s">
        <v>2558</v>
      </c>
      <c r="G403" t="s">
        <v>2558</v>
      </c>
      <c r="H403" t="s">
        <v>2603</v>
      </c>
      <c r="I403" t="s">
        <v>2607</v>
      </c>
      <c r="J403" s="1">
        <v>45657</v>
      </c>
    </row>
    <row r="404" spans="1:10" x14ac:dyDescent="0.3">
      <c r="A404" t="s">
        <v>1158</v>
      </c>
      <c r="B404" t="s">
        <v>1981</v>
      </c>
      <c r="C404" t="s">
        <v>2048</v>
      </c>
      <c r="D404">
        <v>42</v>
      </c>
      <c r="E404" t="s">
        <v>2452</v>
      </c>
      <c r="F404" t="s">
        <v>2555</v>
      </c>
      <c r="G404" t="s">
        <v>2578</v>
      </c>
      <c r="H404" t="s">
        <v>2603</v>
      </c>
      <c r="I404" t="s">
        <v>2606</v>
      </c>
      <c r="J404" s="1">
        <v>45889</v>
      </c>
    </row>
    <row r="405" spans="1:10" x14ac:dyDescent="0.3">
      <c r="A405" t="s">
        <v>1196</v>
      </c>
      <c r="B405" t="s">
        <v>1982</v>
      </c>
      <c r="C405" t="s">
        <v>2049</v>
      </c>
      <c r="D405">
        <v>18</v>
      </c>
      <c r="E405" t="s">
        <v>2453</v>
      </c>
      <c r="F405" t="s">
        <v>2555</v>
      </c>
      <c r="G405" t="s">
        <v>2578</v>
      </c>
      <c r="H405" t="s">
        <v>2603</v>
      </c>
      <c r="I405" t="s">
        <v>2606</v>
      </c>
      <c r="J405" s="1">
        <v>45748</v>
      </c>
    </row>
    <row r="406" spans="1:10" x14ac:dyDescent="0.3">
      <c r="A406" t="s">
        <v>1089</v>
      </c>
      <c r="B406" t="s">
        <v>1983</v>
      </c>
      <c r="C406" t="s">
        <v>2048</v>
      </c>
      <c r="D406">
        <v>41</v>
      </c>
      <c r="E406" t="s">
        <v>2454</v>
      </c>
      <c r="F406" t="s">
        <v>2554</v>
      </c>
      <c r="G406" t="s">
        <v>2577</v>
      </c>
      <c r="H406" t="s">
        <v>2601</v>
      </c>
      <c r="I406" t="s">
        <v>2606</v>
      </c>
      <c r="J406" s="1">
        <v>45791</v>
      </c>
    </row>
    <row r="407" spans="1:10" x14ac:dyDescent="0.3">
      <c r="A407" t="s">
        <v>1249</v>
      </c>
      <c r="B407" t="s">
        <v>1984</v>
      </c>
      <c r="C407" t="s">
        <v>2048</v>
      </c>
      <c r="E407" t="s">
        <v>2455</v>
      </c>
      <c r="F407" t="s">
        <v>2567</v>
      </c>
      <c r="G407" t="s">
        <v>2585</v>
      </c>
      <c r="H407" t="s">
        <v>2604</v>
      </c>
      <c r="I407" t="s">
        <v>2606</v>
      </c>
      <c r="J407" s="1">
        <v>45339</v>
      </c>
    </row>
    <row r="408" spans="1:10" x14ac:dyDescent="0.3">
      <c r="A408" t="s">
        <v>1187</v>
      </c>
      <c r="B408" t="s">
        <v>1985</v>
      </c>
      <c r="C408" t="s">
        <v>2048</v>
      </c>
      <c r="D408">
        <v>34</v>
      </c>
      <c r="E408" t="s">
        <v>2456</v>
      </c>
      <c r="F408" t="s">
        <v>2550</v>
      </c>
      <c r="G408" t="s">
        <v>2573</v>
      </c>
      <c r="H408" t="s">
        <v>2601</v>
      </c>
      <c r="I408" t="s">
        <v>2606</v>
      </c>
      <c r="J408" s="1">
        <v>44669</v>
      </c>
    </row>
    <row r="409" spans="1:10" x14ac:dyDescent="0.3">
      <c r="A409" t="s">
        <v>1036</v>
      </c>
      <c r="B409" t="s">
        <v>1986</v>
      </c>
      <c r="C409" t="s">
        <v>2049</v>
      </c>
      <c r="D409">
        <v>29</v>
      </c>
      <c r="E409" t="s">
        <v>2457</v>
      </c>
      <c r="F409" t="s">
        <v>2567</v>
      </c>
      <c r="G409" t="s">
        <v>2585</v>
      </c>
      <c r="H409" t="s">
        <v>2604</v>
      </c>
      <c r="I409" t="s">
        <v>2606</v>
      </c>
      <c r="J409" s="1">
        <v>44958</v>
      </c>
    </row>
    <row r="410" spans="1:10" x14ac:dyDescent="0.3">
      <c r="A410" t="s">
        <v>1618</v>
      </c>
      <c r="B410" t="s">
        <v>1987</v>
      </c>
      <c r="C410" t="s">
        <v>2048</v>
      </c>
      <c r="D410">
        <v>40</v>
      </c>
      <c r="E410" t="s">
        <v>2458</v>
      </c>
      <c r="F410" t="s">
        <v>2567</v>
      </c>
      <c r="G410" t="s">
        <v>2585</v>
      </c>
      <c r="H410" t="s">
        <v>2604</v>
      </c>
      <c r="I410" t="s">
        <v>2608</v>
      </c>
      <c r="J410" s="1">
        <v>45929</v>
      </c>
    </row>
    <row r="411" spans="1:10" x14ac:dyDescent="0.3">
      <c r="A411" t="s">
        <v>1265</v>
      </c>
      <c r="B411" t="s">
        <v>1988</v>
      </c>
      <c r="C411" t="s">
        <v>2049</v>
      </c>
      <c r="D411">
        <v>39</v>
      </c>
      <c r="E411" t="s">
        <v>2459</v>
      </c>
      <c r="F411" t="s">
        <v>2565</v>
      </c>
      <c r="G411" t="s">
        <v>2583</v>
      </c>
      <c r="H411" t="s">
        <v>2604</v>
      </c>
      <c r="I411" t="s">
        <v>2606</v>
      </c>
      <c r="J411" s="1">
        <v>45539</v>
      </c>
    </row>
    <row r="412" spans="1:10" x14ac:dyDescent="0.3">
      <c r="A412" t="s">
        <v>1214</v>
      </c>
      <c r="B412" t="s">
        <v>1989</v>
      </c>
      <c r="C412" t="s">
        <v>2049</v>
      </c>
      <c r="D412">
        <v>18</v>
      </c>
      <c r="E412" t="s">
        <v>2460</v>
      </c>
      <c r="F412" t="s">
        <v>2558</v>
      </c>
      <c r="G412" t="s">
        <v>2558</v>
      </c>
      <c r="H412" t="s">
        <v>2603</v>
      </c>
      <c r="I412" t="s">
        <v>2606</v>
      </c>
      <c r="J412" s="1">
        <v>45633</v>
      </c>
    </row>
    <row r="413" spans="1:10" x14ac:dyDescent="0.3">
      <c r="A413" t="s">
        <v>1054</v>
      </c>
      <c r="B413" t="s">
        <v>1866</v>
      </c>
      <c r="C413" t="s">
        <v>2048</v>
      </c>
      <c r="D413">
        <v>28</v>
      </c>
      <c r="E413" t="s">
        <v>2461</v>
      </c>
      <c r="F413" t="s">
        <v>2568</v>
      </c>
      <c r="G413" t="s">
        <v>2586</v>
      </c>
      <c r="H413" t="s">
        <v>2603</v>
      </c>
      <c r="I413" t="s">
        <v>2606</v>
      </c>
      <c r="J413" s="1">
        <v>45181</v>
      </c>
    </row>
    <row r="414" spans="1:10" x14ac:dyDescent="0.3">
      <c r="A414" t="s">
        <v>1113</v>
      </c>
      <c r="B414" t="s">
        <v>1990</v>
      </c>
      <c r="C414" t="s">
        <v>2049</v>
      </c>
      <c r="D414">
        <v>29</v>
      </c>
      <c r="E414" t="s">
        <v>2462</v>
      </c>
      <c r="F414" t="s">
        <v>2563</v>
      </c>
      <c r="G414" t="s">
        <v>2581</v>
      </c>
      <c r="H414" t="s">
        <v>2604</v>
      </c>
      <c r="I414" t="s">
        <v>2606</v>
      </c>
      <c r="J414" s="1">
        <v>44732</v>
      </c>
    </row>
    <row r="415" spans="1:10" x14ac:dyDescent="0.3">
      <c r="A415" t="s">
        <v>968</v>
      </c>
      <c r="B415" t="s">
        <v>1991</v>
      </c>
      <c r="C415" t="s">
        <v>2048</v>
      </c>
      <c r="D415">
        <v>28</v>
      </c>
      <c r="E415" t="s">
        <v>2463</v>
      </c>
      <c r="F415" t="s">
        <v>2570</v>
      </c>
      <c r="G415" t="s">
        <v>2590</v>
      </c>
      <c r="H415" t="s">
        <v>2605</v>
      </c>
      <c r="I415" t="s">
        <v>2606</v>
      </c>
      <c r="J415" s="1">
        <v>45329</v>
      </c>
    </row>
    <row r="416" spans="1:10" x14ac:dyDescent="0.3">
      <c r="A416" t="s">
        <v>1228</v>
      </c>
      <c r="B416" t="s">
        <v>1992</v>
      </c>
      <c r="C416" t="s">
        <v>2048</v>
      </c>
      <c r="D416">
        <v>36</v>
      </c>
      <c r="E416" t="s">
        <v>2464</v>
      </c>
      <c r="F416" t="s">
        <v>2566</v>
      </c>
      <c r="G416" t="s">
        <v>2584</v>
      </c>
      <c r="H416" t="s">
        <v>2601</v>
      </c>
      <c r="I416" t="s">
        <v>2606</v>
      </c>
      <c r="J416" s="1">
        <v>45034</v>
      </c>
    </row>
    <row r="417" spans="1:10" x14ac:dyDescent="0.3">
      <c r="A417" t="s">
        <v>1208</v>
      </c>
      <c r="B417" t="s">
        <v>1993</v>
      </c>
      <c r="C417" t="s">
        <v>2049</v>
      </c>
      <c r="D417">
        <v>32</v>
      </c>
      <c r="E417" t="s">
        <v>2465</v>
      </c>
      <c r="F417" t="s">
        <v>2553</v>
      </c>
      <c r="G417" t="s">
        <v>2576</v>
      </c>
      <c r="H417" t="s">
        <v>2602</v>
      </c>
      <c r="I417" t="s">
        <v>2606</v>
      </c>
      <c r="J417" s="1">
        <v>45572</v>
      </c>
    </row>
    <row r="418" spans="1:10" x14ac:dyDescent="0.3">
      <c r="A418" t="s">
        <v>1297</v>
      </c>
      <c r="B418" t="s">
        <v>1994</v>
      </c>
      <c r="C418" t="s">
        <v>2049</v>
      </c>
      <c r="D418">
        <v>58</v>
      </c>
      <c r="E418" t="s">
        <v>2466</v>
      </c>
      <c r="F418" t="s">
        <v>2563</v>
      </c>
      <c r="G418" t="s">
        <v>2595</v>
      </c>
      <c r="H418" t="s">
        <v>2604</v>
      </c>
      <c r="I418" t="s">
        <v>2606</v>
      </c>
      <c r="J418" s="1">
        <v>45484</v>
      </c>
    </row>
    <row r="419" spans="1:10" x14ac:dyDescent="0.3">
      <c r="A419" t="s">
        <v>1199</v>
      </c>
      <c r="B419" t="s">
        <v>1834</v>
      </c>
      <c r="C419" t="s">
        <v>2049</v>
      </c>
      <c r="D419">
        <v>28</v>
      </c>
      <c r="E419" t="s">
        <v>2467</v>
      </c>
      <c r="F419" t="s">
        <v>2569</v>
      </c>
      <c r="G419" t="s">
        <v>2587</v>
      </c>
      <c r="H419" t="s">
        <v>2604</v>
      </c>
      <c r="I419" t="s">
        <v>2608</v>
      </c>
      <c r="J419" s="1">
        <v>45437</v>
      </c>
    </row>
    <row r="420" spans="1:10" x14ac:dyDescent="0.3">
      <c r="A420" t="s">
        <v>1619</v>
      </c>
      <c r="B420" t="s">
        <v>1995</v>
      </c>
      <c r="C420" t="s">
        <v>2048</v>
      </c>
      <c r="D420">
        <v>43</v>
      </c>
      <c r="E420" t="s">
        <v>2468</v>
      </c>
      <c r="F420" t="s">
        <v>2554</v>
      </c>
      <c r="G420" t="s">
        <v>2577</v>
      </c>
      <c r="H420" t="s">
        <v>2601</v>
      </c>
      <c r="I420" t="s">
        <v>2606</v>
      </c>
      <c r="J420" s="1">
        <v>44779</v>
      </c>
    </row>
    <row r="421" spans="1:10" x14ac:dyDescent="0.3">
      <c r="A421" t="s">
        <v>1293</v>
      </c>
      <c r="B421" t="s">
        <v>1996</v>
      </c>
      <c r="C421" t="s">
        <v>2048</v>
      </c>
      <c r="D421">
        <v>47</v>
      </c>
      <c r="E421" t="s">
        <v>2469</v>
      </c>
      <c r="F421" t="s">
        <v>2565</v>
      </c>
      <c r="G421" t="s">
        <v>2583</v>
      </c>
      <c r="H421" t="s">
        <v>2604</v>
      </c>
      <c r="I421" t="s">
        <v>2606</v>
      </c>
      <c r="J421" s="1">
        <v>45737</v>
      </c>
    </row>
    <row r="422" spans="1:10" x14ac:dyDescent="0.3">
      <c r="A422" t="s">
        <v>974</v>
      </c>
      <c r="B422" t="s">
        <v>1997</v>
      </c>
      <c r="C422" t="s">
        <v>2049</v>
      </c>
      <c r="D422">
        <v>49</v>
      </c>
      <c r="E422" t="s">
        <v>2470</v>
      </c>
      <c r="F422" t="s">
        <v>2553</v>
      </c>
      <c r="G422" t="s">
        <v>2576</v>
      </c>
      <c r="H422" t="s">
        <v>2602</v>
      </c>
      <c r="I422" t="s">
        <v>2608</v>
      </c>
      <c r="J422" s="1">
        <v>44959</v>
      </c>
    </row>
    <row r="423" spans="1:10" x14ac:dyDescent="0.3">
      <c r="A423" t="s">
        <v>1120</v>
      </c>
      <c r="B423" t="s">
        <v>1998</v>
      </c>
      <c r="C423" t="s">
        <v>2048</v>
      </c>
      <c r="D423">
        <v>23</v>
      </c>
      <c r="E423" t="s">
        <v>2471</v>
      </c>
      <c r="F423" t="s">
        <v>2559</v>
      </c>
      <c r="G423" t="s">
        <v>2559</v>
      </c>
      <c r="H423" t="s">
        <v>2603</v>
      </c>
      <c r="I423" t="s">
        <v>2606</v>
      </c>
      <c r="J423" s="1">
        <v>45240</v>
      </c>
    </row>
    <row r="424" spans="1:10" x14ac:dyDescent="0.3">
      <c r="A424" t="s">
        <v>998</v>
      </c>
      <c r="B424" t="s">
        <v>1999</v>
      </c>
      <c r="C424" t="s">
        <v>2048</v>
      </c>
      <c r="E424" t="s">
        <v>2472</v>
      </c>
      <c r="F424" t="s">
        <v>2555</v>
      </c>
      <c r="G424" t="s">
        <v>2578</v>
      </c>
      <c r="H424" t="s">
        <v>2603</v>
      </c>
      <c r="I424" t="s">
        <v>2606</v>
      </c>
      <c r="J424" s="1">
        <v>45386</v>
      </c>
    </row>
    <row r="425" spans="1:10" x14ac:dyDescent="0.3">
      <c r="A425" t="s">
        <v>1620</v>
      </c>
      <c r="B425" t="s">
        <v>1985</v>
      </c>
      <c r="C425" t="s">
        <v>2048</v>
      </c>
      <c r="D425">
        <v>27</v>
      </c>
      <c r="E425" t="s">
        <v>2473</v>
      </c>
      <c r="F425" t="s">
        <v>2568</v>
      </c>
      <c r="G425" t="s">
        <v>2586</v>
      </c>
      <c r="H425" t="s">
        <v>2603</v>
      </c>
      <c r="I425" t="s">
        <v>2606</v>
      </c>
      <c r="J425" s="1">
        <v>45686</v>
      </c>
    </row>
    <row r="426" spans="1:10" x14ac:dyDescent="0.3">
      <c r="A426" t="s">
        <v>1621</v>
      </c>
      <c r="B426" t="s">
        <v>2000</v>
      </c>
      <c r="C426" t="s">
        <v>2048</v>
      </c>
      <c r="D426">
        <v>35</v>
      </c>
      <c r="E426" t="s">
        <v>2474</v>
      </c>
      <c r="F426" t="s">
        <v>2559</v>
      </c>
      <c r="G426" t="s">
        <v>2559</v>
      </c>
      <c r="H426" t="s">
        <v>2603</v>
      </c>
      <c r="I426" t="s">
        <v>2606</v>
      </c>
      <c r="J426" s="1">
        <v>45868</v>
      </c>
    </row>
    <row r="427" spans="1:10" x14ac:dyDescent="0.3">
      <c r="A427" t="s">
        <v>1119</v>
      </c>
      <c r="B427" t="s">
        <v>1733</v>
      </c>
      <c r="C427" t="s">
        <v>2048</v>
      </c>
      <c r="D427">
        <v>25</v>
      </c>
      <c r="E427" t="s">
        <v>2475</v>
      </c>
      <c r="F427" t="s">
        <v>2557</v>
      </c>
      <c r="G427" t="s">
        <v>2576</v>
      </c>
      <c r="H427" t="s">
        <v>2602</v>
      </c>
      <c r="I427" t="s">
        <v>2606</v>
      </c>
      <c r="J427" s="1">
        <v>44748</v>
      </c>
    </row>
    <row r="428" spans="1:10" x14ac:dyDescent="0.3">
      <c r="A428" t="s">
        <v>1622</v>
      </c>
      <c r="B428" t="s">
        <v>2001</v>
      </c>
      <c r="C428" t="s">
        <v>2049</v>
      </c>
      <c r="D428">
        <v>37</v>
      </c>
      <c r="E428" t="s">
        <v>2476</v>
      </c>
      <c r="F428" t="s">
        <v>2565</v>
      </c>
      <c r="G428" t="s">
        <v>2583</v>
      </c>
      <c r="H428" t="s">
        <v>2604</v>
      </c>
      <c r="I428" t="s">
        <v>2606</v>
      </c>
      <c r="J428" s="1">
        <v>45490</v>
      </c>
    </row>
    <row r="429" spans="1:10" x14ac:dyDescent="0.3">
      <c r="A429" t="s">
        <v>1256</v>
      </c>
      <c r="B429" t="s">
        <v>2002</v>
      </c>
      <c r="C429" t="s">
        <v>2049</v>
      </c>
      <c r="D429">
        <v>30</v>
      </c>
      <c r="E429" t="s">
        <v>2477</v>
      </c>
      <c r="F429" t="s">
        <v>2550</v>
      </c>
      <c r="G429" t="s">
        <v>2573</v>
      </c>
      <c r="H429" t="s">
        <v>2601</v>
      </c>
      <c r="I429" t="s">
        <v>2606</v>
      </c>
      <c r="J429" s="1">
        <v>45231</v>
      </c>
    </row>
    <row r="430" spans="1:10" x14ac:dyDescent="0.3">
      <c r="A430" t="s">
        <v>1092</v>
      </c>
      <c r="B430" t="s">
        <v>2003</v>
      </c>
      <c r="C430" t="s">
        <v>2049</v>
      </c>
      <c r="D430">
        <v>28</v>
      </c>
      <c r="E430" t="s">
        <v>2478</v>
      </c>
      <c r="F430" t="s">
        <v>2560</v>
      </c>
      <c r="G430" t="s">
        <v>2579</v>
      </c>
      <c r="H430" t="s">
        <v>2604</v>
      </c>
      <c r="I430" t="s">
        <v>2608</v>
      </c>
      <c r="J430" s="1">
        <v>45980</v>
      </c>
    </row>
    <row r="431" spans="1:10" x14ac:dyDescent="0.3">
      <c r="A431" t="s">
        <v>1051</v>
      </c>
      <c r="B431" t="s">
        <v>1941</v>
      </c>
      <c r="C431" t="s">
        <v>2048</v>
      </c>
      <c r="D431">
        <v>45</v>
      </c>
      <c r="E431" t="s">
        <v>2479</v>
      </c>
      <c r="F431" t="s">
        <v>2564</v>
      </c>
      <c r="G431" t="s">
        <v>2582</v>
      </c>
      <c r="H431" t="s">
        <v>2601</v>
      </c>
      <c r="I431" t="s">
        <v>2608</v>
      </c>
      <c r="J431" s="1">
        <v>45782</v>
      </c>
    </row>
    <row r="432" spans="1:10" x14ac:dyDescent="0.3">
      <c r="A432" t="s">
        <v>1233</v>
      </c>
      <c r="B432" t="s">
        <v>2004</v>
      </c>
      <c r="C432" t="s">
        <v>2049</v>
      </c>
      <c r="D432">
        <v>18</v>
      </c>
      <c r="E432" t="s">
        <v>2480</v>
      </c>
      <c r="F432" t="s">
        <v>2554</v>
      </c>
      <c r="G432" t="s">
        <v>2577</v>
      </c>
      <c r="H432" t="s">
        <v>2601</v>
      </c>
      <c r="I432" t="s">
        <v>2606</v>
      </c>
      <c r="J432" s="1">
        <v>45229</v>
      </c>
    </row>
    <row r="433" spans="1:10" x14ac:dyDescent="0.3">
      <c r="A433" t="s">
        <v>1123</v>
      </c>
      <c r="B433" t="s">
        <v>1824</v>
      </c>
      <c r="C433" t="s">
        <v>2049</v>
      </c>
      <c r="D433">
        <v>26</v>
      </c>
      <c r="E433" t="s">
        <v>2481</v>
      </c>
      <c r="F433" t="s">
        <v>2554</v>
      </c>
      <c r="G433" t="s">
        <v>2577</v>
      </c>
      <c r="H433" t="s">
        <v>2601</v>
      </c>
      <c r="I433" t="s">
        <v>2606</v>
      </c>
      <c r="J433" s="1">
        <v>45128</v>
      </c>
    </row>
    <row r="434" spans="1:10" x14ac:dyDescent="0.3">
      <c r="A434" t="s">
        <v>987</v>
      </c>
      <c r="B434" t="s">
        <v>2005</v>
      </c>
      <c r="C434" t="s">
        <v>2048</v>
      </c>
      <c r="D434">
        <v>41</v>
      </c>
      <c r="E434" t="s">
        <v>2482</v>
      </c>
      <c r="F434" t="s">
        <v>2550</v>
      </c>
      <c r="G434" t="s">
        <v>2573</v>
      </c>
      <c r="H434" t="s">
        <v>2601</v>
      </c>
      <c r="I434" t="s">
        <v>2608</v>
      </c>
      <c r="J434" s="1">
        <v>45316</v>
      </c>
    </row>
    <row r="435" spans="1:10" x14ac:dyDescent="0.3">
      <c r="A435" t="s">
        <v>1312</v>
      </c>
      <c r="B435" t="s">
        <v>2006</v>
      </c>
      <c r="C435" t="s">
        <v>2049</v>
      </c>
      <c r="D435">
        <v>31</v>
      </c>
      <c r="E435" t="s">
        <v>2483</v>
      </c>
      <c r="F435" t="s">
        <v>2564</v>
      </c>
      <c r="G435" t="s">
        <v>2582</v>
      </c>
      <c r="H435" t="s">
        <v>2601</v>
      </c>
      <c r="I435" t="s">
        <v>2607</v>
      </c>
      <c r="J435" s="1">
        <v>45394</v>
      </c>
    </row>
    <row r="436" spans="1:10" x14ac:dyDescent="0.3">
      <c r="A436" t="s">
        <v>1623</v>
      </c>
      <c r="B436" t="s">
        <v>2007</v>
      </c>
      <c r="C436" t="s">
        <v>2049</v>
      </c>
      <c r="D436">
        <v>39</v>
      </c>
      <c r="E436" t="s">
        <v>2484</v>
      </c>
      <c r="F436" t="s">
        <v>2568</v>
      </c>
      <c r="G436" t="s">
        <v>2586</v>
      </c>
      <c r="H436" t="s">
        <v>2603</v>
      </c>
      <c r="I436" t="s">
        <v>2608</v>
      </c>
      <c r="J436" s="1">
        <v>44723</v>
      </c>
    </row>
    <row r="437" spans="1:10" x14ac:dyDescent="0.3">
      <c r="A437" t="s">
        <v>1281</v>
      </c>
      <c r="B437" t="s">
        <v>2008</v>
      </c>
      <c r="C437" t="s">
        <v>2049</v>
      </c>
      <c r="D437">
        <v>18</v>
      </c>
      <c r="E437" t="s">
        <v>2485</v>
      </c>
      <c r="F437" t="s">
        <v>2557</v>
      </c>
      <c r="G437" t="s">
        <v>2576</v>
      </c>
      <c r="H437" t="s">
        <v>2602</v>
      </c>
      <c r="I437" t="s">
        <v>2606</v>
      </c>
      <c r="J437" s="1">
        <v>45094</v>
      </c>
    </row>
    <row r="438" spans="1:10" x14ac:dyDescent="0.3">
      <c r="A438" t="s">
        <v>1262</v>
      </c>
      <c r="B438" t="s">
        <v>1953</v>
      </c>
      <c r="C438" t="s">
        <v>2049</v>
      </c>
      <c r="D438">
        <v>33</v>
      </c>
      <c r="E438" t="s">
        <v>2486</v>
      </c>
      <c r="F438" t="s">
        <v>2551</v>
      </c>
      <c r="G438" t="s">
        <v>2574</v>
      </c>
      <c r="H438" t="s">
        <v>2602</v>
      </c>
      <c r="I438" t="s">
        <v>2606</v>
      </c>
      <c r="J438" s="1">
        <v>45587</v>
      </c>
    </row>
    <row r="439" spans="1:10" x14ac:dyDescent="0.3">
      <c r="A439" t="s">
        <v>1252</v>
      </c>
      <c r="B439" t="s">
        <v>2009</v>
      </c>
      <c r="C439" t="s">
        <v>2049</v>
      </c>
      <c r="D439">
        <v>33</v>
      </c>
      <c r="E439" t="s">
        <v>2487</v>
      </c>
      <c r="F439" t="s">
        <v>2552</v>
      </c>
      <c r="G439" t="s">
        <v>2575</v>
      </c>
      <c r="H439" t="s">
        <v>2603</v>
      </c>
      <c r="I439" t="s">
        <v>2608</v>
      </c>
      <c r="J439" s="1">
        <v>45386</v>
      </c>
    </row>
    <row r="440" spans="1:10" x14ac:dyDescent="0.3">
      <c r="A440" t="s">
        <v>1299</v>
      </c>
      <c r="B440" t="s">
        <v>2010</v>
      </c>
      <c r="C440" t="s">
        <v>2049</v>
      </c>
      <c r="D440">
        <v>26</v>
      </c>
      <c r="E440" t="s">
        <v>2488</v>
      </c>
      <c r="F440" t="s">
        <v>2570</v>
      </c>
      <c r="G440" t="s">
        <v>2590</v>
      </c>
      <c r="H440" t="s">
        <v>2605</v>
      </c>
      <c r="I440" t="s">
        <v>2606</v>
      </c>
      <c r="J440" s="1">
        <v>45197</v>
      </c>
    </row>
    <row r="441" spans="1:10" x14ac:dyDescent="0.3">
      <c r="A441" t="s">
        <v>1034</v>
      </c>
      <c r="B441" t="s">
        <v>2011</v>
      </c>
      <c r="C441" t="s">
        <v>2049</v>
      </c>
      <c r="D441">
        <v>36</v>
      </c>
      <c r="E441" t="s">
        <v>2489</v>
      </c>
      <c r="F441" t="s">
        <v>2564</v>
      </c>
      <c r="G441" t="s">
        <v>2582</v>
      </c>
      <c r="H441" t="s">
        <v>2601</v>
      </c>
      <c r="I441" t="s">
        <v>2606</v>
      </c>
      <c r="J441" s="1">
        <v>45740</v>
      </c>
    </row>
    <row r="442" spans="1:10" x14ac:dyDescent="0.3">
      <c r="A442" t="s">
        <v>1624</v>
      </c>
      <c r="B442" t="s">
        <v>2012</v>
      </c>
      <c r="C442" t="s">
        <v>2048</v>
      </c>
      <c r="D442">
        <v>26</v>
      </c>
      <c r="E442" t="s">
        <v>2490</v>
      </c>
      <c r="F442" t="s">
        <v>2557</v>
      </c>
      <c r="G442" t="s">
        <v>2576</v>
      </c>
      <c r="H442" t="s">
        <v>2602</v>
      </c>
      <c r="I442" t="s">
        <v>2606</v>
      </c>
      <c r="J442" s="1">
        <v>44663</v>
      </c>
    </row>
    <row r="443" spans="1:10" x14ac:dyDescent="0.3">
      <c r="A443" t="s">
        <v>1225</v>
      </c>
      <c r="B443" t="s">
        <v>1859</v>
      </c>
      <c r="C443" t="s">
        <v>2048</v>
      </c>
      <c r="D443">
        <v>42</v>
      </c>
      <c r="E443" t="s">
        <v>2491</v>
      </c>
      <c r="F443" t="s">
        <v>2565</v>
      </c>
      <c r="G443" t="s">
        <v>2583</v>
      </c>
      <c r="H443" t="s">
        <v>2604</v>
      </c>
      <c r="I443" t="s">
        <v>2606</v>
      </c>
      <c r="J443" s="1">
        <v>44766</v>
      </c>
    </row>
    <row r="444" spans="1:10" x14ac:dyDescent="0.3">
      <c r="A444" t="s">
        <v>1115</v>
      </c>
      <c r="B444" t="s">
        <v>1777</v>
      </c>
      <c r="C444" t="s">
        <v>2048</v>
      </c>
      <c r="D444">
        <v>31</v>
      </c>
      <c r="E444" t="s">
        <v>2492</v>
      </c>
      <c r="F444" t="s">
        <v>2568</v>
      </c>
      <c r="G444" t="s">
        <v>2586</v>
      </c>
      <c r="H444" t="s">
        <v>2603</v>
      </c>
      <c r="I444" t="s">
        <v>2608</v>
      </c>
      <c r="J444" s="1">
        <v>44686</v>
      </c>
    </row>
    <row r="445" spans="1:10" x14ac:dyDescent="0.3">
      <c r="A445" t="s">
        <v>1001</v>
      </c>
      <c r="B445" t="s">
        <v>1873</v>
      </c>
      <c r="C445" t="s">
        <v>2049</v>
      </c>
      <c r="D445">
        <v>37</v>
      </c>
      <c r="E445" t="s">
        <v>2493</v>
      </c>
      <c r="F445" t="s">
        <v>2553</v>
      </c>
      <c r="G445" t="s">
        <v>2576</v>
      </c>
      <c r="H445" t="s">
        <v>2602</v>
      </c>
      <c r="I445" t="s">
        <v>2606</v>
      </c>
      <c r="J445" s="1">
        <v>45627</v>
      </c>
    </row>
    <row r="446" spans="1:10" x14ac:dyDescent="0.3">
      <c r="A446" t="s">
        <v>1625</v>
      </c>
      <c r="B446" t="s">
        <v>2013</v>
      </c>
      <c r="C446" t="s">
        <v>2049</v>
      </c>
      <c r="D446">
        <v>21</v>
      </c>
      <c r="E446" t="s">
        <v>2494</v>
      </c>
      <c r="F446" t="s">
        <v>2569</v>
      </c>
      <c r="G446" t="s">
        <v>2587</v>
      </c>
      <c r="H446" t="s">
        <v>2604</v>
      </c>
      <c r="I446" t="s">
        <v>2608</v>
      </c>
      <c r="J446" s="1">
        <v>44816</v>
      </c>
    </row>
    <row r="447" spans="1:10" x14ac:dyDescent="0.3">
      <c r="A447" t="s">
        <v>1243</v>
      </c>
      <c r="B447" t="s">
        <v>1939</v>
      </c>
      <c r="C447" t="s">
        <v>2048</v>
      </c>
      <c r="D447">
        <v>26</v>
      </c>
      <c r="E447" t="s">
        <v>2495</v>
      </c>
      <c r="F447" t="s">
        <v>2554</v>
      </c>
      <c r="G447" t="s">
        <v>2577</v>
      </c>
      <c r="H447" t="s">
        <v>2601</v>
      </c>
      <c r="I447" t="s">
        <v>2607</v>
      </c>
      <c r="J447" s="1">
        <v>45850</v>
      </c>
    </row>
    <row r="448" spans="1:10" x14ac:dyDescent="0.3">
      <c r="A448" t="s">
        <v>1278</v>
      </c>
      <c r="B448" t="s">
        <v>2014</v>
      </c>
      <c r="C448" t="s">
        <v>2049</v>
      </c>
      <c r="D448">
        <v>28</v>
      </c>
      <c r="E448" t="s">
        <v>2496</v>
      </c>
      <c r="F448" t="s">
        <v>2561</v>
      </c>
      <c r="G448" t="s">
        <v>2580</v>
      </c>
      <c r="H448" t="s">
        <v>2601</v>
      </c>
      <c r="I448" t="s">
        <v>2606</v>
      </c>
      <c r="J448" s="1">
        <v>45446</v>
      </c>
    </row>
    <row r="449" spans="1:10" x14ac:dyDescent="0.3">
      <c r="A449" t="s">
        <v>1626</v>
      </c>
      <c r="B449" t="s">
        <v>2015</v>
      </c>
      <c r="C449" t="s">
        <v>2048</v>
      </c>
      <c r="D449">
        <v>38</v>
      </c>
      <c r="E449" t="s">
        <v>2497</v>
      </c>
      <c r="F449" t="s">
        <v>2561</v>
      </c>
      <c r="G449" t="s">
        <v>2580</v>
      </c>
      <c r="H449" t="s">
        <v>2601</v>
      </c>
      <c r="I449" t="s">
        <v>2606</v>
      </c>
      <c r="J449" s="1">
        <v>45189</v>
      </c>
    </row>
    <row r="450" spans="1:10" x14ac:dyDescent="0.3">
      <c r="A450" t="s">
        <v>997</v>
      </c>
      <c r="B450" t="s">
        <v>1703</v>
      </c>
      <c r="C450" t="s">
        <v>2048</v>
      </c>
      <c r="D450">
        <v>25</v>
      </c>
      <c r="E450" t="s">
        <v>2498</v>
      </c>
      <c r="F450" t="s">
        <v>2556</v>
      </c>
      <c r="G450" t="s">
        <v>2574</v>
      </c>
      <c r="H450" t="s">
        <v>2602</v>
      </c>
      <c r="I450" t="s">
        <v>2606</v>
      </c>
      <c r="J450" s="1">
        <v>45535</v>
      </c>
    </row>
    <row r="451" spans="1:10" x14ac:dyDescent="0.3">
      <c r="A451" t="s">
        <v>1258</v>
      </c>
      <c r="B451" t="s">
        <v>1828</v>
      </c>
      <c r="C451" t="s">
        <v>2048</v>
      </c>
      <c r="D451">
        <v>32</v>
      </c>
      <c r="E451" t="s">
        <v>2499</v>
      </c>
      <c r="F451" t="s">
        <v>2571</v>
      </c>
      <c r="G451" t="s">
        <v>2590</v>
      </c>
      <c r="H451" t="s">
        <v>2605</v>
      </c>
      <c r="I451" t="s">
        <v>2608</v>
      </c>
      <c r="J451" s="1">
        <v>44568</v>
      </c>
    </row>
    <row r="452" spans="1:10" x14ac:dyDescent="0.3">
      <c r="A452" t="s">
        <v>1627</v>
      </c>
      <c r="B452" t="s">
        <v>1885</v>
      </c>
      <c r="C452" t="s">
        <v>2048</v>
      </c>
      <c r="D452">
        <v>36</v>
      </c>
      <c r="E452" t="s">
        <v>2500</v>
      </c>
      <c r="F452" t="s">
        <v>2570</v>
      </c>
      <c r="G452" t="s">
        <v>2590</v>
      </c>
      <c r="H452" t="s">
        <v>2605</v>
      </c>
      <c r="I452" t="s">
        <v>2606</v>
      </c>
      <c r="J452" s="1">
        <v>45651</v>
      </c>
    </row>
    <row r="453" spans="1:10" x14ac:dyDescent="0.3">
      <c r="A453" t="s">
        <v>991</v>
      </c>
      <c r="B453" t="s">
        <v>1930</v>
      </c>
      <c r="C453" t="s">
        <v>2048</v>
      </c>
      <c r="D453">
        <v>43</v>
      </c>
      <c r="E453" t="s">
        <v>2501</v>
      </c>
      <c r="F453" t="s">
        <v>2569</v>
      </c>
      <c r="G453" t="s">
        <v>2594</v>
      </c>
      <c r="H453" t="s">
        <v>2604</v>
      </c>
      <c r="I453" t="s">
        <v>2608</v>
      </c>
      <c r="J453" s="1">
        <v>45692</v>
      </c>
    </row>
    <row r="454" spans="1:10" x14ac:dyDescent="0.3">
      <c r="A454" t="s">
        <v>1628</v>
      </c>
      <c r="B454" t="s">
        <v>2016</v>
      </c>
      <c r="C454" t="s">
        <v>2048</v>
      </c>
      <c r="D454">
        <v>33</v>
      </c>
      <c r="E454" t="s">
        <v>2502</v>
      </c>
      <c r="F454" t="s">
        <v>2558</v>
      </c>
      <c r="G454" t="s">
        <v>2599</v>
      </c>
      <c r="H454" t="s">
        <v>2603</v>
      </c>
      <c r="I454" t="s">
        <v>2606</v>
      </c>
      <c r="J454" s="1">
        <v>44955</v>
      </c>
    </row>
    <row r="455" spans="1:10" x14ac:dyDescent="0.3">
      <c r="A455" t="s">
        <v>1244</v>
      </c>
      <c r="B455" t="s">
        <v>2017</v>
      </c>
      <c r="C455" t="s">
        <v>2048</v>
      </c>
      <c r="D455">
        <v>38</v>
      </c>
      <c r="E455" t="s">
        <v>2503</v>
      </c>
      <c r="F455" t="s">
        <v>2569</v>
      </c>
      <c r="G455" t="s">
        <v>2587</v>
      </c>
      <c r="H455" t="s">
        <v>2604</v>
      </c>
      <c r="I455" t="s">
        <v>2608</v>
      </c>
      <c r="J455" s="1">
        <v>44585</v>
      </c>
    </row>
    <row r="456" spans="1:10" x14ac:dyDescent="0.3">
      <c r="A456" t="s">
        <v>1316</v>
      </c>
      <c r="B456" t="s">
        <v>2018</v>
      </c>
      <c r="C456" t="s">
        <v>2048</v>
      </c>
      <c r="D456">
        <v>25</v>
      </c>
      <c r="E456" t="s">
        <v>2504</v>
      </c>
      <c r="F456" t="s">
        <v>2559</v>
      </c>
      <c r="G456" t="s">
        <v>2559</v>
      </c>
      <c r="H456" t="s">
        <v>2603</v>
      </c>
      <c r="I456" t="s">
        <v>2607</v>
      </c>
      <c r="J456" s="1">
        <v>44773</v>
      </c>
    </row>
    <row r="457" spans="1:10" x14ac:dyDescent="0.3">
      <c r="A457" t="s">
        <v>1629</v>
      </c>
      <c r="B457" t="s">
        <v>1935</v>
      </c>
      <c r="C457" t="s">
        <v>2049</v>
      </c>
      <c r="D457">
        <v>29</v>
      </c>
      <c r="E457" t="s">
        <v>2505</v>
      </c>
      <c r="F457" t="s">
        <v>2560</v>
      </c>
      <c r="G457" t="s">
        <v>2579</v>
      </c>
      <c r="H457" t="s">
        <v>2604</v>
      </c>
      <c r="I457" t="s">
        <v>2606</v>
      </c>
      <c r="J457" s="1">
        <v>45779</v>
      </c>
    </row>
    <row r="458" spans="1:10" x14ac:dyDescent="0.3">
      <c r="A458" t="s">
        <v>1308</v>
      </c>
      <c r="B458" t="s">
        <v>2019</v>
      </c>
      <c r="C458" t="s">
        <v>2049</v>
      </c>
      <c r="D458">
        <v>46</v>
      </c>
      <c r="E458" t="s">
        <v>2506</v>
      </c>
      <c r="F458" t="s">
        <v>2566</v>
      </c>
      <c r="G458" t="s">
        <v>2600</v>
      </c>
      <c r="H458" t="s">
        <v>2601</v>
      </c>
      <c r="I458" t="s">
        <v>2608</v>
      </c>
      <c r="J458" s="1">
        <v>44640</v>
      </c>
    </row>
    <row r="459" spans="1:10" x14ac:dyDescent="0.3">
      <c r="A459" t="s">
        <v>1321</v>
      </c>
      <c r="B459" t="s">
        <v>1803</v>
      </c>
      <c r="C459" t="s">
        <v>2049</v>
      </c>
      <c r="E459" t="s">
        <v>2507</v>
      </c>
      <c r="F459" t="s">
        <v>2561</v>
      </c>
      <c r="G459" t="s">
        <v>2580</v>
      </c>
      <c r="H459" t="s">
        <v>2601</v>
      </c>
      <c r="I459" t="s">
        <v>2606</v>
      </c>
      <c r="J459" s="1">
        <v>44893</v>
      </c>
    </row>
    <row r="460" spans="1:10" x14ac:dyDescent="0.3">
      <c r="A460" t="s">
        <v>1284</v>
      </c>
      <c r="B460" t="s">
        <v>2020</v>
      </c>
      <c r="C460" t="s">
        <v>2048</v>
      </c>
      <c r="D460">
        <v>41</v>
      </c>
      <c r="E460" t="s">
        <v>2508</v>
      </c>
      <c r="F460" t="s">
        <v>2562</v>
      </c>
      <c r="G460" t="s">
        <v>2574</v>
      </c>
      <c r="H460" t="s">
        <v>2602</v>
      </c>
      <c r="I460" t="s">
        <v>2608</v>
      </c>
      <c r="J460" s="1">
        <v>45049</v>
      </c>
    </row>
    <row r="461" spans="1:10" x14ac:dyDescent="0.3">
      <c r="A461" t="s">
        <v>1630</v>
      </c>
      <c r="B461" t="s">
        <v>1790</v>
      </c>
      <c r="C461" t="s">
        <v>2048</v>
      </c>
      <c r="D461">
        <v>34</v>
      </c>
      <c r="E461" t="s">
        <v>2509</v>
      </c>
      <c r="F461" t="s">
        <v>2554</v>
      </c>
      <c r="G461" t="s">
        <v>2577</v>
      </c>
      <c r="H461" t="s">
        <v>2601</v>
      </c>
      <c r="I461" t="s">
        <v>2608</v>
      </c>
      <c r="J461" s="1">
        <v>45559</v>
      </c>
    </row>
    <row r="462" spans="1:10" x14ac:dyDescent="0.3">
      <c r="A462" t="s">
        <v>1631</v>
      </c>
      <c r="B462" t="s">
        <v>2021</v>
      </c>
      <c r="C462" t="s">
        <v>2049</v>
      </c>
      <c r="D462">
        <v>25</v>
      </c>
      <c r="E462" t="s">
        <v>2510</v>
      </c>
      <c r="F462" t="s">
        <v>2565</v>
      </c>
      <c r="G462" t="s">
        <v>2583</v>
      </c>
      <c r="H462" t="s">
        <v>2604</v>
      </c>
      <c r="I462" t="s">
        <v>2606</v>
      </c>
      <c r="J462" s="1">
        <v>45726</v>
      </c>
    </row>
    <row r="463" spans="1:10" x14ac:dyDescent="0.3">
      <c r="A463" t="s">
        <v>1269</v>
      </c>
      <c r="B463" t="s">
        <v>2022</v>
      </c>
      <c r="C463" t="s">
        <v>2048</v>
      </c>
      <c r="D463">
        <v>50</v>
      </c>
      <c r="E463" t="s">
        <v>2511</v>
      </c>
      <c r="F463" t="s">
        <v>2550</v>
      </c>
      <c r="G463" t="s">
        <v>2573</v>
      </c>
      <c r="H463" t="s">
        <v>2601</v>
      </c>
      <c r="I463" t="s">
        <v>2606</v>
      </c>
      <c r="J463" s="1">
        <v>45977</v>
      </c>
    </row>
    <row r="464" spans="1:10" x14ac:dyDescent="0.3">
      <c r="A464" t="s">
        <v>1279</v>
      </c>
      <c r="B464" t="s">
        <v>1664</v>
      </c>
      <c r="C464" t="s">
        <v>2048</v>
      </c>
      <c r="D464">
        <v>21</v>
      </c>
      <c r="E464" t="s">
        <v>2512</v>
      </c>
      <c r="F464" t="s">
        <v>2569</v>
      </c>
      <c r="G464" t="s">
        <v>2587</v>
      </c>
      <c r="H464" t="s">
        <v>2604</v>
      </c>
      <c r="I464" t="s">
        <v>2606</v>
      </c>
      <c r="J464" s="1">
        <v>44912</v>
      </c>
    </row>
    <row r="465" spans="1:10" x14ac:dyDescent="0.3">
      <c r="A465" t="s">
        <v>1632</v>
      </c>
      <c r="B465" t="s">
        <v>1659</v>
      </c>
      <c r="C465" t="s">
        <v>2049</v>
      </c>
      <c r="D465">
        <v>39</v>
      </c>
      <c r="E465" t="s">
        <v>2513</v>
      </c>
      <c r="F465" t="s">
        <v>2564</v>
      </c>
      <c r="G465" t="s">
        <v>2582</v>
      </c>
      <c r="H465" t="s">
        <v>2601</v>
      </c>
      <c r="I465" t="s">
        <v>2608</v>
      </c>
      <c r="J465" s="1">
        <v>45369</v>
      </c>
    </row>
    <row r="466" spans="1:10" x14ac:dyDescent="0.3">
      <c r="A466" t="s">
        <v>1633</v>
      </c>
      <c r="B466" t="s">
        <v>1670</v>
      </c>
      <c r="C466" t="s">
        <v>2048</v>
      </c>
      <c r="D466">
        <v>37</v>
      </c>
      <c r="E466" t="s">
        <v>2514</v>
      </c>
      <c r="F466" t="s">
        <v>2554</v>
      </c>
      <c r="G466" t="s">
        <v>2577</v>
      </c>
      <c r="H466" t="s">
        <v>2601</v>
      </c>
      <c r="I466" t="s">
        <v>2608</v>
      </c>
      <c r="J466" s="1">
        <v>45723</v>
      </c>
    </row>
    <row r="467" spans="1:10" x14ac:dyDescent="0.3">
      <c r="A467" t="s">
        <v>1288</v>
      </c>
      <c r="B467" t="s">
        <v>2023</v>
      </c>
      <c r="C467" t="s">
        <v>2048</v>
      </c>
      <c r="D467">
        <v>27</v>
      </c>
      <c r="E467" t="s">
        <v>2515</v>
      </c>
      <c r="F467" t="s">
        <v>2568</v>
      </c>
      <c r="G467" t="s">
        <v>2586</v>
      </c>
      <c r="H467" t="s">
        <v>2603</v>
      </c>
      <c r="I467" t="s">
        <v>2606</v>
      </c>
      <c r="J467" s="1">
        <v>44684</v>
      </c>
    </row>
    <row r="468" spans="1:10" x14ac:dyDescent="0.3">
      <c r="A468" t="s">
        <v>1168</v>
      </c>
      <c r="B468" t="s">
        <v>1984</v>
      </c>
      <c r="C468" t="s">
        <v>2048</v>
      </c>
      <c r="D468">
        <v>46</v>
      </c>
      <c r="E468" t="s">
        <v>2516</v>
      </c>
      <c r="F468" t="s">
        <v>2559</v>
      </c>
      <c r="G468" t="s">
        <v>2559</v>
      </c>
      <c r="H468" t="s">
        <v>2603</v>
      </c>
      <c r="I468" t="s">
        <v>2606</v>
      </c>
      <c r="J468" s="1">
        <v>45963</v>
      </c>
    </row>
    <row r="469" spans="1:10" x14ac:dyDescent="0.3">
      <c r="A469" t="s">
        <v>1055</v>
      </c>
      <c r="B469" t="s">
        <v>2024</v>
      </c>
      <c r="C469" t="s">
        <v>2048</v>
      </c>
      <c r="D469">
        <v>32</v>
      </c>
      <c r="E469" t="s">
        <v>2517</v>
      </c>
      <c r="F469" t="s">
        <v>2554</v>
      </c>
      <c r="G469" t="s">
        <v>2577</v>
      </c>
      <c r="H469" t="s">
        <v>2601</v>
      </c>
      <c r="I469" t="s">
        <v>2606</v>
      </c>
      <c r="J469" s="1">
        <v>45955</v>
      </c>
    </row>
    <row r="470" spans="1:10" x14ac:dyDescent="0.3">
      <c r="A470" t="s">
        <v>1634</v>
      </c>
      <c r="B470" t="s">
        <v>2025</v>
      </c>
      <c r="C470" t="s">
        <v>2049</v>
      </c>
      <c r="D470">
        <v>42</v>
      </c>
      <c r="E470" t="s">
        <v>2518</v>
      </c>
      <c r="F470" t="s">
        <v>2572</v>
      </c>
      <c r="G470" t="s">
        <v>2582</v>
      </c>
      <c r="H470" t="s">
        <v>2601</v>
      </c>
      <c r="I470" t="s">
        <v>2608</v>
      </c>
      <c r="J470" s="1">
        <v>45756</v>
      </c>
    </row>
    <row r="471" spans="1:10" x14ac:dyDescent="0.3">
      <c r="A471" t="s">
        <v>1635</v>
      </c>
      <c r="B471" t="s">
        <v>2026</v>
      </c>
      <c r="C471" t="s">
        <v>2049</v>
      </c>
      <c r="D471">
        <v>36</v>
      </c>
      <c r="E471" t="s">
        <v>2519</v>
      </c>
      <c r="F471" t="s">
        <v>2563</v>
      </c>
      <c r="G471" t="s">
        <v>2581</v>
      </c>
      <c r="H471" t="s">
        <v>2604</v>
      </c>
      <c r="I471" t="s">
        <v>2606</v>
      </c>
      <c r="J471" s="1">
        <v>44830</v>
      </c>
    </row>
    <row r="472" spans="1:10" x14ac:dyDescent="0.3">
      <c r="A472" t="s">
        <v>1636</v>
      </c>
      <c r="B472" t="s">
        <v>2027</v>
      </c>
      <c r="C472" t="s">
        <v>2049</v>
      </c>
      <c r="D472">
        <v>32</v>
      </c>
      <c r="E472" t="s">
        <v>2520</v>
      </c>
      <c r="F472" t="s">
        <v>2571</v>
      </c>
      <c r="G472" t="s">
        <v>2590</v>
      </c>
      <c r="H472" t="s">
        <v>2605</v>
      </c>
      <c r="I472" t="s">
        <v>2608</v>
      </c>
      <c r="J472" s="1">
        <v>45227</v>
      </c>
    </row>
    <row r="473" spans="1:10" x14ac:dyDescent="0.3">
      <c r="A473" t="s">
        <v>1637</v>
      </c>
      <c r="B473" t="s">
        <v>2028</v>
      </c>
      <c r="C473" t="s">
        <v>2048</v>
      </c>
      <c r="D473">
        <v>37</v>
      </c>
      <c r="E473" t="s">
        <v>2521</v>
      </c>
      <c r="F473" t="s">
        <v>2562</v>
      </c>
      <c r="G473" t="s">
        <v>2574</v>
      </c>
      <c r="H473" t="s">
        <v>2602</v>
      </c>
      <c r="I473" t="s">
        <v>2607</v>
      </c>
      <c r="J473" s="1">
        <v>45587</v>
      </c>
    </row>
    <row r="474" spans="1:10" x14ac:dyDescent="0.3">
      <c r="A474" t="s">
        <v>1324</v>
      </c>
      <c r="B474" t="s">
        <v>2029</v>
      </c>
      <c r="C474" t="s">
        <v>2048</v>
      </c>
      <c r="D474">
        <v>24</v>
      </c>
      <c r="E474" t="s">
        <v>2522</v>
      </c>
      <c r="F474" t="s">
        <v>2566</v>
      </c>
      <c r="G474" t="s">
        <v>2584</v>
      </c>
      <c r="H474" t="s">
        <v>2601</v>
      </c>
      <c r="I474" t="s">
        <v>2607</v>
      </c>
      <c r="J474" s="1">
        <v>45581</v>
      </c>
    </row>
    <row r="475" spans="1:10" x14ac:dyDescent="0.3">
      <c r="A475" t="s">
        <v>1028</v>
      </c>
      <c r="B475" t="s">
        <v>1657</v>
      </c>
      <c r="C475" t="s">
        <v>2048</v>
      </c>
      <c r="D475">
        <v>40</v>
      </c>
      <c r="E475" t="s">
        <v>2523</v>
      </c>
      <c r="F475" t="s">
        <v>2553</v>
      </c>
      <c r="G475" t="s">
        <v>2576</v>
      </c>
      <c r="H475" t="s">
        <v>2602</v>
      </c>
      <c r="I475" t="s">
        <v>2606</v>
      </c>
      <c r="J475" s="1">
        <v>45153</v>
      </c>
    </row>
    <row r="476" spans="1:10" x14ac:dyDescent="0.3">
      <c r="A476" t="s">
        <v>1638</v>
      </c>
      <c r="B476" t="s">
        <v>2030</v>
      </c>
      <c r="C476" t="s">
        <v>2048</v>
      </c>
      <c r="E476" t="s">
        <v>2524</v>
      </c>
      <c r="F476" t="s">
        <v>2567</v>
      </c>
      <c r="G476" t="s">
        <v>2585</v>
      </c>
      <c r="H476" t="s">
        <v>2604</v>
      </c>
      <c r="I476" t="s">
        <v>2608</v>
      </c>
      <c r="J476" s="1">
        <v>44953</v>
      </c>
    </row>
    <row r="477" spans="1:10" x14ac:dyDescent="0.3">
      <c r="A477" t="s">
        <v>1149</v>
      </c>
      <c r="B477" t="s">
        <v>2031</v>
      </c>
      <c r="C477" t="s">
        <v>2048</v>
      </c>
      <c r="D477">
        <v>19</v>
      </c>
      <c r="E477" t="s">
        <v>2525</v>
      </c>
      <c r="F477" t="s">
        <v>2561</v>
      </c>
      <c r="G477" t="s">
        <v>2598</v>
      </c>
      <c r="H477" t="s">
        <v>2601</v>
      </c>
      <c r="I477" t="s">
        <v>2606</v>
      </c>
      <c r="J477" s="1">
        <v>45762</v>
      </c>
    </row>
    <row r="478" spans="1:10" x14ac:dyDescent="0.3">
      <c r="A478" t="s">
        <v>1639</v>
      </c>
      <c r="B478" t="s">
        <v>2032</v>
      </c>
      <c r="C478" t="s">
        <v>2048</v>
      </c>
      <c r="D478">
        <v>29</v>
      </c>
      <c r="E478" t="s">
        <v>2526</v>
      </c>
      <c r="F478" t="s">
        <v>2550</v>
      </c>
      <c r="G478" t="s">
        <v>2573</v>
      </c>
      <c r="H478" t="s">
        <v>2601</v>
      </c>
      <c r="I478" t="s">
        <v>2606</v>
      </c>
      <c r="J478" s="1">
        <v>45548</v>
      </c>
    </row>
    <row r="479" spans="1:10" x14ac:dyDescent="0.3">
      <c r="A479" t="s">
        <v>1221</v>
      </c>
      <c r="B479" t="s">
        <v>2033</v>
      </c>
      <c r="C479" t="s">
        <v>2048</v>
      </c>
      <c r="D479">
        <v>45</v>
      </c>
      <c r="E479" t="s">
        <v>2527</v>
      </c>
      <c r="F479" t="s">
        <v>2563</v>
      </c>
      <c r="G479" t="s">
        <v>2581</v>
      </c>
      <c r="H479" t="s">
        <v>2604</v>
      </c>
      <c r="I479" t="s">
        <v>2606</v>
      </c>
      <c r="J479" s="1">
        <v>45157</v>
      </c>
    </row>
    <row r="480" spans="1:10" x14ac:dyDescent="0.3">
      <c r="A480" t="s">
        <v>1640</v>
      </c>
      <c r="B480" t="s">
        <v>2034</v>
      </c>
      <c r="C480" t="s">
        <v>2049</v>
      </c>
      <c r="D480">
        <v>38</v>
      </c>
      <c r="E480" t="s">
        <v>2528</v>
      </c>
      <c r="F480" t="s">
        <v>2565</v>
      </c>
      <c r="G480" t="s">
        <v>2583</v>
      </c>
      <c r="H480" t="s">
        <v>2604</v>
      </c>
      <c r="I480" t="s">
        <v>2606</v>
      </c>
      <c r="J480" s="1">
        <v>45469</v>
      </c>
    </row>
    <row r="481" spans="1:10" x14ac:dyDescent="0.3">
      <c r="A481" t="s">
        <v>1009</v>
      </c>
      <c r="B481" t="s">
        <v>1819</v>
      </c>
      <c r="C481" t="s">
        <v>2048</v>
      </c>
      <c r="D481">
        <v>28</v>
      </c>
      <c r="E481" t="s">
        <v>2529</v>
      </c>
      <c r="F481" t="s">
        <v>2556</v>
      </c>
      <c r="G481" t="s">
        <v>2574</v>
      </c>
      <c r="H481" t="s">
        <v>2602</v>
      </c>
      <c r="I481" t="s">
        <v>2608</v>
      </c>
      <c r="J481" s="1">
        <v>44708</v>
      </c>
    </row>
    <row r="482" spans="1:10" x14ac:dyDescent="0.3">
      <c r="A482" t="s">
        <v>1641</v>
      </c>
      <c r="B482" t="s">
        <v>2035</v>
      </c>
      <c r="C482" t="s">
        <v>2048</v>
      </c>
      <c r="D482">
        <v>44</v>
      </c>
      <c r="E482" t="s">
        <v>2530</v>
      </c>
      <c r="F482" t="s">
        <v>2570</v>
      </c>
      <c r="G482" t="s">
        <v>2590</v>
      </c>
      <c r="H482" t="s">
        <v>2605</v>
      </c>
      <c r="I482" t="s">
        <v>2607</v>
      </c>
      <c r="J482" s="1">
        <v>45341</v>
      </c>
    </row>
    <row r="483" spans="1:10" x14ac:dyDescent="0.3">
      <c r="A483" t="s">
        <v>1642</v>
      </c>
      <c r="B483" t="s">
        <v>1848</v>
      </c>
      <c r="C483" t="s">
        <v>2049</v>
      </c>
      <c r="D483">
        <v>41</v>
      </c>
      <c r="E483" t="s">
        <v>2531</v>
      </c>
      <c r="F483" t="s">
        <v>2551</v>
      </c>
      <c r="G483" t="s">
        <v>2592</v>
      </c>
      <c r="H483" t="s">
        <v>2602</v>
      </c>
      <c r="I483" t="s">
        <v>2606</v>
      </c>
      <c r="J483" s="1">
        <v>45685</v>
      </c>
    </row>
    <row r="484" spans="1:10" x14ac:dyDescent="0.3">
      <c r="A484" t="s">
        <v>1173</v>
      </c>
      <c r="B484" t="s">
        <v>2036</v>
      </c>
      <c r="C484" t="s">
        <v>2049</v>
      </c>
      <c r="E484" t="s">
        <v>2532</v>
      </c>
      <c r="F484" t="s">
        <v>2564</v>
      </c>
      <c r="G484" t="s">
        <v>2582</v>
      </c>
      <c r="H484" t="s">
        <v>2601</v>
      </c>
      <c r="I484" t="s">
        <v>2606</v>
      </c>
      <c r="J484" s="1">
        <v>44837</v>
      </c>
    </row>
    <row r="485" spans="1:10" x14ac:dyDescent="0.3">
      <c r="A485" t="s">
        <v>1203</v>
      </c>
      <c r="B485" t="s">
        <v>2037</v>
      </c>
      <c r="C485" t="s">
        <v>2048</v>
      </c>
      <c r="D485">
        <v>36</v>
      </c>
      <c r="E485" t="s">
        <v>2533</v>
      </c>
      <c r="F485" t="s">
        <v>2553</v>
      </c>
      <c r="G485" t="s">
        <v>2576</v>
      </c>
      <c r="H485" t="s">
        <v>2602</v>
      </c>
      <c r="I485" t="s">
        <v>2608</v>
      </c>
      <c r="J485" s="1">
        <v>45693</v>
      </c>
    </row>
    <row r="486" spans="1:10" x14ac:dyDescent="0.3">
      <c r="A486" t="s">
        <v>1143</v>
      </c>
      <c r="B486" t="s">
        <v>2038</v>
      </c>
      <c r="C486" t="s">
        <v>2048</v>
      </c>
      <c r="D486">
        <v>35</v>
      </c>
      <c r="E486" t="s">
        <v>2534</v>
      </c>
      <c r="F486" t="s">
        <v>2551</v>
      </c>
      <c r="G486" t="s">
        <v>2574</v>
      </c>
      <c r="H486" t="s">
        <v>2602</v>
      </c>
      <c r="I486" t="s">
        <v>2606</v>
      </c>
      <c r="J486" s="1">
        <v>44848</v>
      </c>
    </row>
    <row r="487" spans="1:10" x14ac:dyDescent="0.3">
      <c r="A487" t="s">
        <v>1254</v>
      </c>
      <c r="B487" t="s">
        <v>2039</v>
      </c>
      <c r="C487" t="s">
        <v>2048</v>
      </c>
      <c r="D487">
        <v>43</v>
      </c>
      <c r="E487" t="s">
        <v>2535</v>
      </c>
      <c r="F487" t="s">
        <v>2555</v>
      </c>
      <c r="G487" t="s">
        <v>2578</v>
      </c>
      <c r="H487" t="s">
        <v>2603</v>
      </c>
      <c r="I487" t="s">
        <v>2606</v>
      </c>
      <c r="J487" s="1">
        <v>45389</v>
      </c>
    </row>
    <row r="488" spans="1:10" x14ac:dyDescent="0.3">
      <c r="A488" t="s">
        <v>1033</v>
      </c>
      <c r="B488" t="s">
        <v>2040</v>
      </c>
      <c r="C488" t="s">
        <v>2048</v>
      </c>
      <c r="D488">
        <v>27</v>
      </c>
      <c r="E488" t="s">
        <v>2536</v>
      </c>
      <c r="F488" t="s">
        <v>2563</v>
      </c>
      <c r="G488" t="s">
        <v>2581</v>
      </c>
      <c r="H488" t="s">
        <v>2604</v>
      </c>
      <c r="I488" t="s">
        <v>2608</v>
      </c>
      <c r="J488" s="1">
        <v>45552</v>
      </c>
    </row>
    <row r="489" spans="1:10" x14ac:dyDescent="0.3">
      <c r="A489" t="s">
        <v>1643</v>
      </c>
      <c r="B489" t="s">
        <v>2041</v>
      </c>
      <c r="C489" t="s">
        <v>2048</v>
      </c>
      <c r="D489">
        <v>50</v>
      </c>
      <c r="E489" t="s">
        <v>2537</v>
      </c>
      <c r="F489" t="s">
        <v>2557</v>
      </c>
      <c r="G489" t="s">
        <v>2576</v>
      </c>
      <c r="H489" t="s">
        <v>2602</v>
      </c>
      <c r="I489" t="s">
        <v>2606</v>
      </c>
      <c r="J489" s="1">
        <v>45851</v>
      </c>
    </row>
    <row r="490" spans="1:10" x14ac:dyDescent="0.3">
      <c r="A490" t="s">
        <v>1644</v>
      </c>
      <c r="B490" t="s">
        <v>2042</v>
      </c>
      <c r="C490" t="s">
        <v>2048</v>
      </c>
      <c r="D490">
        <v>33</v>
      </c>
      <c r="E490" t="s">
        <v>2538</v>
      </c>
      <c r="F490" t="s">
        <v>2569</v>
      </c>
      <c r="G490" t="s">
        <v>2587</v>
      </c>
      <c r="H490" t="s">
        <v>2604</v>
      </c>
      <c r="I490" t="s">
        <v>2607</v>
      </c>
      <c r="J490" s="1">
        <v>44836</v>
      </c>
    </row>
    <row r="491" spans="1:10" x14ac:dyDescent="0.3">
      <c r="A491" t="s">
        <v>1328</v>
      </c>
      <c r="B491" t="s">
        <v>2031</v>
      </c>
      <c r="C491" t="s">
        <v>2048</v>
      </c>
      <c r="D491">
        <v>18</v>
      </c>
      <c r="E491" t="s">
        <v>2539</v>
      </c>
      <c r="F491" t="s">
        <v>2556</v>
      </c>
      <c r="G491" t="s">
        <v>2574</v>
      </c>
      <c r="H491" t="s">
        <v>2602</v>
      </c>
      <c r="I491" t="s">
        <v>2607</v>
      </c>
      <c r="J491" s="1">
        <v>45834</v>
      </c>
    </row>
    <row r="492" spans="1:10" x14ac:dyDescent="0.3">
      <c r="A492" t="s">
        <v>1645</v>
      </c>
      <c r="B492" t="s">
        <v>2043</v>
      </c>
      <c r="C492" t="s">
        <v>2049</v>
      </c>
      <c r="D492">
        <v>18</v>
      </c>
      <c r="E492" t="s">
        <v>2540</v>
      </c>
      <c r="F492" t="s">
        <v>2557</v>
      </c>
      <c r="G492" t="s">
        <v>2576</v>
      </c>
      <c r="H492" t="s">
        <v>2602</v>
      </c>
      <c r="I492" t="s">
        <v>2606</v>
      </c>
      <c r="J492" s="1">
        <v>44595</v>
      </c>
    </row>
    <row r="493" spans="1:10" x14ac:dyDescent="0.3">
      <c r="A493" t="s">
        <v>1646</v>
      </c>
      <c r="B493" t="s">
        <v>1816</v>
      </c>
      <c r="C493" t="s">
        <v>2049</v>
      </c>
      <c r="D493">
        <v>47</v>
      </c>
      <c r="E493" t="s">
        <v>2541</v>
      </c>
      <c r="F493" t="s">
        <v>2572</v>
      </c>
      <c r="G493" t="s">
        <v>2582</v>
      </c>
      <c r="H493" t="s">
        <v>2601</v>
      </c>
      <c r="I493" t="s">
        <v>2606</v>
      </c>
      <c r="J493" s="1">
        <v>44810</v>
      </c>
    </row>
    <row r="494" spans="1:10" x14ac:dyDescent="0.3">
      <c r="A494" t="s">
        <v>1058</v>
      </c>
      <c r="B494" t="s">
        <v>2044</v>
      </c>
      <c r="C494" t="s">
        <v>2048</v>
      </c>
      <c r="D494">
        <v>20</v>
      </c>
      <c r="E494" t="s">
        <v>2542</v>
      </c>
      <c r="F494" t="s">
        <v>2570</v>
      </c>
      <c r="G494" t="s">
        <v>2590</v>
      </c>
      <c r="H494" t="s">
        <v>2605</v>
      </c>
      <c r="I494" t="s">
        <v>2607</v>
      </c>
      <c r="J494" s="1">
        <v>44955</v>
      </c>
    </row>
    <row r="495" spans="1:10" x14ac:dyDescent="0.3">
      <c r="A495" t="s">
        <v>1165</v>
      </c>
      <c r="B495" t="s">
        <v>1956</v>
      </c>
      <c r="C495" t="s">
        <v>2049</v>
      </c>
      <c r="D495">
        <v>23</v>
      </c>
      <c r="E495" t="s">
        <v>2543</v>
      </c>
      <c r="F495" t="s">
        <v>2558</v>
      </c>
      <c r="G495" t="s">
        <v>2558</v>
      </c>
      <c r="H495" t="s">
        <v>2603</v>
      </c>
      <c r="I495" t="s">
        <v>2608</v>
      </c>
      <c r="J495" s="1">
        <v>45547</v>
      </c>
    </row>
    <row r="496" spans="1:10" x14ac:dyDescent="0.3">
      <c r="A496" t="s">
        <v>1219</v>
      </c>
      <c r="B496" t="s">
        <v>2045</v>
      </c>
      <c r="C496" t="s">
        <v>2049</v>
      </c>
      <c r="D496">
        <v>29</v>
      </c>
      <c r="E496" t="s">
        <v>2544</v>
      </c>
      <c r="F496" t="s">
        <v>2562</v>
      </c>
      <c r="G496" t="s">
        <v>2574</v>
      </c>
      <c r="H496" t="s">
        <v>2602</v>
      </c>
      <c r="I496" t="s">
        <v>2607</v>
      </c>
      <c r="J496" s="1">
        <v>45130</v>
      </c>
    </row>
    <row r="497" spans="1:10" x14ac:dyDescent="0.3">
      <c r="A497" t="s">
        <v>1205</v>
      </c>
      <c r="B497" t="s">
        <v>2046</v>
      </c>
      <c r="C497" t="s">
        <v>2048</v>
      </c>
      <c r="D497">
        <v>35</v>
      </c>
      <c r="E497" t="s">
        <v>2545</v>
      </c>
      <c r="F497" t="s">
        <v>2562</v>
      </c>
      <c r="G497" t="s">
        <v>2574</v>
      </c>
      <c r="H497" t="s">
        <v>2602</v>
      </c>
      <c r="I497" t="s">
        <v>2608</v>
      </c>
      <c r="J497" s="1">
        <v>45599</v>
      </c>
    </row>
    <row r="498" spans="1:10" x14ac:dyDescent="0.3">
      <c r="A498" t="s">
        <v>1076</v>
      </c>
      <c r="B498" t="s">
        <v>1773</v>
      </c>
      <c r="C498" t="s">
        <v>2048</v>
      </c>
      <c r="D498">
        <v>43</v>
      </c>
      <c r="E498" t="s">
        <v>2546</v>
      </c>
      <c r="F498" t="s">
        <v>2567</v>
      </c>
      <c r="G498" t="s">
        <v>2585</v>
      </c>
      <c r="H498" t="s">
        <v>2604</v>
      </c>
      <c r="I498" t="s">
        <v>2606</v>
      </c>
      <c r="J498" s="1">
        <v>44986</v>
      </c>
    </row>
    <row r="499" spans="1:10" x14ac:dyDescent="0.3">
      <c r="A499" t="s">
        <v>1647</v>
      </c>
      <c r="B499" t="s">
        <v>1921</v>
      </c>
      <c r="C499" t="s">
        <v>2049</v>
      </c>
      <c r="D499">
        <v>41</v>
      </c>
      <c r="E499" t="s">
        <v>2547</v>
      </c>
      <c r="F499" t="s">
        <v>2554</v>
      </c>
      <c r="G499" t="s">
        <v>2577</v>
      </c>
      <c r="H499" t="s">
        <v>2601</v>
      </c>
      <c r="I499" t="s">
        <v>2606</v>
      </c>
      <c r="J499" s="1">
        <v>45512</v>
      </c>
    </row>
    <row r="500" spans="1:10" x14ac:dyDescent="0.3">
      <c r="A500" t="s">
        <v>1035</v>
      </c>
      <c r="B500" t="s">
        <v>1926</v>
      </c>
      <c r="C500" t="s">
        <v>2048</v>
      </c>
      <c r="D500">
        <v>35</v>
      </c>
      <c r="E500" t="s">
        <v>2548</v>
      </c>
      <c r="F500" t="s">
        <v>2565</v>
      </c>
      <c r="G500" t="s">
        <v>2583</v>
      </c>
      <c r="H500" t="s">
        <v>2604</v>
      </c>
      <c r="I500" t="s">
        <v>2607</v>
      </c>
      <c r="J500" s="1">
        <v>44765</v>
      </c>
    </row>
    <row r="501" spans="1:10" x14ac:dyDescent="0.3">
      <c r="A501" t="s">
        <v>1648</v>
      </c>
      <c r="B501" t="s">
        <v>2047</v>
      </c>
      <c r="C501" t="s">
        <v>2049</v>
      </c>
      <c r="D501">
        <v>32</v>
      </c>
      <c r="E501" t="s">
        <v>2549</v>
      </c>
      <c r="F501" t="s">
        <v>2563</v>
      </c>
      <c r="G501" t="s">
        <v>2581</v>
      </c>
      <c r="H501" t="s">
        <v>2604</v>
      </c>
      <c r="I501" t="s">
        <v>2607</v>
      </c>
      <c r="J501" s="1">
        <v>44905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.6640625" customWidth="1"/>
    <col min="2" max="2" width="22.6640625" customWidth="1"/>
    <col min="3" max="6" width="14.6640625" customWidth="1"/>
  </cols>
  <sheetData>
    <row r="1" spans="1:6" x14ac:dyDescent="0.3">
      <c r="A1" t="s">
        <v>6</v>
      </c>
      <c r="B1" t="s">
        <v>2609</v>
      </c>
      <c r="C1" t="s">
        <v>2610</v>
      </c>
      <c r="D1" t="s">
        <v>2611</v>
      </c>
      <c r="E1" t="s">
        <v>2612</v>
      </c>
      <c r="F1" t="s">
        <v>2613</v>
      </c>
    </row>
    <row r="2" spans="1:6" x14ac:dyDescent="0.3">
      <c r="A2" t="s">
        <v>1412</v>
      </c>
      <c r="B2" t="s">
        <v>2615</v>
      </c>
      <c r="C2" t="s">
        <v>2737</v>
      </c>
      <c r="D2" t="s">
        <v>2743</v>
      </c>
      <c r="E2">
        <v>65884.86</v>
      </c>
      <c r="F2">
        <v>78073.17</v>
      </c>
    </row>
    <row r="3" spans="1:6" x14ac:dyDescent="0.3">
      <c r="A3" t="s">
        <v>1452</v>
      </c>
      <c r="B3" t="s">
        <v>2616</v>
      </c>
      <c r="C3" t="s">
        <v>2737</v>
      </c>
      <c r="D3" t="s">
        <v>2743</v>
      </c>
      <c r="E3">
        <v>63498.01</v>
      </c>
      <c r="F3">
        <v>74213.429999999993</v>
      </c>
    </row>
    <row r="4" spans="1:6" x14ac:dyDescent="0.3">
      <c r="A4" t="s">
        <v>1411</v>
      </c>
      <c r="B4" t="s">
        <v>2617</v>
      </c>
      <c r="C4" t="s">
        <v>2737</v>
      </c>
      <c r="D4" t="s">
        <v>2744</v>
      </c>
      <c r="E4">
        <v>57790.99</v>
      </c>
      <c r="F4">
        <v>65997.17</v>
      </c>
    </row>
    <row r="5" spans="1:6" x14ac:dyDescent="0.3">
      <c r="A5" t="s">
        <v>1401</v>
      </c>
      <c r="B5" t="s">
        <v>2618</v>
      </c>
      <c r="C5" t="s">
        <v>2737</v>
      </c>
      <c r="D5" t="s">
        <v>2744</v>
      </c>
      <c r="E5">
        <v>42969.75</v>
      </c>
      <c r="F5">
        <v>50900.49</v>
      </c>
    </row>
    <row r="6" spans="1:6" x14ac:dyDescent="0.3">
      <c r="A6" t="s">
        <v>1419</v>
      </c>
      <c r="B6" t="s">
        <v>2619</v>
      </c>
      <c r="C6" t="s">
        <v>2737</v>
      </c>
      <c r="D6" t="s">
        <v>2744</v>
      </c>
      <c r="E6">
        <v>23870.37</v>
      </c>
      <c r="F6">
        <v>29006.55</v>
      </c>
    </row>
    <row r="7" spans="1:6" x14ac:dyDescent="0.3">
      <c r="A7" t="s">
        <v>1333</v>
      </c>
      <c r="B7" t="s">
        <v>2620</v>
      </c>
      <c r="C7" t="s">
        <v>2737</v>
      </c>
      <c r="D7" t="s">
        <v>2744</v>
      </c>
      <c r="E7">
        <v>14301.15</v>
      </c>
      <c r="F7">
        <v>16375.46</v>
      </c>
    </row>
    <row r="8" spans="1:6" x14ac:dyDescent="0.3">
      <c r="A8" t="s">
        <v>1438</v>
      </c>
      <c r="B8" t="s">
        <v>2621</v>
      </c>
      <c r="C8" t="s">
        <v>2737</v>
      </c>
      <c r="D8" t="s">
        <v>2744</v>
      </c>
      <c r="E8">
        <v>68714.75</v>
      </c>
      <c r="F8">
        <v>77432.27</v>
      </c>
    </row>
    <row r="9" spans="1:6" x14ac:dyDescent="0.3">
      <c r="A9" t="s">
        <v>1355</v>
      </c>
      <c r="B9" t="s">
        <v>2622</v>
      </c>
      <c r="C9" t="s">
        <v>2737</v>
      </c>
      <c r="D9" t="s">
        <v>2745</v>
      </c>
      <c r="E9">
        <v>34324.629999999997</v>
      </c>
      <c r="F9">
        <v>38093.910000000003</v>
      </c>
    </row>
    <row r="10" spans="1:6" x14ac:dyDescent="0.3">
      <c r="A10" t="s">
        <v>1342</v>
      </c>
      <c r="B10" t="s">
        <v>2623</v>
      </c>
      <c r="C10" t="s">
        <v>2737</v>
      </c>
      <c r="D10" t="s">
        <v>2745</v>
      </c>
      <c r="E10">
        <v>16143.24</v>
      </c>
      <c r="F10">
        <v>18924.84</v>
      </c>
    </row>
    <row r="11" spans="1:6" x14ac:dyDescent="0.3">
      <c r="A11" t="s">
        <v>1375</v>
      </c>
      <c r="B11" t="s">
        <v>2622</v>
      </c>
      <c r="C11" t="s">
        <v>2737</v>
      </c>
      <c r="D11" t="s">
        <v>2745</v>
      </c>
      <c r="E11">
        <v>29732.44</v>
      </c>
      <c r="F11">
        <v>35534</v>
      </c>
    </row>
    <row r="12" spans="1:6" x14ac:dyDescent="0.3">
      <c r="A12" t="s">
        <v>1424</v>
      </c>
      <c r="B12" t="s">
        <v>2624</v>
      </c>
      <c r="C12" t="s">
        <v>2737</v>
      </c>
      <c r="D12" t="s">
        <v>2745</v>
      </c>
      <c r="E12">
        <v>28169.61</v>
      </c>
      <c r="F12">
        <v>31609.79</v>
      </c>
    </row>
    <row r="13" spans="1:6" x14ac:dyDescent="0.3">
      <c r="A13" t="s">
        <v>1472</v>
      </c>
      <c r="B13" t="s">
        <v>2625</v>
      </c>
      <c r="C13" t="s">
        <v>2737</v>
      </c>
      <c r="D13" t="s">
        <v>2745</v>
      </c>
      <c r="E13">
        <v>15436.05</v>
      </c>
      <c r="F13">
        <v>16791.75</v>
      </c>
    </row>
    <row r="14" spans="1:6" x14ac:dyDescent="0.3">
      <c r="A14" t="s">
        <v>1429</v>
      </c>
      <c r="B14" t="s">
        <v>2626</v>
      </c>
      <c r="C14" t="s">
        <v>2737</v>
      </c>
      <c r="D14" t="s">
        <v>2745</v>
      </c>
      <c r="E14">
        <v>53913.15</v>
      </c>
      <c r="F14">
        <v>63166.03</v>
      </c>
    </row>
    <row r="15" spans="1:6" x14ac:dyDescent="0.3">
      <c r="A15" t="s">
        <v>1347</v>
      </c>
      <c r="B15" t="s">
        <v>2627</v>
      </c>
      <c r="C15" t="s">
        <v>2737</v>
      </c>
      <c r="D15" t="s">
        <v>2745</v>
      </c>
      <c r="E15">
        <v>47743.21</v>
      </c>
      <c r="F15">
        <v>56707.06</v>
      </c>
    </row>
    <row r="16" spans="1:6" x14ac:dyDescent="0.3">
      <c r="A16" t="s">
        <v>1337</v>
      </c>
      <c r="B16" t="s">
        <v>2628</v>
      </c>
      <c r="C16" t="s">
        <v>2737</v>
      </c>
      <c r="D16" t="s">
        <v>2746</v>
      </c>
      <c r="E16">
        <v>10941.6</v>
      </c>
      <c r="F16">
        <v>12042.96</v>
      </c>
    </row>
    <row r="17" spans="1:6" x14ac:dyDescent="0.3">
      <c r="A17" t="s">
        <v>1437</v>
      </c>
      <c r="B17" t="s">
        <v>2629</v>
      </c>
      <c r="C17" t="s">
        <v>2737</v>
      </c>
      <c r="D17" t="s">
        <v>2746</v>
      </c>
      <c r="E17">
        <v>46963.97</v>
      </c>
      <c r="F17">
        <v>53802.83</v>
      </c>
    </row>
    <row r="18" spans="1:6" x14ac:dyDescent="0.3">
      <c r="A18" t="s">
        <v>1332</v>
      </c>
      <c r="B18" t="s">
        <v>2630</v>
      </c>
      <c r="C18" t="s">
        <v>2737</v>
      </c>
      <c r="D18" t="s">
        <v>2746</v>
      </c>
      <c r="E18">
        <v>38508.019999999997</v>
      </c>
      <c r="F18">
        <v>45652.65</v>
      </c>
    </row>
    <row r="19" spans="1:6" x14ac:dyDescent="0.3">
      <c r="A19" t="s">
        <v>1454</v>
      </c>
      <c r="B19" t="s">
        <v>2631</v>
      </c>
      <c r="C19" t="s">
        <v>2737</v>
      </c>
      <c r="D19" t="s">
        <v>2746</v>
      </c>
      <c r="E19">
        <v>44219.31</v>
      </c>
      <c r="F19">
        <v>51141.75</v>
      </c>
    </row>
    <row r="20" spans="1:6" x14ac:dyDescent="0.3">
      <c r="A20" t="s">
        <v>1468</v>
      </c>
      <c r="B20" t="s">
        <v>2632</v>
      </c>
      <c r="C20" t="s">
        <v>2737</v>
      </c>
      <c r="D20" t="s">
        <v>2746</v>
      </c>
      <c r="E20">
        <v>3008.97</v>
      </c>
      <c r="F20">
        <v>3433.61</v>
      </c>
    </row>
    <row r="21" spans="1:6" x14ac:dyDescent="0.3">
      <c r="A21" t="s">
        <v>1370</v>
      </c>
      <c r="B21" t="s">
        <v>2633</v>
      </c>
      <c r="C21" t="s">
        <v>2737</v>
      </c>
      <c r="D21" t="s">
        <v>2747</v>
      </c>
      <c r="E21">
        <v>17808.23</v>
      </c>
      <c r="F21">
        <v>19480.22</v>
      </c>
    </row>
    <row r="22" spans="1:6" x14ac:dyDescent="0.3">
      <c r="A22" t="s">
        <v>1350</v>
      </c>
      <c r="B22" t="s">
        <v>2634</v>
      </c>
      <c r="C22" t="s">
        <v>2737</v>
      </c>
      <c r="D22" t="s">
        <v>2747</v>
      </c>
      <c r="E22">
        <v>46058.720000000001</v>
      </c>
      <c r="F22">
        <v>53290.400000000001</v>
      </c>
    </row>
    <row r="23" spans="1:6" x14ac:dyDescent="0.3">
      <c r="A23" t="s">
        <v>1435</v>
      </c>
      <c r="B23" t="s">
        <v>2633</v>
      </c>
      <c r="C23" t="s">
        <v>2737</v>
      </c>
      <c r="D23" t="s">
        <v>2747</v>
      </c>
      <c r="E23">
        <v>53712.480000000003</v>
      </c>
      <c r="F23">
        <v>62926.96</v>
      </c>
    </row>
    <row r="24" spans="1:6" x14ac:dyDescent="0.3">
      <c r="A24" t="s">
        <v>1345</v>
      </c>
      <c r="B24" t="s">
        <v>2635</v>
      </c>
      <c r="C24" t="s">
        <v>2737</v>
      </c>
      <c r="D24" t="s">
        <v>2747</v>
      </c>
      <c r="E24">
        <v>6877.72</v>
      </c>
      <c r="F24">
        <v>8112.78</v>
      </c>
    </row>
    <row r="25" spans="1:6" x14ac:dyDescent="0.3">
      <c r="A25" t="s">
        <v>1358</v>
      </c>
      <c r="B25" t="s">
        <v>2636</v>
      </c>
      <c r="C25" t="s">
        <v>2737</v>
      </c>
      <c r="D25" t="s">
        <v>2747</v>
      </c>
      <c r="E25">
        <v>33883.75</v>
      </c>
      <c r="F25">
        <v>37487.300000000003</v>
      </c>
    </row>
    <row r="26" spans="1:6" x14ac:dyDescent="0.3">
      <c r="A26" t="s">
        <v>1471</v>
      </c>
      <c r="B26" t="s">
        <v>2637</v>
      </c>
      <c r="C26" t="s">
        <v>2737</v>
      </c>
      <c r="D26" t="s">
        <v>2747</v>
      </c>
      <c r="E26">
        <v>27674.01</v>
      </c>
      <c r="F26">
        <v>31099.68</v>
      </c>
    </row>
    <row r="27" spans="1:6" x14ac:dyDescent="0.3">
      <c r="A27" t="s">
        <v>1455</v>
      </c>
      <c r="B27" t="s">
        <v>2638</v>
      </c>
      <c r="C27" t="s">
        <v>2737</v>
      </c>
      <c r="D27" t="s">
        <v>2748</v>
      </c>
      <c r="E27">
        <v>44890.32</v>
      </c>
      <c r="F27">
        <v>50791.32</v>
      </c>
    </row>
    <row r="28" spans="1:6" x14ac:dyDescent="0.3">
      <c r="A28" t="s">
        <v>1405</v>
      </c>
      <c r="B28" t="s">
        <v>2639</v>
      </c>
      <c r="C28" t="s">
        <v>2737</v>
      </c>
      <c r="D28" t="s">
        <v>2748</v>
      </c>
      <c r="E28">
        <v>50432.83</v>
      </c>
      <c r="F28">
        <v>57633.32</v>
      </c>
    </row>
    <row r="29" spans="1:6" x14ac:dyDescent="0.3">
      <c r="A29" t="s">
        <v>1385</v>
      </c>
      <c r="B29" t="s">
        <v>2638</v>
      </c>
      <c r="C29" t="s">
        <v>2737</v>
      </c>
      <c r="D29" t="s">
        <v>2748</v>
      </c>
      <c r="E29">
        <v>42190.22</v>
      </c>
      <c r="F29">
        <v>46757.35</v>
      </c>
    </row>
    <row r="30" spans="1:6" x14ac:dyDescent="0.3">
      <c r="A30" t="s">
        <v>1356</v>
      </c>
      <c r="B30" t="s">
        <v>2640</v>
      </c>
      <c r="C30" t="s">
        <v>2737</v>
      </c>
      <c r="D30" t="s">
        <v>2748</v>
      </c>
      <c r="E30">
        <v>57968.94</v>
      </c>
      <c r="F30">
        <v>68671.53</v>
      </c>
    </row>
    <row r="31" spans="1:6" x14ac:dyDescent="0.3">
      <c r="A31" t="s">
        <v>1414</v>
      </c>
      <c r="B31" t="s">
        <v>2641</v>
      </c>
      <c r="C31" t="s">
        <v>2738</v>
      </c>
      <c r="D31" t="s">
        <v>2749</v>
      </c>
      <c r="E31">
        <v>15367.23</v>
      </c>
      <c r="F31">
        <v>20329.61</v>
      </c>
    </row>
    <row r="32" spans="1:6" x14ac:dyDescent="0.3">
      <c r="A32" t="s">
        <v>1439</v>
      </c>
      <c r="B32" t="s">
        <v>2641</v>
      </c>
      <c r="C32" t="s">
        <v>2738</v>
      </c>
      <c r="D32" t="s">
        <v>2749</v>
      </c>
      <c r="E32">
        <v>2079.38</v>
      </c>
      <c r="F32">
        <v>2679.96</v>
      </c>
    </row>
    <row r="33" spans="1:6" x14ac:dyDescent="0.3">
      <c r="A33" t="s">
        <v>1422</v>
      </c>
      <c r="B33" t="s">
        <v>2642</v>
      </c>
      <c r="C33" t="s">
        <v>2738</v>
      </c>
      <c r="D33" t="s">
        <v>2750</v>
      </c>
      <c r="E33">
        <v>23288.03</v>
      </c>
      <c r="F33">
        <v>27508.38</v>
      </c>
    </row>
    <row r="34" spans="1:6" x14ac:dyDescent="0.3">
      <c r="A34" t="s">
        <v>1404</v>
      </c>
      <c r="B34" t="s">
        <v>2643</v>
      </c>
      <c r="C34" t="s">
        <v>2738</v>
      </c>
      <c r="D34" t="s">
        <v>2750</v>
      </c>
      <c r="E34">
        <v>34314.69</v>
      </c>
      <c r="F34">
        <v>44125.88</v>
      </c>
    </row>
    <row r="35" spans="1:6" x14ac:dyDescent="0.3">
      <c r="A35" t="s">
        <v>1400</v>
      </c>
      <c r="B35" t="s">
        <v>2642</v>
      </c>
      <c r="C35" t="s">
        <v>2738</v>
      </c>
      <c r="D35" t="s">
        <v>2750</v>
      </c>
      <c r="E35">
        <v>30302.880000000001</v>
      </c>
      <c r="F35">
        <v>36178.629999999997</v>
      </c>
    </row>
    <row r="36" spans="1:6" x14ac:dyDescent="0.3">
      <c r="A36" t="s">
        <v>1449</v>
      </c>
      <c r="B36" t="s">
        <v>2642</v>
      </c>
      <c r="C36" t="s">
        <v>2738</v>
      </c>
      <c r="D36" t="s">
        <v>2750</v>
      </c>
      <c r="E36">
        <v>17698.650000000001</v>
      </c>
      <c r="F36">
        <v>22795.96</v>
      </c>
    </row>
    <row r="37" spans="1:6" x14ac:dyDescent="0.3">
      <c r="A37" t="s">
        <v>1451</v>
      </c>
      <c r="B37" t="s">
        <v>2644</v>
      </c>
      <c r="C37" t="s">
        <v>2738</v>
      </c>
      <c r="D37" t="s">
        <v>2750</v>
      </c>
      <c r="E37">
        <v>33006.61</v>
      </c>
      <c r="F37">
        <v>43188.76</v>
      </c>
    </row>
    <row r="38" spans="1:6" x14ac:dyDescent="0.3">
      <c r="A38" t="s">
        <v>1390</v>
      </c>
      <c r="B38" t="s">
        <v>2645</v>
      </c>
      <c r="C38" t="s">
        <v>2738</v>
      </c>
      <c r="D38" t="s">
        <v>2750</v>
      </c>
      <c r="E38">
        <v>27297.35</v>
      </c>
      <c r="F38">
        <v>38147.39</v>
      </c>
    </row>
    <row r="39" spans="1:6" x14ac:dyDescent="0.3">
      <c r="A39" t="s">
        <v>1343</v>
      </c>
      <c r="B39" t="s">
        <v>2646</v>
      </c>
      <c r="C39" t="s">
        <v>2738</v>
      </c>
      <c r="D39" t="s">
        <v>2750</v>
      </c>
      <c r="E39">
        <v>5474.29</v>
      </c>
      <c r="F39">
        <v>7138.26</v>
      </c>
    </row>
    <row r="40" spans="1:6" x14ac:dyDescent="0.3">
      <c r="A40" t="s">
        <v>1462</v>
      </c>
      <c r="B40" t="s">
        <v>2647</v>
      </c>
      <c r="C40" t="s">
        <v>2738</v>
      </c>
      <c r="D40" t="s">
        <v>2751</v>
      </c>
      <c r="E40">
        <v>25191.1</v>
      </c>
      <c r="F40">
        <v>31184.25</v>
      </c>
    </row>
    <row r="41" spans="1:6" x14ac:dyDescent="0.3">
      <c r="A41" t="s">
        <v>1418</v>
      </c>
      <c r="B41" t="s">
        <v>2648</v>
      </c>
      <c r="C41" t="s">
        <v>2738</v>
      </c>
      <c r="D41" t="s">
        <v>2751</v>
      </c>
      <c r="E41">
        <v>22676.73</v>
      </c>
      <c r="F41">
        <v>30604.9</v>
      </c>
    </row>
    <row r="42" spans="1:6" x14ac:dyDescent="0.3">
      <c r="A42" t="s">
        <v>1440</v>
      </c>
      <c r="B42" t="s">
        <v>2649</v>
      </c>
      <c r="C42" t="s">
        <v>2738</v>
      </c>
      <c r="D42" t="s">
        <v>2751</v>
      </c>
      <c r="E42">
        <v>29636.19</v>
      </c>
      <c r="F42">
        <v>35541.870000000003</v>
      </c>
    </row>
    <row r="43" spans="1:6" x14ac:dyDescent="0.3">
      <c r="A43" t="s">
        <v>1397</v>
      </c>
      <c r="B43" t="s">
        <v>2650</v>
      </c>
      <c r="C43" t="s">
        <v>2738</v>
      </c>
      <c r="D43" t="s">
        <v>2751</v>
      </c>
      <c r="E43">
        <v>34414.980000000003</v>
      </c>
      <c r="F43">
        <v>42202.74</v>
      </c>
    </row>
    <row r="44" spans="1:6" x14ac:dyDescent="0.3">
      <c r="A44" t="s">
        <v>1432</v>
      </c>
      <c r="B44" t="s">
        <v>2651</v>
      </c>
      <c r="C44" t="s">
        <v>2738</v>
      </c>
      <c r="D44" t="s">
        <v>2751</v>
      </c>
      <c r="E44">
        <v>1909.3</v>
      </c>
      <c r="F44">
        <v>2490.0500000000002</v>
      </c>
    </row>
    <row r="45" spans="1:6" x14ac:dyDescent="0.3">
      <c r="A45" t="s">
        <v>1377</v>
      </c>
      <c r="B45" t="s">
        <v>2652</v>
      </c>
      <c r="C45" t="s">
        <v>2738</v>
      </c>
      <c r="D45" t="s">
        <v>2752</v>
      </c>
      <c r="E45">
        <v>35375.160000000003</v>
      </c>
      <c r="F45">
        <v>43870.05</v>
      </c>
    </row>
    <row r="46" spans="1:6" x14ac:dyDescent="0.3">
      <c r="A46" t="s">
        <v>1456</v>
      </c>
      <c r="B46" t="s">
        <v>2653</v>
      </c>
      <c r="C46" t="s">
        <v>2738</v>
      </c>
      <c r="D46" t="s">
        <v>2752</v>
      </c>
      <c r="E46">
        <v>35577.550000000003</v>
      </c>
      <c r="F46">
        <v>43108.17</v>
      </c>
    </row>
    <row r="47" spans="1:6" x14ac:dyDescent="0.3">
      <c r="A47" t="s">
        <v>1335</v>
      </c>
      <c r="B47" t="s">
        <v>2654</v>
      </c>
      <c r="C47" t="s">
        <v>2738</v>
      </c>
      <c r="D47" t="s">
        <v>2752</v>
      </c>
      <c r="E47">
        <v>2219.9899999999998</v>
      </c>
      <c r="F47">
        <v>2828.96</v>
      </c>
    </row>
    <row r="48" spans="1:6" x14ac:dyDescent="0.3">
      <c r="A48" t="s">
        <v>1354</v>
      </c>
      <c r="B48" t="s">
        <v>2652</v>
      </c>
      <c r="C48" t="s">
        <v>2738</v>
      </c>
      <c r="D48" t="s">
        <v>2752</v>
      </c>
      <c r="E48">
        <v>32699.88</v>
      </c>
      <c r="F48">
        <v>45654.38</v>
      </c>
    </row>
    <row r="49" spans="1:6" x14ac:dyDescent="0.3">
      <c r="A49" t="s">
        <v>1392</v>
      </c>
      <c r="B49" t="s">
        <v>2655</v>
      </c>
      <c r="C49" t="s">
        <v>2738</v>
      </c>
      <c r="D49" t="s">
        <v>2753</v>
      </c>
      <c r="E49">
        <v>14784.44</v>
      </c>
      <c r="F49">
        <v>17688.330000000002</v>
      </c>
    </row>
    <row r="50" spans="1:6" x14ac:dyDescent="0.3">
      <c r="A50" t="s">
        <v>1477</v>
      </c>
      <c r="B50" t="s">
        <v>2656</v>
      </c>
      <c r="C50" t="s">
        <v>2738</v>
      </c>
      <c r="D50" t="s">
        <v>2753</v>
      </c>
      <c r="E50">
        <v>35112.080000000002</v>
      </c>
      <c r="F50">
        <v>43142.95</v>
      </c>
    </row>
    <row r="51" spans="1:6" x14ac:dyDescent="0.3">
      <c r="A51" t="s">
        <v>1425</v>
      </c>
      <c r="B51" t="s">
        <v>2655</v>
      </c>
      <c r="C51" t="s">
        <v>2738</v>
      </c>
      <c r="D51" t="s">
        <v>2753</v>
      </c>
      <c r="E51">
        <v>4604.17</v>
      </c>
      <c r="F51">
        <v>6347.66</v>
      </c>
    </row>
    <row r="52" spans="1:6" x14ac:dyDescent="0.3">
      <c r="A52" t="s">
        <v>1367</v>
      </c>
      <c r="B52" t="s">
        <v>2657</v>
      </c>
      <c r="C52" t="s">
        <v>2738</v>
      </c>
      <c r="D52" t="s">
        <v>2754</v>
      </c>
      <c r="E52">
        <v>20048.560000000001</v>
      </c>
      <c r="F52">
        <v>27891.1</v>
      </c>
    </row>
    <row r="53" spans="1:6" x14ac:dyDescent="0.3">
      <c r="A53" t="s">
        <v>1431</v>
      </c>
      <c r="B53" t="s">
        <v>2658</v>
      </c>
      <c r="C53" t="s">
        <v>2738</v>
      </c>
      <c r="D53" t="s">
        <v>2754</v>
      </c>
      <c r="E53">
        <v>7775.68</v>
      </c>
      <c r="F53">
        <v>9677.85</v>
      </c>
    </row>
    <row r="54" spans="1:6" x14ac:dyDescent="0.3">
      <c r="A54" t="s">
        <v>1384</v>
      </c>
      <c r="B54" t="s">
        <v>2659</v>
      </c>
      <c r="C54" t="s">
        <v>2738</v>
      </c>
      <c r="D54" t="s">
        <v>2754</v>
      </c>
      <c r="E54">
        <v>25308.26</v>
      </c>
      <c r="F54">
        <v>35937.699999999997</v>
      </c>
    </row>
    <row r="55" spans="1:6" x14ac:dyDescent="0.3">
      <c r="A55" t="s">
        <v>1441</v>
      </c>
      <c r="B55" t="s">
        <v>2660</v>
      </c>
      <c r="C55" t="s">
        <v>2738</v>
      </c>
      <c r="D55" t="s">
        <v>2754</v>
      </c>
      <c r="E55">
        <v>4881.03</v>
      </c>
      <c r="F55">
        <v>6305.83</v>
      </c>
    </row>
    <row r="56" spans="1:6" x14ac:dyDescent="0.3">
      <c r="A56" t="s">
        <v>1426</v>
      </c>
      <c r="B56" t="s">
        <v>2661</v>
      </c>
      <c r="C56" t="s">
        <v>2738</v>
      </c>
      <c r="D56" t="s">
        <v>2754</v>
      </c>
      <c r="E56">
        <v>24492.11</v>
      </c>
      <c r="F56">
        <v>33135.4</v>
      </c>
    </row>
    <row r="57" spans="1:6" x14ac:dyDescent="0.3">
      <c r="A57" t="s">
        <v>1388</v>
      </c>
      <c r="B57" t="s">
        <v>2662</v>
      </c>
      <c r="C57" t="s">
        <v>2739</v>
      </c>
      <c r="D57" t="s">
        <v>2755</v>
      </c>
      <c r="E57">
        <v>3980.35</v>
      </c>
      <c r="F57">
        <v>5746.05</v>
      </c>
    </row>
    <row r="58" spans="1:6" x14ac:dyDescent="0.3">
      <c r="A58" t="s">
        <v>1359</v>
      </c>
      <c r="B58" t="s">
        <v>2663</v>
      </c>
      <c r="C58" t="s">
        <v>2739</v>
      </c>
      <c r="D58" t="s">
        <v>2755</v>
      </c>
      <c r="E58">
        <v>4150.1099999999997</v>
      </c>
      <c r="F58">
        <v>5570.41</v>
      </c>
    </row>
    <row r="59" spans="1:6" x14ac:dyDescent="0.3">
      <c r="A59" t="s">
        <v>1394</v>
      </c>
      <c r="B59" t="s">
        <v>2664</v>
      </c>
      <c r="C59" t="s">
        <v>2739</v>
      </c>
      <c r="D59" t="s">
        <v>2755</v>
      </c>
      <c r="E59">
        <v>651.63</v>
      </c>
      <c r="F59">
        <v>902.62</v>
      </c>
    </row>
    <row r="60" spans="1:6" x14ac:dyDescent="0.3">
      <c r="A60" t="s">
        <v>1465</v>
      </c>
      <c r="B60" t="s">
        <v>2665</v>
      </c>
      <c r="C60" t="s">
        <v>2739</v>
      </c>
      <c r="D60" t="s">
        <v>2755</v>
      </c>
      <c r="E60">
        <v>1496.53</v>
      </c>
      <c r="F60">
        <v>2687.95</v>
      </c>
    </row>
    <row r="61" spans="1:6" x14ac:dyDescent="0.3">
      <c r="A61" t="s">
        <v>1352</v>
      </c>
      <c r="B61" t="s">
        <v>2666</v>
      </c>
      <c r="C61" t="s">
        <v>2739</v>
      </c>
      <c r="D61" t="s">
        <v>2755</v>
      </c>
      <c r="E61">
        <v>2082.56</v>
      </c>
      <c r="F61">
        <v>3696.44</v>
      </c>
    </row>
    <row r="62" spans="1:6" x14ac:dyDescent="0.3">
      <c r="A62" t="s">
        <v>1460</v>
      </c>
      <c r="B62" t="s">
        <v>2667</v>
      </c>
      <c r="C62" t="s">
        <v>2739</v>
      </c>
      <c r="D62" t="s">
        <v>2755</v>
      </c>
      <c r="E62">
        <v>3206.37</v>
      </c>
      <c r="F62">
        <v>4883.8599999999997</v>
      </c>
    </row>
    <row r="63" spans="1:6" x14ac:dyDescent="0.3">
      <c r="A63" t="s">
        <v>1415</v>
      </c>
      <c r="B63" t="s">
        <v>2668</v>
      </c>
      <c r="C63" t="s">
        <v>2739</v>
      </c>
      <c r="D63" t="s">
        <v>2756</v>
      </c>
      <c r="E63">
        <v>3562.09</v>
      </c>
      <c r="F63">
        <v>4772.1499999999996</v>
      </c>
    </row>
    <row r="64" spans="1:6" x14ac:dyDescent="0.3">
      <c r="A64" t="s">
        <v>1348</v>
      </c>
      <c r="B64" t="s">
        <v>2669</v>
      </c>
      <c r="C64" t="s">
        <v>2739</v>
      </c>
      <c r="D64" t="s">
        <v>2756</v>
      </c>
      <c r="E64">
        <v>538.04</v>
      </c>
      <c r="F64">
        <v>921.12</v>
      </c>
    </row>
    <row r="65" spans="1:6" x14ac:dyDescent="0.3">
      <c r="A65" t="s">
        <v>1361</v>
      </c>
      <c r="B65" t="s">
        <v>2669</v>
      </c>
      <c r="C65" t="s">
        <v>2739</v>
      </c>
      <c r="D65" t="s">
        <v>2756</v>
      </c>
      <c r="E65">
        <v>3405.41</v>
      </c>
      <c r="F65">
        <v>4840.8599999999997</v>
      </c>
    </row>
    <row r="66" spans="1:6" x14ac:dyDescent="0.3">
      <c r="A66" t="s">
        <v>1346</v>
      </c>
      <c r="B66" t="s">
        <v>2670</v>
      </c>
      <c r="C66" t="s">
        <v>2739</v>
      </c>
      <c r="D66" t="s">
        <v>2756</v>
      </c>
      <c r="E66">
        <v>2090.37</v>
      </c>
      <c r="F66">
        <v>3324.39</v>
      </c>
    </row>
    <row r="67" spans="1:6" x14ac:dyDescent="0.3">
      <c r="A67" t="s">
        <v>1371</v>
      </c>
      <c r="B67" t="s">
        <v>2671</v>
      </c>
      <c r="C67" t="s">
        <v>2739</v>
      </c>
      <c r="D67" t="s">
        <v>2756</v>
      </c>
      <c r="E67">
        <v>3301.16</v>
      </c>
      <c r="F67">
        <v>5245.11</v>
      </c>
    </row>
    <row r="68" spans="1:6" x14ac:dyDescent="0.3">
      <c r="A68" t="s">
        <v>1349</v>
      </c>
      <c r="B68" t="s">
        <v>2668</v>
      </c>
      <c r="C68" t="s">
        <v>2739</v>
      </c>
      <c r="D68" t="s">
        <v>2756</v>
      </c>
      <c r="E68">
        <v>1789.63</v>
      </c>
      <c r="F68">
        <v>2650.66</v>
      </c>
    </row>
    <row r="69" spans="1:6" x14ac:dyDescent="0.3">
      <c r="A69" t="s">
        <v>1470</v>
      </c>
      <c r="B69" t="s">
        <v>2672</v>
      </c>
      <c r="C69" t="s">
        <v>2739</v>
      </c>
      <c r="D69" t="s">
        <v>2756</v>
      </c>
      <c r="E69">
        <v>2670.17</v>
      </c>
      <c r="F69">
        <v>4551.28</v>
      </c>
    </row>
    <row r="70" spans="1:6" x14ac:dyDescent="0.3">
      <c r="A70" t="s">
        <v>2614</v>
      </c>
      <c r="B70" t="s">
        <v>2673</v>
      </c>
      <c r="C70" t="s">
        <v>2739</v>
      </c>
      <c r="D70" t="s">
        <v>2756</v>
      </c>
      <c r="E70">
        <v>662.35</v>
      </c>
      <c r="F70">
        <v>899.09</v>
      </c>
    </row>
    <row r="71" spans="1:6" x14ac:dyDescent="0.3">
      <c r="A71" t="s">
        <v>1475</v>
      </c>
      <c r="B71" t="s">
        <v>2674</v>
      </c>
      <c r="C71" t="s">
        <v>2739</v>
      </c>
      <c r="D71" t="s">
        <v>2757</v>
      </c>
      <c r="E71">
        <v>662.41</v>
      </c>
      <c r="F71">
        <v>1132.19</v>
      </c>
    </row>
    <row r="72" spans="1:6" x14ac:dyDescent="0.3">
      <c r="A72" t="s">
        <v>1433</v>
      </c>
      <c r="B72" t="s">
        <v>2675</v>
      </c>
      <c r="C72" t="s">
        <v>2739</v>
      </c>
      <c r="D72" t="s">
        <v>2757</v>
      </c>
      <c r="E72">
        <v>1491.43</v>
      </c>
      <c r="F72">
        <v>2067.91</v>
      </c>
    </row>
    <row r="73" spans="1:6" x14ac:dyDescent="0.3">
      <c r="A73" t="s">
        <v>1442</v>
      </c>
      <c r="B73" t="s">
        <v>2676</v>
      </c>
      <c r="C73" t="s">
        <v>2739</v>
      </c>
      <c r="D73" t="s">
        <v>2757</v>
      </c>
      <c r="E73">
        <v>381.13</v>
      </c>
      <c r="F73">
        <v>603.28</v>
      </c>
    </row>
    <row r="74" spans="1:6" x14ac:dyDescent="0.3">
      <c r="A74" t="s">
        <v>1436</v>
      </c>
      <c r="B74" t="s">
        <v>2677</v>
      </c>
      <c r="C74" t="s">
        <v>2739</v>
      </c>
      <c r="D74" t="s">
        <v>2758</v>
      </c>
      <c r="E74">
        <v>390.26</v>
      </c>
      <c r="F74">
        <v>546.80999999999995</v>
      </c>
    </row>
    <row r="75" spans="1:6" x14ac:dyDescent="0.3">
      <c r="A75" t="s">
        <v>1341</v>
      </c>
      <c r="B75" t="s">
        <v>2678</v>
      </c>
      <c r="C75" t="s">
        <v>2739</v>
      </c>
      <c r="D75" t="s">
        <v>2758</v>
      </c>
      <c r="E75">
        <v>1154.1199999999999</v>
      </c>
      <c r="F75">
        <v>1648.45</v>
      </c>
    </row>
    <row r="76" spans="1:6" x14ac:dyDescent="0.3">
      <c r="A76" t="s">
        <v>1448</v>
      </c>
      <c r="B76" t="s">
        <v>2679</v>
      </c>
      <c r="C76" t="s">
        <v>2739</v>
      </c>
      <c r="D76" t="s">
        <v>2758</v>
      </c>
      <c r="E76">
        <v>391.49</v>
      </c>
      <c r="F76">
        <v>579.75</v>
      </c>
    </row>
    <row r="77" spans="1:6" x14ac:dyDescent="0.3">
      <c r="A77" t="s">
        <v>1408</v>
      </c>
      <c r="B77" t="s">
        <v>2680</v>
      </c>
      <c r="C77" t="s">
        <v>2739</v>
      </c>
      <c r="D77" t="s">
        <v>2758</v>
      </c>
      <c r="E77">
        <v>2396.5100000000002</v>
      </c>
      <c r="F77">
        <v>3284.39</v>
      </c>
    </row>
    <row r="78" spans="1:6" x14ac:dyDescent="0.3">
      <c r="A78" t="s">
        <v>1351</v>
      </c>
      <c r="B78" t="s">
        <v>2677</v>
      </c>
      <c r="C78" t="s">
        <v>2739</v>
      </c>
      <c r="D78" t="s">
        <v>2758</v>
      </c>
      <c r="E78">
        <v>3734.8</v>
      </c>
      <c r="F78">
        <v>5049.71</v>
      </c>
    </row>
    <row r="79" spans="1:6" x14ac:dyDescent="0.3">
      <c r="A79" t="s">
        <v>1340</v>
      </c>
      <c r="B79" t="s">
        <v>2680</v>
      </c>
      <c r="C79" t="s">
        <v>2739</v>
      </c>
      <c r="D79" t="s">
        <v>2758</v>
      </c>
      <c r="E79">
        <v>4067.53</v>
      </c>
      <c r="F79">
        <v>5570.6</v>
      </c>
    </row>
    <row r="80" spans="1:6" x14ac:dyDescent="0.3">
      <c r="A80" t="s">
        <v>1376</v>
      </c>
      <c r="B80" t="s">
        <v>2681</v>
      </c>
      <c r="C80" t="s">
        <v>2739</v>
      </c>
      <c r="D80" t="s">
        <v>2759</v>
      </c>
      <c r="E80">
        <v>3016.51</v>
      </c>
      <c r="F80">
        <v>5444.12</v>
      </c>
    </row>
    <row r="81" spans="1:6" x14ac:dyDescent="0.3">
      <c r="A81" t="s">
        <v>1381</v>
      </c>
      <c r="B81" t="s">
        <v>2682</v>
      </c>
      <c r="C81" t="s">
        <v>2739</v>
      </c>
      <c r="D81" t="s">
        <v>2759</v>
      </c>
      <c r="E81">
        <v>2893.62</v>
      </c>
      <c r="F81">
        <v>4870.55</v>
      </c>
    </row>
    <row r="82" spans="1:6" x14ac:dyDescent="0.3">
      <c r="A82" t="s">
        <v>1329</v>
      </c>
      <c r="B82" t="s">
        <v>2659</v>
      </c>
      <c r="C82" t="s">
        <v>2739</v>
      </c>
      <c r="D82" t="s">
        <v>2759</v>
      </c>
      <c r="E82">
        <v>685.18</v>
      </c>
      <c r="F82">
        <v>1065.95</v>
      </c>
    </row>
    <row r="83" spans="1:6" x14ac:dyDescent="0.3">
      <c r="A83" t="s">
        <v>1393</v>
      </c>
      <c r="B83" t="s">
        <v>2683</v>
      </c>
      <c r="C83" t="s">
        <v>2739</v>
      </c>
      <c r="D83" t="s">
        <v>2759</v>
      </c>
      <c r="E83">
        <v>1868.55</v>
      </c>
      <c r="F83">
        <v>3230.07</v>
      </c>
    </row>
    <row r="84" spans="1:6" x14ac:dyDescent="0.3">
      <c r="A84" t="s">
        <v>1463</v>
      </c>
      <c r="B84" t="s">
        <v>2684</v>
      </c>
      <c r="C84" t="s">
        <v>2739</v>
      </c>
      <c r="D84" t="s">
        <v>2759</v>
      </c>
      <c r="E84">
        <v>1976.52</v>
      </c>
      <c r="F84">
        <v>2936.96</v>
      </c>
    </row>
    <row r="85" spans="1:6" x14ac:dyDescent="0.3">
      <c r="A85" t="s">
        <v>1330</v>
      </c>
      <c r="B85" t="s">
        <v>2685</v>
      </c>
      <c r="C85" t="s">
        <v>2739</v>
      </c>
      <c r="D85" t="s">
        <v>2759</v>
      </c>
      <c r="E85">
        <v>1619.95</v>
      </c>
      <c r="F85">
        <v>2393.8200000000002</v>
      </c>
    </row>
    <row r="86" spans="1:6" x14ac:dyDescent="0.3">
      <c r="A86" t="s">
        <v>1443</v>
      </c>
      <c r="B86" t="s">
        <v>2686</v>
      </c>
      <c r="C86" t="s">
        <v>2740</v>
      </c>
      <c r="D86" t="s">
        <v>2760</v>
      </c>
      <c r="E86">
        <v>953.25</v>
      </c>
      <c r="F86">
        <v>1035.79</v>
      </c>
    </row>
    <row r="87" spans="1:6" x14ac:dyDescent="0.3">
      <c r="A87" t="s">
        <v>1457</v>
      </c>
      <c r="B87" t="s">
        <v>2687</v>
      </c>
      <c r="C87" t="s">
        <v>2740</v>
      </c>
      <c r="D87" t="s">
        <v>2760</v>
      </c>
      <c r="E87">
        <v>1221.99</v>
      </c>
      <c r="F87">
        <v>1423.62</v>
      </c>
    </row>
    <row r="88" spans="1:6" x14ac:dyDescent="0.3">
      <c r="A88" t="s">
        <v>1459</v>
      </c>
      <c r="B88" t="s">
        <v>2688</v>
      </c>
      <c r="C88" t="s">
        <v>2740</v>
      </c>
      <c r="D88" t="s">
        <v>2760</v>
      </c>
      <c r="E88">
        <v>704.43</v>
      </c>
      <c r="F88">
        <v>814.23</v>
      </c>
    </row>
    <row r="89" spans="1:6" x14ac:dyDescent="0.3">
      <c r="A89" t="s">
        <v>1357</v>
      </c>
      <c r="B89" t="s">
        <v>2689</v>
      </c>
      <c r="C89" t="s">
        <v>2740</v>
      </c>
      <c r="D89" t="s">
        <v>2760</v>
      </c>
      <c r="E89">
        <v>858.18</v>
      </c>
      <c r="F89">
        <v>986.91</v>
      </c>
    </row>
    <row r="90" spans="1:6" x14ac:dyDescent="0.3">
      <c r="A90" t="s">
        <v>1407</v>
      </c>
      <c r="B90" t="s">
        <v>2687</v>
      </c>
      <c r="C90" t="s">
        <v>2740</v>
      </c>
      <c r="D90" t="s">
        <v>2760</v>
      </c>
      <c r="E90">
        <v>718.44</v>
      </c>
      <c r="F90">
        <v>810.23</v>
      </c>
    </row>
    <row r="91" spans="1:6" x14ac:dyDescent="0.3">
      <c r="A91" t="s">
        <v>1386</v>
      </c>
      <c r="B91" t="s">
        <v>2686</v>
      </c>
      <c r="C91" t="s">
        <v>2740</v>
      </c>
      <c r="D91" t="s">
        <v>2760</v>
      </c>
      <c r="E91">
        <v>1030.72</v>
      </c>
      <c r="F91">
        <v>1094.7</v>
      </c>
    </row>
    <row r="92" spans="1:6" x14ac:dyDescent="0.3">
      <c r="A92" t="s">
        <v>1421</v>
      </c>
      <c r="B92" t="s">
        <v>2690</v>
      </c>
      <c r="C92" t="s">
        <v>2740</v>
      </c>
      <c r="D92" t="s">
        <v>2761</v>
      </c>
      <c r="E92">
        <v>194.34</v>
      </c>
      <c r="F92">
        <v>227.54</v>
      </c>
    </row>
    <row r="93" spans="1:6" x14ac:dyDescent="0.3">
      <c r="A93" t="s">
        <v>1334</v>
      </c>
      <c r="B93" t="s">
        <v>2691</v>
      </c>
      <c r="C93" t="s">
        <v>2740</v>
      </c>
      <c r="D93" t="s">
        <v>2761</v>
      </c>
      <c r="E93">
        <v>1025.95</v>
      </c>
      <c r="F93">
        <v>1178.5899999999999</v>
      </c>
    </row>
    <row r="94" spans="1:6" x14ac:dyDescent="0.3">
      <c r="A94" t="s">
        <v>1402</v>
      </c>
      <c r="B94" t="s">
        <v>2690</v>
      </c>
      <c r="C94" t="s">
        <v>2740</v>
      </c>
      <c r="D94" t="s">
        <v>2761</v>
      </c>
      <c r="E94">
        <v>1312.5</v>
      </c>
      <c r="F94">
        <v>1419.44</v>
      </c>
    </row>
    <row r="95" spans="1:6" x14ac:dyDescent="0.3">
      <c r="A95" t="s">
        <v>1461</v>
      </c>
      <c r="B95" t="s">
        <v>2692</v>
      </c>
      <c r="C95" t="s">
        <v>2740</v>
      </c>
      <c r="D95" t="s">
        <v>2761</v>
      </c>
      <c r="E95">
        <v>870.58</v>
      </c>
      <c r="F95">
        <v>933.23</v>
      </c>
    </row>
    <row r="96" spans="1:6" x14ac:dyDescent="0.3">
      <c r="A96" t="s">
        <v>1399</v>
      </c>
      <c r="B96" t="s">
        <v>2691</v>
      </c>
      <c r="C96" t="s">
        <v>2740</v>
      </c>
      <c r="D96" t="s">
        <v>2761</v>
      </c>
      <c r="E96">
        <v>639.05999999999995</v>
      </c>
      <c r="F96">
        <v>711.86</v>
      </c>
    </row>
    <row r="97" spans="1:6" x14ac:dyDescent="0.3">
      <c r="A97" t="s">
        <v>1338</v>
      </c>
      <c r="B97" t="s">
        <v>2693</v>
      </c>
      <c r="C97" t="s">
        <v>2740</v>
      </c>
      <c r="D97" t="s">
        <v>2761</v>
      </c>
      <c r="E97">
        <v>1001.47</v>
      </c>
      <c r="F97">
        <v>1151.02</v>
      </c>
    </row>
    <row r="98" spans="1:6" x14ac:dyDescent="0.3">
      <c r="A98" t="s">
        <v>1366</v>
      </c>
      <c r="B98" t="s">
        <v>2694</v>
      </c>
      <c r="C98" t="s">
        <v>2740</v>
      </c>
      <c r="D98" t="s">
        <v>2762</v>
      </c>
      <c r="E98">
        <v>1311.02</v>
      </c>
      <c r="F98">
        <v>1397.64</v>
      </c>
    </row>
    <row r="99" spans="1:6" x14ac:dyDescent="0.3">
      <c r="A99" t="s">
        <v>1434</v>
      </c>
      <c r="B99" t="s">
        <v>2695</v>
      </c>
      <c r="C99" t="s">
        <v>2740</v>
      </c>
      <c r="D99" t="s">
        <v>2762</v>
      </c>
      <c r="E99">
        <v>903.32</v>
      </c>
      <c r="F99">
        <v>994.69</v>
      </c>
    </row>
    <row r="100" spans="1:6" x14ac:dyDescent="0.3">
      <c r="A100" t="s">
        <v>1360</v>
      </c>
      <c r="B100" t="s">
        <v>2696</v>
      </c>
      <c r="C100" t="s">
        <v>2740</v>
      </c>
      <c r="D100" t="s">
        <v>2762</v>
      </c>
      <c r="E100">
        <v>1029.74</v>
      </c>
      <c r="F100">
        <v>1166.3499999999999</v>
      </c>
    </row>
    <row r="101" spans="1:6" x14ac:dyDescent="0.3">
      <c r="A101" t="s">
        <v>1445</v>
      </c>
      <c r="B101" t="s">
        <v>2697</v>
      </c>
      <c r="C101" t="s">
        <v>2740</v>
      </c>
      <c r="D101" t="s">
        <v>2762</v>
      </c>
      <c r="E101">
        <v>444.52</v>
      </c>
      <c r="F101">
        <v>516.78</v>
      </c>
    </row>
    <row r="102" spans="1:6" x14ac:dyDescent="0.3">
      <c r="A102" t="s">
        <v>1430</v>
      </c>
      <c r="B102" t="s">
        <v>2698</v>
      </c>
      <c r="C102" t="s">
        <v>2740</v>
      </c>
      <c r="D102" t="s">
        <v>2762</v>
      </c>
      <c r="E102">
        <v>1060.44</v>
      </c>
      <c r="F102">
        <v>1148.97</v>
      </c>
    </row>
    <row r="103" spans="1:6" x14ac:dyDescent="0.3">
      <c r="A103" t="s">
        <v>1382</v>
      </c>
      <c r="B103" t="s">
        <v>2697</v>
      </c>
      <c r="C103" t="s">
        <v>2740</v>
      </c>
      <c r="D103" t="s">
        <v>2762</v>
      </c>
      <c r="E103">
        <v>516.05999999999995</v>
      </c>
      <c r="F103">
        <v>561.82000000000005</v>
      </c>
    </row>
    <row r="104" spans="1:6" x14ac:dyDescent="0.3">
      <c r="A104" t="s">
        <v>1420</v>
      </c>
      <c r="B104" t="s">
        <v>2694</v>
      </c>
      <c r="C104" t="s">
        <v>2740</v>
      </c>
      <c r="D104" t="s">
        <v>2762</v>
      </c>
      <c r="E104">
        <v>240.65</v>
      </c>
      <c r="F104">
        <v>257.32</v>
      </c>
    </row>
    <row r="105" spans="1:6" x14ac:dyDescent="0.3">
      <c r="A105" t="s">
        <v>1373</v>
      </c>
      <c r="B105" t="s">
        <v>2696</v>
      </c>
      <c r="C105" t="s">
        <v>2740</v>
      </c>
      <c r="D105" t="s">
        <v>2762</v>
      </c>
      <c r="E105">
        <v>1273.0899999999999</v>
      </c>
      <c r="F105">
        <v>1404.85</v>
      </c>
    </row>
    <row r="106" spans="1:6" x14ac:dyDescent="0.3">
      <c r="A106" t="s">
        <v>1364</v>
      </c>
      <c r="B106" t="s">
        <v>2699</v>
      </c>
      <c r="C106" t="s">
        <v>2740</v>
      </c>
      <c r="D106" t="s">
        <v>2762</v>
      </c>
      <c r="E106">
        <v>517.46</v>
      </c>
      <c r="F106">
        <v>590.01</v>
      </c>
    </row>
    <row r="107" spans="1:6" x14ac:dyDescent="0.3">
      <c r="A107" t="s">
        <v>1416</v>
      </c>
      <c r="B107" t="s">
        <v>2700</v>
      </c>
      <c r="C107" t="s">
        <v>2740</v>
      </c>
      <c r="D107" t="s">
        <v>2763</v>
      </c>
      <c r="E107">
        <v>1225</v>
      </c>
      <c r="F107">
        <v>1404.87</v>
      </c>
    </row>
    <row r="108" spans="1:6" x14ac:dyDescent="0.3">
      <c r="A108" t="s">
        <v>1380</v>
      </c>
      <c r="B108" t="s">
        <v>2701</v>
      </c>
      <c r="C108" t="s">
        <v>2740</v>
      </c>
      <c r="D108" t="s">
        <v>2764</v>
      </c>
      <c r="E108">
        <v>602.59</v>
      </c>
      <c r="F108">
        <v>694.66</v>
      </c>
    </row>
    <row r="109" spans="1:6" x14ac:dyDescent="0.3">
      <c r="A109" t="s">
        <v>1428</v>
      </c>
      <c r="B109" t="s">
        <v>2702</v>
      </c>
      <c r="C109" t="s">
        <v>2740</v>
      </c>
      <c r="D109" t="s">
        <v>2764</v>
      </c>
      <c r="E109">
        <v>416.23</v>
      </c>
      <c r="F109">
        <v>460.36</v>
      </c>
    </row>
    <row r="110" spans="1:6" x14ac:dyDescent="0.3">
      <c r="A110" t="s">
        <v>1389</v>
      </c>
      <c r="B110" t="s">
        <v>2703</v>
      </c>
      <c r="C110" t="s">
        <v>2740</v>
      </c>
      <c r="D110" t="s">
        <v>2764</v>
      </c>
      <c r="E110">
        <v>622.67999999999995</v>
      </c>
      <c r="F110">
        <v>676.97</v>
      </c>
    </row>
    <row r="111" spans="1:6" x14ac:dyDescent="0.3">
      <c r="A111" t="s">
        <v>1378</v>
      </c>
      <c r="B111" t="s">
        <v>2704</v>
      </c>
      <c r="C111" t="s">
        <v>2740</v>
      </c>
      <c r="D111" t="s">
        <v>2764</v>
      </c>
      <c r="E111">
        <v>1202.1199999999999</v>
      </c>
      <c r="F111">
        <v>1378.78</v>
      </c>
    </row>
    <row r="112" spans="1:6" x14ac:dyDescent="0.3">
      <c r="A112" t="s">
        <v>1417</v>
      </c>
      <c r="B112" t="s">
        <v>2702</v>
      </c>
      <c r="C112" t="s">
        <v>2740</v>
      </c>
      <c r="D112" t="s">
        <v>2764</v>
      </c>
      <c r="E112">
        <v>1323.1</v>
      </c>
      <c r="F112">
        <v>1497.68</v>
      </c>
    </row>
    <row r="113" spans="1:6" x14ac:dyDescent="0.3">
      <c r="A113" t="s">
        <v>1353</v>
      </c>
      <c r="B113" t="s">
        <v>2705</v>
      </c>
      <c r="C113" t="s">
        <v>2741</v>
      </c>
      <c r="D113" t="s">
        <v>2765</v>
      </c>
      <c r="E113">
        <v>238.69</v>
      </c>
      <c r="F113">
        <v>370.27</v>
      </c>
    </row>
    <row r="114" spans="1:6" x14ac:dyDescent="0.3">
      <c r="A114" t="s">
        <v>1453</v>
      </c>
      <c r="B114" t="s">
        <v>2706</v>
      </c>
      <c r="C114" t="s">
        <v>2741</v>
      </c>
      <c r="D114" t="s">
        <v>2765</v>
      </c>
      <c r="E114">
        <v>313.47000000000003</v>
      </c>
      <c r="F114">
        <v>507.34</v>
      </c>
    </row>
    <row r="115" spans="1:6" x14ac:dyDescent="0.3">
      <c r="A115" t="s">
        <v>1374</v>
      </c>
      <c r="B115" t="s">
        <v>2707</v>
      </c>
      <c r="C115" t="s">
        <v>2741</v>
      </c>
      <c r="D115" t="s">
        <v>2765</v>
      </c>
      <c r="E115">
        <v>1304.24</v>
      </c>
      <c r="F115">
        <v>1645.17</v>
      </c>
    </row>
    <row r="116" spans="1:6" x14ac:dyDescent="0.3">
      <c r="A116" t="s">
        <v>1331</v>
      </c>
      <c r="B116" t="s">
        <v>2706</v>
      </c>
      <c r="C116" t="s">
        <v>2741</v>
      </c>
      <c r="D116" t="s">
        <v>2765</v>
      </c>
      <c r="E116">
        <v>972.43</v>
      </c>
      <c r="F116">
        <v>1520.12</v>
      </c>
    </row>
    <row r="117" spans="1:6" x14ac:dyDescent="0.3">
      <c r="A117" t="s">
        <v>1423</v>
      </c>
      <c r="B117" t="s">
        <v>2708</v>
      </c>
      <c r="C117" t="s">
        <v>2741</v>
      </c>
      <c r="D117" t="s">
        <v>2765</v>
      </c>
      <c r="E117">
        <v>1497.51</v>
      </c>
      <c r="F117">
        <v>2319.64</v>
      </c>
    </row>
    <row r="118" spans="1:6" x14ac:dyDescent="0.3">
      <c r="A118" t="s">
        <v>1365</v>
      </c>
      <c r="B118" t="s">
        <v>2709</v>
      </c>
      <c r="C118" t="s">
        <v>2741</v>
      </c>
      <c r="D118" t="s">
        <v>2765</v>
      </c>
      <c r="E118">
        <v>1106.1600000000001</v>
      </c>
      <c r="F118">
        <v>1749.13</v>
      </c>
    </row>
    <row r="119" spans="1:6" x14ac:dyDescent="0.3">
      <c r="A119" t="s">
        <v>1476</v>
      </c>
      <c r="B119" t="s">
        <v>2710</v>
      </c>
      <c r="C119" t="s">
        <v>2741</v>
      </c>
      <c r="D119" t="s">
        <v>2766</v>
      </c>
      <c r="E119">
        <v>87.16</v>
      </c>
      <c r="F119">
        <v>114.74</v>
      </c>
    </row>
    <row r="120" spans="1:6" x14ac:dyDescent="0.3">
      <c r="A120" t="s">
        <v>1396</v>
      </c>
      <c r="B120" t="s">
        <v>2711</v>
      </c>
      <c r="C120" t="s">
        <v>2741</v>
      </c>
      <c r="D120" t="s">
        <v>2766</v>
      </c>
      <c r="E120">
        <v>1257.71</v>
      </c>
      <c r="F120">
        <v>1866.05</v>
      </c>
    </row>
    <row r="121" spans="1:6" x14ac:dyDescent="0.3">
      <c r="A121" t="s">
        <v>1427</v>
      </c>
      <c r="B121" t="s">
        <v>2712</v>
      </c>
      <c r="C121" t="s">
        <v>2741</v>
      </c>
      <c r="D121" t="s">
        <v>2766</v>
      </c>
      <c r="E121">
        <v>452.43</v>
      </c>
      <c r="F121">
        <v>687.56</v>
      </c>
    </row>
    <row r="122" spans="1:6" x14ac:dyDescent="0.3">
      <c r="A122" t="s">
        <v>1406</v>
      </c>
      <c r="B122" t="s">
        <v>2712</v>
      </c>
      <c r="C122" t="s">
        <v>2741</v>
      </c>
      <c r="D122" t="s">
        <v>2766</v>
      </c>
      <c r="E122">
        <v>101.77</v>
      </c>
      <c r="F122">
        <v>150.38</v>
      </c>
    </row>
    <row r="123" spans="1:6" x14ac:dyDescent="0.3">
      <c r="A123" t="s">
        <v>1446</v>
      </c>
      <c r="B123" t="s">
        <v>2713</v>
      </c>
      <c r="C123" t="s">
        <v>2741</v>
      </c>
      <c r="D123" t="s">
        <v>2766</v>
      </c>
      <c r="E123">
        <v>185.35</v>
      </c>
      <c r="F123">
        <v>242.83</v>
      </c>
    </row>
    <row r="124" spans="1:6" x14ac:dyDescent="0.3">
      <c r="A124" t="s">
        <v>1362</v>
      </c>
      <c r="B124" t="s">
        <v>2714</v>
      </c>
      <c r="C124" t="s">
        <v>2741</v>
      </c>
      <c r="D124" t="s">
        <v>2767</v>
      </c>
      <c r="E124">
        <v>229.35</v>
      </c>
      <c r="F124">
        <v>375.5</v>
      </c>
    </row>
    <row r="125" spans="1:6" x14ac:dyDescent="0.3">
      <c r="A125" t="s">
        <v>1339</v>
      </c>
      <c r="B125" t="s">
        <v>2715</v>
      </c>
      <c r="C125" t="s">
        <v>2741</v>
      </c>
      <c r="D125" t="s">
        <v>2767</v>
      </c>
      <c r="E125">
        <v>522.55999999999995</v>
      </c>
      <c r="F125">
        <v>763.54</v>
      </c>
    </row>
    <row r="126" spans="1:6" x14ac:dyDescent="0.3">
      <c r="A126" t="s">
        <v>1410</v>
      </c>
      <c r="B126" t="s">
        <v>2715</v>
      </c>
      <c r="C126" t="s">
        <v>2741</v>
      </c>
      <c r="D126" t="s">
        <v>2767</v>
      </c>
      <c r="E126">
        <v>1174.94</v>
      </c>
      <c r="F126">
        <v>1753.24</v>
      </c>
    </row>
    <row r="127" spans="1:6" x14ac:dyDescent="0.3">
      <c r="A127" t="s">
        <v>1413</v>
      </c>
      <c r="B127" t="s">
        <v>2716</v>
      </c>
      <c r="C127" t="s">
        <v>2741</v>
      </c>
      <c r="D127" t="s">
        <v>2768</v>
      </c>
      <c r="E127">
        <v>551.45000000000005</v>
      </c>
      <c r="F127">
        <v>771.89</v>
      </c>
    </row>
    <row r="128" spans="1:6" x14ac:dyDescent="0.3">
      <c r="A128" t="s">
        <v>1344</v>
      </c>
      <c r="B128" t="s">
        <v>2717</v>
      </c>
      <c r="C128" t="s">
        <v>2741</v>
      </c>
      <c r="D128" t="s">
        <v>2768</v>
      </c>
      <c r="E128">
        <v>379.1</v>
      </c>
      <c r="F128">
        <v>555.59</v>
      </c>
    </row>
    <row r="129" spans="1:6" x14ac:dyDescent="0.3">
      <c r="A129" t="s">
        <v>1444</v>
      </c>
      <c r="B129" t="s">
        <v>2717</v>
      </c>
      <c r="C129" t="s">
        <v>2741</v>
      </c>
      <c r="D129" t="s">
        <v>2768</v>
      </c>
      <c r="E129">
        <v>743.47</v>
      </c>
      <c r="F129">
        <v>1054.31</v>
      </c>
    </row>
    <row r="130" spans="1:6" x14ac:dyDescent="0.3">
      <c r="A130" t="s">
        <v>1464</v>
      </c>
      <c r="B130" t="s">
        <v>2718</v>
      </c>
      <c r="C130" t="s">
        <v>2741</v>
      </c>
      <c r="D130" t="s">
        <v>2768</v>
      </c>
      <c r="E130">
        <v>394.42</v>
      </c>
      <c r="F130">
        <v>575.37</v>
      </c>
    </row>
    <row r="131" spans="1:6" x14ac:dyDescent="0.3">
      <c r="A131" t="s">
        <v>1391</v>
      </c>
      <c r="B131" t="s">
        <v>2719</v>
      </c>
      <c r="C131" t="s">
        <v>2741</v>
      </c>
      <c r="D131" t="s">
        <v>2768</v>
      </c>
      <c r="E131">
        <v>1087.6199999999999</v>
      </c>
      <c r="F131">
        <v>1624.5</v>
      </c>
    </row>
    <row r="132" spans="1:6" x14ac:dyDescent="0.3">
      <c r="A132" t="s">
        <v>1466</v>
      </c>
      <c r="B132" t="s">
        <v>2716</v>
      </c>
      <c r="C132" t="s">
        <v>2741</v>
      </c>
      <c r="D132" t="s">
        <v>2768</v>
      </c>
      <c r="E132">
        <v>514.32000000000005</v>
      </c>
      <c r="F132">
        <v>800.48</v>
      </c>
    </row>
    <row r="133" spans="1:6" x14ac:dyDescent="0.3">
      <c r="A133" t="s">
        <v>1473</v>
      </c>
      <c r="B133" t="s">
        <v>2720</v>
      </c>
      <c r="C133" t="s">
        <v>2742</v>
      </c>
      <c r="D133" t="s">
        <v>2769</v>
      </c>
      <c r="E133">
        <v>7162.35</v>
      </c>
      <c r="F133">
        <v>9143.2999999999993</v>
      </c>
    </row>
    <row r="134" spans="1:6" x14ac:dyDescent="0.3">
      <c r="A134" t="s">
        <v>1336</v>
      </c>
      <c r="B134" t="s">
        <v>2721</v>
      </c>
      <c r="C134" t="s">
        <v>2742</v>
      </c>
      <c r="D134" t="s">
        <v>2769</v>
      </c>
      <c r="E134">
        <v>13570.64</v>
      </c>
      <c r="F134">
        <v>18469.3</v>
      </c>
    </row>
    <row r="135" spans="1:6" x14ac:dyDescent="0.3">
      <c r="A135" t="s">
        <v>1363</v>
      </c>
      <c r="B135" t="s">
        <v>2722</v>
      </c>
      <c r="C135" t="s">
        <v>2742</v>
      </c>
      <c r="D135" t="s">
        <v>2769</v>
      </c>
      <c r="E135">
        <v>18076.48</v>
      </c>
      <c r="F135">
        <v>23041.22</v>
      </c>
    </row>
    <row r="136" spans="1:6" x14ac:dyDescent="0.3">
      <c r="A136" t="s">
        <v>1450</v>
      </c>
      <c r="B136" t="s">
        <v>2723</v>
      </c>
      <c r="C136" t="s">
        <v>2742</v>
      </c>
      <c r="D136" t="s">
        <v>2770</v>
      </c>
      <c r="E136">
        <v>6015.21</v>
      </c>
      <c r="F136">
        <v>7983.56</v>
      </c>
    </row>
    <row r="137" spans="1:6" x14ac:dyDescent="0.3">
      <c r="A137" t="s">
        <v>1398</v>
      </c>
      <c r="B137" t="s">
        <v>2724</v>
      </c>
      <c r="C137" t="s">
        <v>2742</v>
      </c>
      <c r="D137" t="s">
        <v>2770</v>
      </c>
      <c r="E137">
        <v>17187.55</v>
      </c>
      <c r="F137">
        <v>21441.39</v>
      </c>
    </row>
    <row r="138" spans="1:6" x14ac:dyDescent="0.3">
      <c r="A138" t="s">
        <v>1369</v>
      </c>
      <c r="B138" t="s">
        <v>2725</v>
      </c>
      <c r="C138" t="s">
        <v>2742</v>
      </c>
      <c r="D138" t="s">
        <v>2770</v>
      </c>
      <c r="E138">
        <v>17271.12</v>
      </c>
      <c r="F138">
        <v>23968.04</v>
      </c>
    </row>
    <row r="139" spans="1:6" x14ac:dyDescent="0.3">
      <c r="A139" t="s">
        <v>1383</v>
      </c>
      <c r="B139" t="s">
        <v>2726</v>
      </c>
      <c r="C139" t="s">
        <v>2742</v>
      </c>
      <c r="D139" t="s">
        <v>2771</v>
      </c>
      <c r="E139">
        <v>14147.04</v>
      </c>
      <c r="F139">
        <v>17693.080000000002</v>
      </c>
    </row>
    <row r="140" spans="1:6" x14ac:dyDescent="0.3">
      <c r="A140" t="s">
        <v>1395</v>
      </c>
      <c r="B140" t="s">
        <v>2727</v>
      </c>
      <c r="C140" t="s">
        <v>2742</v>
      </c>
      <c r="D140" t="s">
        <v>2771</v>
      </c>
      <c r="E140">
        <v>4208.59</v>
      </c>
      <c r="F140">
        <v>5383.63</v>
      </c>
    </row>
    <row r="141" spans="1:6" x14ac:dyDescent="0.3">
      <c r="A141" t="s">
        <v>1447</v>
      </c>
      <c r="B141" t="s">
        <v>2728</v>
      </c>
      <c r="C141" t="s">
        <v>2742</v>
      </c>
      <c r="D141" t="s">
        <v>2771</v>
      </c>
      <c r="E141">
        <v>3529.15</v>
      </c>
      <c r="F141">
        <v>4260.03</v>
      </c>
    </row>
    <row r="142" spans="1:6" x14ac:dyDescent="0.3">
      <c r="A142" t="s">
        <v>1379</v>
      </c>
      <c r="B142" t="s">
        <v>2729</v>
      </c>
      <c r="C142" t="s">
        <v>2742</v>
      </c>
      <c r="D142" t="s">
        <v>2771</v>
      </c>
      <c r="E142">
        <v>15105.91</v>
      </c>
      <c r="F142">
        <v>20939.349999999999</v>
      </c>
    </row>
    <row r="143" spans="1:6" x14ac:dyDescent="0.3">
      <c r="A143" t="s">
        <v>1469</v>
      </c>
      <c r="B143" t="s">
        <v>2727</v>
      </c>
      <c r="C143" t="s">
        <v>2742</v>
      </c>
      <c r="D143" t="s">
        <v>2771</v>
      </c>
      <c r="E143">
        <v>10363.290000000001</v>
      </c>
      <c r="F143">
        <v>13987.04</v>
      </c>
    </row>
    <row r="144" spans="1:6" x14ac:dyDescent="0.3">
      <c r="A144" t="s">
        <v>1403</v>
      </c>
      <c r="B144" t="s">
        <v>2729</v>
      </c>
      <c r="C144" t="s">
        <v>2742</v>
      </c>
      <c r="D144" t="s">
        <v>2771</v>
      </c>
      <c r="E144">
        <v>20589.38</v>
      </c>
      <c r="F144">
        <v>24758.98</v>
      </c>
    </row>
    <row r="145" spans="1:6" x14ac:dyDescent="0.3">
      <c r="A145" t="s">
        <v>1387</v>
      </c>
      <c r="B145" t="s">
        <v>2730</v>
      </c>
      <c r="C145" t="s">
        <v>2742</v>
      </c>
      <c r="D145" t="s">
        <v>2771</v>
      </c>
      <c r="E145">
        <v>1642.11</v>
      </c>
      <c r="F145">
        <v>2184.2199999999998</v>
      </c>
    </row>
    <row r="146" spans="1:6" x14ac:dyDescent="0.3">
      <c r="A146" t="s">
        <v>1409</v>
      </c>
      <c r="B146" t="s">
        <v>2731</v>
      </c>
      <c r="C146" t="s">
        <v>2742</v>
      </c>
      <c r="D146" t="s">
        <v>2771</v>
      </c>
      <c r="E146">
        <v>8644.7199999999993</v>
      </c>
      <c r="F146">
        <v>10956.72</v>
      </c>
    </row>
    <row r="147" spans="1:6" x14ac:dyDescent="0.3">
      <c r="A147" t="s">
        <v>1372</v>
      </c>
      <c r="B147" t="s">
        <v>2732</v>
      </c>
      <c r="C147" t="s">
        <v>2742</v>
      </c>
      <c r="D147" t="s">
        <v>2772</v>
      </c>
      <c r="E147">
        <v>19159.16</v>
      </c>
      <c r="F147">
        <v>22695.17</v>
      </c>
    </row>
    <row r="148" spans="1:6" x14ac:dyDescent="0.3">
      <c r="A148" t="s">
        <v>1474</v>
      </c>
      <c r="B148" t="s">
        <v>2733</v>
      </c>
      <c r="C148" t="s">
        <v>2742</v>
      </c>
      <c r="D148" t="s">
        <v>2772</v>
      </c>
      <c r="E148">
        <v>9560.5300000000007</v>
      </c>
      <c r="F148">
        <v>12355.9</v>
      </c>
    </row>
    <row r="149" spans="1:6" x14ac:dyDescent="0.3">
      <c r="A149" t="s">
        <v>1458</v>
      </c>
      <c r="B149" t="s">
        <v>2734</v>
      </c>
      <c r="C149" t="s">
        <v>2742</v>
      </c>
      <c r="D149" t="s">
        <v>2772</v>
      </c>
      <c r="E149">
        <v>4621.12</v>
      </c>
      <c r="F149">
        <v>6241.95</v>
      </c>
    </row>
    <row r="150" spans="1:6" x14ac:dyDescent="0.3">
      <c r="A150" t="s">
        <v>1467</v>
      </c>
      <c r="B150" t="s">
        <v>2735</v>
      </c>
      <c r="C150" t="s">
        <v>2742</v>
      </c>
      <c r="D150" t="s">
        <v>2772</v>
      </c>
      <c r="E150">
        <v>12628.87</v>
      </c>
      <c r="F150">
        <v>16820.04</v>
      </c>
    </row>
    <row r="151" spans="1:6" x14ac:dyDescent="0.3">
      <c r="A151" t="s">
        <v>1368</v>
      </c>
      <c r="B151" t="s">
        <v>2736</v>
      </c>
      <c r="C151" t="s">
        <v>2742</v>
      </c>
      <c r="D151" t="s">
        <v>2772</v>
      </c>
      <c r="E151">
        <v>1315.91</v>
      </c>
      <c r="F151">
        <v>1640.09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.6640625" customWidth="1"/>
    <col min="2" max="2" width="22.6640625" customWidth="1"/>
    <col min="3" max="6" width="14.6640625" customWidth="1"/>
  </cols>
  <sheetData>
    <row r="1" spans="1:6" x14ac:dyDescent="0.3">
      <c r="A1" t="s">
        <v>7</v>
      </c>
      <c r="B1" t="s">
        <v>2773</v>
      </c>
      <c r="C1" t="s">
        <v>1508</v>
      </c>
      <c r="D1" t="s">
        <v>1509</v>
      </c>
      <c r="E1" t="s">
        <v>1510</v>
      </c>
      <c r="F1" t="s">
        <v>2774</v>
      </c>
    </row>
    <row r="2" spans="1:6" x14ac:dyDescent="0.3">
      <c r="A2" t="s">
        <v>1485</v>
      </c>
      <c r="B2" t="s">
        <v>2775</v>
      </c>
      <c r="C2" t="s">
        <v>2562</v>
      </c>
      <c r="D2" t="s">
        <v>2574</v>
      </c>
      <c r="E2" t="s">
        <v>2602</v>
      </c>
      <c r="F2" t="s">
        <v>2791</v>
      </c>
    </row>
    <row r="3" spans="1:6" x14ac:dyDescent="0.3">
      <c r="A3" t="s">
        <v>1486</v>
      </c>
      <c r="B3" t="s">
        <v>2776</v>
      </c>
      <c r="C3" t="s">
        <v>2551</v>
      </c>
      <c r="D3" t="s">
        <v>2574</v>
      </c>
      <c r="E3" t="s">
        <v>2602</v>
      </c>
      <c r="F3" t="s">
        <v>2791</v>
      </c>
    </row>
    <row r="4" spans="1:6" x14ac:dyDescent="0.3">
      <c r="A4" t="s">
        <v>1481</v>
      </c>
      <c r="B4" t="s">
        <v>2777</v>
      </c>
      <c r="C4" t="s">
        <v>2557</v>
      </c>
      <c r="D4" t="s">
        <v>2576</v>
      </c>
      <c r="E4" t="s">
        <v>2602</v>
      </c>
      <c r="F4" t="s">
        <v>2791</v>
      </c>
    </row>
    <row r="5" spans="1:6" x14ac:dyDescent="0.3">
      <c r="A5" t="s">
        <v>1484</v>
      </c>
      <c r="B5" t="s">
        <v>2778</v>
      </c>
      <c r="C5" t="s">
        <v>2559</v>
      </c>
      <c r="D5" t="s">
        <v>2559</v>
      </c>
      <c r="E5" t="s">
        <v>2603</v>
      </c>
      <c r="F5" t="s">
        <v>2791</v>
      </c>
    </row>
    <row r="6" spans="1:6" x14ac:dyDescent="0.3">
      <c r="A6" t="s">
        <v>1491</v>
      </c>
      <c r="B6" t="s">
        <v>2779</v>
      </c>
      <c r="C6" t="s">
        <v>2555</v>
      </c>
      <c r="D6" t="s">
        <v>2578</v>
      </c>
      <c r="E6" t="s">
        <v>2603</v>
      </c>
      <c r="F6" t="s">
        <v>2791</v>
      </c>
    </row>
    <row r="7" spans="1:6" x14ac:dyDescent="0.3">
      <c r="A7" t="s">
        <v>1488</v>
      </c>
      <c r="B7" t="s">
        <v>2780</v>
      </c>
      <c r="C7" t="s">
        <v>2552</v>
      </c>
      <c r="D7" t="s">
        <v>2575</v>
      </c>
      <c r="E7" t="s">
        <v>2603</v>
      </c>
      <c r="F7" t="s">
        <v>2791</v>
      </c>
    </row>
    <row r="8" spans="1:6" x14ac:dyDescent="0.3">
      <c r="A8" t="s">
        <v>1483</v>
      </c>
      <c r="B8" t="s">
        <v>2781</v>
      </c>
      <c r="C8" t="s">
        <v>2568</v>
      </c>
      <c r="D8" t="s">
        <v>2586</v>
      </c>
      <c r="E8" t="s">
        <v>2603</v>
      </c>
      <c r="F8" t="s">
        <v>2791</v>
      </c>
    </row>
    <row r="9" spans="1:6" x14ac:dyDescent="0.3">
      <c r="A9" t="s">
        <v>1478</v>
      </c>
      <c r="B9" t="s">
        <v>2782</v>
      </c>
      <c r="C9" t="s">
        <v>2565</v>
      </c>
      <c r="D9" t="s">
        <v>2583</v>
      </c>
      <c r="E9" t="s">
        <v>2604</v>
      </c>
      <c r="F9" t="s">
        <v>2791</v>
      </c>
    </row>
    <row r="10" spans="1:6" x14ac:dyDescent="0.3">
      <c r="A10" t="s">
        <v>1482</v>
      </c>
      <c r="B10" t="s">
        <v>2783</v>
      </c>
      <c r="C10" t="s">
        <v>2560</v>
      </c>
      <c r="D10" t="s">
        <v>2579</v>
      </c>
      <c r="E10" t="s">
        <v>2604</v>
      </c>
      <c r="F10" t="s">
        <v>2791</v>
      </c>
    </row>
    <row r="11" spans="1:6" x14ac:dyDescent="0.3">
      <c r="A11" t="s">
        <v>1490</v>
      </c>
      <c r="B11" t="s">
        <v>2784</v>
      </c>
      <c r="C11" t="s">
        <v>2567</v>
      </c>
      <c r="D11" t="s">
        <v>2585</v>
      </c>
      <c r="E11" t="s">
        <v>2604</v>
      </c>
      <c r="F11" t="s">
        <v>2791</v>
      </c>
    </row>
    <row r="12" spans="1:6" x14ac:dyDescent="0.3">
      <c r="A12" t="s">
        <v>1487</v>
      </c>
      <c r="B12" t="s">
        <v>2785</v>
      </c>
      <c r="C12" t="s">
        <v>2550</v>
      </c>
      <c r="D12" t="s">
        <v>2573</v>
      </c>
      <c r="E12" t="s">
        <v>2601</v>
      </c>
      <c r="F12" t="s">
        <v>2791</v>
      </c>
    </row>
    <row r="13" spans="1:6" x14ac:dyDescent="0.3">
      <c r="A13" t="s">
        <v>1479</v>
      </c>
      <c r="B13" t="s">
        <v>2786</v>
      </c>
      <c r="C13" t="s">
        <v>2564</v>
      </c>
      <c r="D13" t="s">
        <v>2582</v>
      </c>
      <c r="E13" t="s">
        <v>2601</v>
      </c>
      <c r="F13" t="s">
        <v>2791</v>
      </c>
    </row>
    <row r="14" spans="1:6" x14ac:dyDescent="0.3">
      <c r="A14" t="s">
        <v>1489</v>
      </c>
      <c r="B14" t="s">
        <v>2787</v>
      </c>
      <c r="C14" t="s">
        <v>2566</v>
      </c>
      <c r="D14" t="s">
        <v>2584</v>
      </c>
      <c r="E14" t="s">
        <v>2601</v>
      </c>
      <c r="F14" t="s">
        <v>2791</v>
      </c>
    </row>
    <row r="15" spans="1:6" x14ac:dyDescent="0.3">
      <c r="A15" t="s">
        <v>1492</v>
      </c>
      <c r="B15" t="s">
        <v>2788</v>
      </c>
      <c r="C15" t="s">
        <v>2554</v>
      </c>
      <c r="D15" t="s">
        <v>2577</v>
      </c>
      <c r="E15" t="s">
        <v>2601</v>
      </c>
      <c r="F15" t="s">
        <v>2791</v>
      </c>
    </row>
    <row r="16" spans="1:6" x14ac:dyDescent="0.3">
      <c r="A16" t="s">
        <v>1480</v>
      </c>
      <c r="B16" t="s">
        <v>2789</v>
      </c>
      <c r="E16" t="s">
        <v>2790</v>
      </c>
      <c r="F16" t="s">
        <v>2790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00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5" width="14.6640625" customWidth="1"/>
    <col min="6" max="6" width="22.6640625" customWidth="1"/>
    <col min="7" max="7" width="14.6640625" customWidth="1"/>
    <col min="8" max="8" width="22.6640625" customWidth="1"/>
    <col min="9" max="11" width="14.6640625" customWidth="1"/>
    <col min="12" max="12" width="22.6640625" customWidth="1"/>
    <col min="13" max="35" width="14.6640625" customWidth="1"/>
  </cols>
  <sheetData>
    <row r="1" spans="1:3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1504</v>
      </c>
      <c r="G1" t="s">
        <v>6</v>
      </c>
      <c r="H1" t="s">
        <v>2609</v>
      </c>
      <c r="I1" t="s">
        <v>2610</v>
      </c>
      <c r="J1" t="s">
        <v>2611</v>
      </c>
      <c r="K1" t="s">
        <v>7</v>
      </c>
      <c r="L1" t="s">
        <v>2773</v>
      </c>
      <c r="M1" t="s">
        <v>2792</v>
      </c>
      <c r="N1" t="s">
        <v>2793</v>
      </c>
      <c r="O1" t="s">
        <v>2794</v>
      </c>
      <c r="P1" t="s">
        <v>2795</v>
      </c>
      <c r="Q1" t="s">
        <v>2796</v>
      </c>
      <c r="R1" t="s">
        <v>2797</v>
      </c>
      <c r="S1" t="s">
        <v>1511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2798</v>
      </c>
      <c r="Z1" t="s">
        <v>2799</v>
      </c>
      <c r="AA1" t="s">
        <v>14</v>
      </c>
      <c r="AB1" t="s">
        <v>15</v>
      </c>
      <c r="AC1" t="s">
        <v>2800</v>
      </c>
      <c r="AD1" t="s">
        <v>2801</v>
      </c>
      <c r="AE1" t="s">
        <v>2802</v>
      </c>
      <c r="AF1" t="s">
        <v>2803</v>
      </c>
      <c r="AG1" t="s">
        <v>2804</v>
      </c>
      <c r="AH1" t="s">
        <v>2805</v>
      </c>
      <c r="AI1" t="s">
        <v>2806</v>
      </c>
    </row>
    <row r="2" spans="1:35" x14ac:dyDescent="0.3">
      <c r="A2" t="s">
        <v>16</v>
      </c>
      <c r="B2">
        <v>1</v>
      </c>
      <c r="C2" s="1">
        <v>45292</v>
      </c>
      <c r="D2" s="1">
        <v>45293</v>
      </c>
      <c r="E2" t="s">
        <v>965</v>
      </c>
      <c r="F2" t="s">
        <v>1685</v>
      </c>
      <c r="G2" t="s">
        <v>1329</v>
      </c>
      <c r="H2" t="s">
        <v>2659</v>
      </c>
      <c r="I2" t="s">
        <v>2739</v>
      </c>
      <c r="J2" t="s">
        <v>2759</v>
      </c>
      <c r="K2" t="s">
        <v>1478</v>
      </c>
      <c r="L2" t="s">
        <v>2782</v>
      </c>
      <c r="M2" t="s">
        <v>2569</v>
      </c>
      <c r="N2" t="s">
        <v>2587</v>
      </c>
      <c r="O2" t="s">
        <v>2604</v>
      </c>
      <c r="P2" t="s">
        <v>2565</v>
      </c>
      <c r="Q2" t="s">
        <v>2583</v>
      </c>
      <c r="R2" t="s">
        <v>2604</v>
      </c>
      <c r="S2" t="s">
        <v>2608</v>
      </c>
      <c r="T2">
        <v>1</v>
      </c>
      <c r="U2" s="2">
        <v>1065.95</v>
      </c>
      <c r="V2" s="3">
        <v>0</v>
      </c>
      <c r="W2" s="2">
        <v>1065.95</v>
      </c>
      <c r="X2" s="2">
        <v>380.77</v>
      </c>
      <c r="Y2" s="3">
        <v>0.35721187672967769</v>
      </c>
      <c r="Z2" t="s">
        <v>1493</v>
      </c>
      <c r="AA2" t="s">
        <v>1498</v>
      </c>
      <c r="AB2" t="s">
        <v>1501</v>
      </c>
      <c r="AC2">
        <v>1</v>
      </c>
      <c r="AD2">
        <v>2024</v>
      </c>
      <c r="AE2" t="s">
        <v>2808</v>
      </c>
      <c r="AF2" t="s">
        <v>2820</v>
      </c>
      <c r="AG2" t="s">
        <v>2844</v>
      </c>
      <c r="AH2" t="s">
        <v>2848</v>
      </c>
      <c r="AI2">
        <v>1</v>
      </c>
    </row>
    <row r="3" spans="1:35" x14ac:dyDescent="0.3">
      <c r="A3" t="s">
        <v>17</v>
      </c>
      <c r="B3">
        <v>1</v>
      </c>
      <c r="C3" s="1">
        <v>45294</v>
      </c>
      <c r="D3" s="1">
        <v>45294</v>
      </c>
      <c r="E3" t="s">
        <v>966</v>
      </c>
      <c r="F3" t="s">
        <v>1828</v>
      </c>
      <c r="G3" t="s">
        <v>1330</v>
      </c>
      <c r="H3" t="s">
        <v>2685</v>
      </c>
      <c r="I3" t="s">
        <v>2739</v>
      </c>
      <c r="J3" t="s">
        <v>2759</v>
      </c>
      <c r="K3" t="s">
        <v>1478</v>
      </c>
      <c r="L3" t="s">
        <v>2782</v>
      </c>
      <c r="M3" t="s">
        <v>2569</v>
      </c>
      <c r="N3" t="s">
        <v>2587</v>
      </c>
      <c r="O3" t="s">
        <v>2604</v>
      </c>
      <c r="P3" t="s">
        <v>2565</v>
      </c>
      <c r="Q3" t="s">
        <v>2583</v>
      </c>
      <c r="R3" t="s">
        <v>2604</v>
      </c>
      <c r="S3" t="s">
        <v>2606</v>
      </c>
      <c r="T3">
        <v>2</v>
      </c>
      <c r="U3" s="2">
        <v>2393.8200000000002</v>
      </c>
      <c r="V3" s="3">
        <v>0</v>
      </c>
      <c r="W3" s="2">
        <v>4787.6400000000003</v>
      </c>
      <c r="X3" s="2">
        <v>1547.74</v>
      </c>
      <c r="Y3" s="3">
        <v>0.32327827489117811</v>
      </c>
      <c r="Z3" t="s">
        <v>1494</v>
      </c>
      <c r="AA3" t="s">
        <v>1499</v>
      </c>
      <c r="AB3" t="s">
        <v>1501</v>
      </c>
      <c r="AC3">
        <v>0</v>
      </c>
      <c r="AD3">
        <v>2024</v>
      </c>
      <c r="AE3" t="s">
        <v>2808</v>
      </c>
      <c r="AF3" t="s">
        <v>2820</v>
      </c>
      <c r="AG3" t="s">
        <v>2844</v>
      </c>
      <c r="AH3" t="s">
        <v>2848</v>
      </c>
      <c r="AI3">
        <v>1</v>
      </c>
    </row>
    <row r="4" spans="1:35" x14ac:dyDescent="0.3">
      <c r="A4" t="s">
        <v>18</v>
      </c>
      <c r="B4">
        <v>1</v>
      </c>
      <c r="C4" s="1">
        <v>45295</v>
      </c>
      <c r="D4" s="1">
        <v>45295</v>
      </c>
      <c r="E4" t="s">
        <v>967</v>
      </c>
      <c r="F4" t="s">
        <v>1849</v>
      </c>
      <c r="G4" t="s">
        <v>1331</v>
      </c>
      <c r="H4" t="s">
        <v>2706</v>
      </c>
      <c r="I4" t="s">
        <v>2741</v>
      </c>
      <c r="J4" t="s">
        <v>2765</v>
      </c>
      <c r="K4" t="s">
        <v>1479</v>
      </c>
      <c r="L4" t="s">
        <v>2786</v>
      </c>
      <c r="M4" t="s">
        <v>2550</v>
      </c>
      <c r="N4" t="s">
        <v>2573</v>
      </c>
      <c r="O4" t="s">
        <v>2601</v>
      </c>
      <c r="P4" t="s">
        <v>2564</v>
      </c>
      <c r="Q4" t="s">
        <v>2582</v>
      </c>
      <c r="R4" t="s">
        <v>2601</v>
      </c>
      <c r="S4" t="s">
        <v>2607</v>
      </c>
      <c r="T4">
        <v>1</v>
      </c>
      <c r="U4" s="2">
        <v>1520.12</v>
      </c>
      <c r="V4" s="3">
        <v>0</v>
      </c>
      <c r="W4" s="2">
        <v>1520.12</v>
      </c>
      <c r="X4" s="2">
        <v>547.69000000000005</v>
      </c>
      <c r="Y4" s="3">
        <v>0.36029392416388178</v>
      </c>
      <c r="Z4" t="s">
        <v>1495</v>
      </c>
      <c r="AA4" t="s">
        <v>1498</v>
      </c>
      <c r="AB4" t="s">
        <v>1501</v>
      </c>
      <c r="AC4">
        <v>0</v>
      </c>
      <c r="AD4">
        <v>2024</v>
      </c>
      <c r="AE4" t="s">
        <v>2808</v>
      </c>
      <c r="AF4" t="s">
        <v>2820</v>
      </c>
      <c r="AG4" t="s">
        <v>2844</v>
      </c>
      <c r="AH4" t="s">
        <v>2848</v>
      </c>
      <c r="AI4">
        <v>1</v>
      </c>
    </row>
    <row r="5" spans="1:35" x14ac:dyDescent="0.3">
      <c r="A5" t="s">
        <v>19</v>
      </c>
      <c r="B5">
        <v>1</v>
      </c>
      <c r="C5" s="1">
        <v>45296</v>
      </c>
      <c r="D5" s="1">
        <v>45299</v>
      </c>
      <c r="E5" t="s">
        <v>968</v>
      </c>
      <c r="F5" t="s">
        <v>1991</v>
      </c>
      <c r="G5" t="s">
        <v>1332</v>
      </c>
      <c r="H5" t="s">
        <v>2630</v>
      </c>
      <c r="I5" t="s">
        <v>2737</v>
      </c>
      <c r="J5" t="s">
        <v>2746</v>
      </c>
      <c r="K5" t="s">
        <v>1480</v>
      </c>
      <c r="L5" t="s">
        <v>2789</v>
      </c>
      <c r="M5" t="s">
        <v>2570</v>
      </c>
      <c r="N5" t="s">
        <v>2590</v>
      </c>
      <c r="O5" t="s">
        <v>2605</v>
      </c>
      <c r="R5" t="s">
        <v>2790</v>
      </c>
      <c r="S5" t="s">
        <v>2606</v>
      </c>
      <c r="T5">
        <v>1</v>
      </c>
      <c r="U5" s="2">
        <v>45652.65</v>
      </c>
      <c r="V5" s="3">
        <v>0</v>
      </c>
      <c r="W5" s="2">
        <v>45652.65</v>
      </c>
      <c r="X5" s="2">
        <v>7144.63</v>
      </c>
      <c r="Y5" s="3">
        <v>0.15649978697841199</v>
      </c>
      <c r="Z5" t="s">
        <v>1496</v>
      </c>
      <c r="AA5" t="s">
        <v>1498</v>
      </c>
      <c r="AB5" t="s">
        <v>1501</v>
      </c>
      <c r="AC5">
        <v>3</v>
      </c>
      <c r="AD5">
        <v>2024</v>
      </c>
      <c r="AE5" t="s">
        <v>2808</v>
      </c>
      <c r="AF5" t="s">
        <v>2820</v>
      </c>
      <c r="AG5" t="s">
        <v>2844</v>
      </c>
      <c r="AH5" t="s">
        <v>2848</v>
      </c>
      <c r="AI5">
        <v>1</v>
      </c>
    </row>
    <row r="6" spans="1:35" x14ac:dyDescent="0.3">
      <c r="A6" t="s">
        <v>20</v>
      </c>
      <c r="B6">
        <v>1</v>
      </c>
      <c r="C6" s="1">
        <v>45296</v>
      </c>
      <c r="D6" s="1">
        <v>45299</v>
      </c>
      <c r="E6" t="s">
        <v>969</v>
      </c>
      <c r="F6" t="s">
        <v>1703</v>
      </c>
      <c r="G6" t="s">
        <v>1333</v>
      </c>
      <c r="H6" t="s">
        <v>2620</v>
      </c>
      <c r="I6" t="s">
        <v>2737</v>
      </c>
      <c r="J6" t="s">
        <v>2744</v>
      </c>
      <c r="K6" t="s">
        <v>1480</v>
      </c>
      <c r="L6" t="s">
        <v>2789</v>
      </c>
      <c r="M6" t="s">
        <v>2553</v>
      </c>
      <c r="N6" t="s">
        <v>2576</v>
      </c>
      <c r="O6" t="s">
        <v>2602</v>
      </c>
      <c r="R6" t="s">
        <v>2790</v>
      </c>
      <c r="S6" t="s">
        <v>2607</v>
      </c>
      <c r="T6">
        <v>1</v>
      </c>
      <c r="U6" s="2">
        <v>16375.46</v>
      </c>
      <c r="V6" s="3">
        <v>0</v>
      </c>
      <c r="W6" s="2">
        <v>16375.46</v>
      </c>
      <c r="X6" s="2">
        <v>2074.31</v>
      </c>
      <c r="Y6" s="3">
        <v>0.12667186143167891</v>
      </c>
      <c r="Z6" t="s">
        <v>1496</v>
      </c>
      <c r="AA6" t="s">
        <v>1499</v>
      </c>
      <c r="AB6" t="s">
        <v>1501</v>
      </c>
      <c r="AC6">
        <v>3</v>
      </c>
      <c r="AD6">
        <v>2024</v>
      </c>
      <c r="AE6" t="s">
        <v>2808</v>
      </c>
      <c r="AF6" t="s">
        <v>2820</v>
      </c>
      <c r="AG6" t="s">
        <v>2844</v>
      </c>
      <c r="AH6" t="s">
        <v>2848</v>
      </c>
      <c r="AI6">
        <v>1</v>
      </c>
    </row>
    <row r="7" spans="1:35" x14ac:dyDescent="0.3">
      <c r="A7" t="s">
        <v>21</v>
      </c>
      <c r="B7">
        <v>2</v>
      </c>
      <c r="C7" s="1">
        <v>45300</v>
      </c>
      <c r="D7" s="1">
        <v>45301</v>
      </c>
      <c r="E7" t="s">
        <v>970</v>
      </c>
      <c r="F7" t="s">
        <v>1904</v>
      </c>
      <c r="G7" t="s">
        <v>1334</v>
      </c>
      <c r="H7" t="s">
        <v>2691</v>
      </c>
      <c r="I7" t="s">
        <v>2740</v>
      </c>
      <c r="J7" t="s">
        <v>2761</v>
      </c>
      <c r="K7" t="s">
        <v>1481</v>
      </c>
      <c r="L7" t="s">
        <v>2777</v>
      </c>
      <c r="M7" t="s">
        <v>2551</v>
      </c>
      <c r="N7" t="s">
        <v>2592</v>
      </c>
      <c r="O7" t="s">
        <v>2602</v>
      </c>
      <c r="P7" t="s">
        <v>2557</v>
      </c>
      <c r="Q7" t="s">
        <v>2576</v>
      </c>
      <c r="R7" t="s">
        <v>2602</v>
      </c>
      <c r="S7" t="s">
        <v>2606</v>
      </c>
      <c r="T7">
        <v>1</v>
      </c>
      <c r="U7" s="2">
        <v>1178.5899999999999</v>
      </c>
      <c r="V7" s="3">
        <v>0</v>
      </c>
      <c r="W7" s="2">
        <v>1178.5899999999999</v>
      </c>
      <c r="X7" s="2">
        <v>152.63999999999999</v>
      </c>
      <c r="Y7" s="3">
        <v>0.12951068649827341</v>
      </c>
      <c r="Z7" t="s">
        <v>1496</v>
      </c>
      <c r="AA7" t="s">
        <v>1498</v>
      </c>
      <c r="AB7" t="s">
        <v>1501</v>
      </c>
      <c r="AC7">
        <v>1</v>
      </c>
      <c r="AD7">
        <v>2024</v>
      </c>
      <c r="AE7" t="s">
        <v>2808</v>
      </c>
      <c r="AF7" t="s">
        <v>2820</v>
      </c>
      <c r="AG7" t="s">
        <v>2844</v>
      </c>
      <c r="AH7" t="s">
        <v>2848</v>
      </c>
      <c r="AI7">
        <v>1</v>
      </c>
    </row>
    <row r="8" spans="1:35" x14ac:dyDescent="0.3">
      <c r="A8" t="s">
        <v>22</v>
      </c>
      <c r="B8">
        <v>1</v>
      </c>
      <c r="C8" s="1">
        <v>45301</v>
      </c>
      <c r="D8" s="1">
        <v>45302</v>
      </c>
      <c r="E8" t="s">
        <v>971</v>
      </c>
      <c r="F8" t="s">
        <v>1707</v>
      </c>
      <c r="G8" t="s">
        <v>1335</v>
      </c>
      <c r="H8" t="s">
        <v>2654</v>
      </c>
      <c r="I8" t="s">
        <v>2738</v>
      </c>
      <c r="J8" t="s">
        <v>2752</v>
      </c>
      <c r="K8" t="s">
        <v>1480</v>
      </c>
      <c r="L8" t="s">
        <v>2789</v>
      </c>
      <c r="M8" t="s">
        <v>2552</v>
      </c>
      <c r="N8" t="s">
        <v>2575</v>
      </c>
      <c r="O8" t="s">
        <v>2603</v>
      </c>
      <c r="R8" t="s">
        <v>2790</v>
      </c>
      <c r="S8" t="s">
        <v>2608</v>
      </c>
      <c r="T8">
        <v>2</v>
      </c>
      <c r="U8" s="2">
        <v>2828.96</v>
      </c>
      <c r="V8" s="3">
        <v>0.1</v>
      </c>
      <c r="W8" s="2">
        <v>5092.13</v>
      </c>
      <c r="X8" s="2">
        <v>652.15</v>
      </c>
      <c r="Y8" s="3">
        <v>0.1280701788838855</v>
      </c>
      <c r="Z8" t="s">
        <v>1495</v>
      </c>
      <c r="AA8" t="s">
        <v>1500</v>
      </c>
      <c r="AB8" t="s">
        <v>1502</v>
      </c>
      <c r="AC8">
        <v>1</v>
      </c>
      <c r="AD8">
        <v>2024</v>
      </c>
      <c r="AE8" t="s">
        <v>2808</v>
      </c>
      <c r="AF8" t="s">
        <v>2820</v>
      </c>
      <c r="AG8" t="s">
        <v>2844</v>
      </c>
      <c r="AH8" t="s">
        <v>2848</v>
      </c>
      <c r="AI8">
        <v>1</v>
      </c>
    </row>
    <row r="9" spans="1:35" x14ac:dyDescent="0.3">
      <c r="A9" t="s">
        <v>23</v>
      </c>
      <c r="B9">
        <v>2</v>
      </c>
      <c r="C9" s="1">
        <v>45302</v>
      </c>
      <c r="D9" s="1">
        <v>45303</v>
      </c>
      <c r="E9" t="s">
        <v>972</v>
      </c>
      <c r="F9" t="s">
        <v>1806</v>
      </c>
      <c r="G9" t="s">
        <v>1336</v>
      </c>
      <c r="H9" t="s">
        <v>2721</v>
      </c>
      <c r="I9" t="s">
        <v>2742</v>
      </c>
      <c r="J9" t="s">
        <v>2769</v>
      </c>
      <c r="K9" t="s">
        <v>1480</v>
      </c>
      <c r="L9" t="s">
        <v>2789</v>
      </c>
      <c r="M9" t="s">
        <v>2555</v>
      </c>
      <c r="N9" t="s">
        <v>2578</v>
      </c>
      <c r="O9" t="s">
        <v>2603</v>
      </c>
      <c r="R9" t="s">
        <v>2790</v>
      </c>
      <c r="S9" t="s">
        <v>2606</v>
      </c>
      <c r="T9">
        <v>1</v>
      </c>
      <c r="U9" s="2">
        <v>18469.3</v>
      </c>
      <c r="V9" s="3">
        <v>0.05</v>
      </c>
      <c r="W9" s="2">
        <v>17545.830000000002</v>
      </c>
      <c r="X9" s="2">
        <v>3975.19</v>
      </c>
      <c r="Y9" s="3">
        <v>0.22656038500316031</v>
      </c>
      <c r="Z9" t="s">
        <v>1495</v>
      </c>
      <c r="AA9" t="s">
        <v>1498</v>
      </c>
      <c r="AB9" t="s">
        <v>1501</v>
      </c>
      <c r="AC9">
        <v>1</v>
      </c>
      <c r="AD9">
        <v>2024</v>
      </c>
      <c r="AE9" t="s">
        <v>2808</v>
      </c>
      <c r="AF9" t="s">
        <v>2820</v>
      </c>
      <c r="AG9" t="s">
        <v>2844</v>
      </c>
      <c r="AH9" t="s">
        <v>2848</v>
      </c>
      <c r="AI9">
        <v>1</v>
      </c>
    </row>
    <row r="10" spans="1:35" x14ac:dyDescent="0.3">
      <c r="A10" t="s">
        <v>24</v>
      </c>
      <c r="B10">
        <v>1</v>
      </c>
      <c r="C10" s="1">
        <v>45302</v>
      </c>
      <c r="D10" s="1">
        <v>45303</v>
      </c>
      <c r="E10" t="s">
        <v>973</v>
      </c>
      <c r="F10" t="s">
        <v>1721</v>
      </c>
      <c r="G10" t="s">
        <v>1337</v>
      </c>
      <c r="H10" t="s">
        <v>2628</v>
      </c>
      <c r="I10" t="s">
        <v>2737</v>
      </c>
      <c r="J10" t="s">
        <v>2746</v>
      </c>
      <c r="K10" t="s">
        <v>1482</v>
      </c>
      <c r="L10" t="s">
        <v>2783</v>
      </c>
      <c r="M10" t="s">
        <v>2560</v>
      </c>
      <c r="N10" t="s">
        <v>2579</v>
      </c>
      <c r="O10" t="s">
        <v>2604</v>
      </c>
      <c r="P10" t="s">
        <v>2560</v>
      </c>
      <c r="Q10" t="s">
        <v>2579</v>
      </c>
      <c r="R10" t="s">
        <v>2604</v>
      </c>
      <c r="S10" t="s">
        <v>2608</v>
      </c>
      <c r="T10">
        <v>2</v>
      </c>
      <c r="U10" s="2">
        <v>12042.96</v>
      </c>
      <c r="V10" s="3">
        <v>0.05</v>
      </c>
      <c r="W10" s="2">
        <v>22881.62</v>
      </c>
      <c r="X10" s="2">
        <v>998.42</v>
      </c>
      <c r="Y10" s="3">
        <v>4.363414828145909E-2</v>
      </c>
      <c r="Z10" t="s">
        <v>1497</v>
      </c>
      <c r="AA10" t="s">
        <v>1498</v>
      </c>
      <c r="AB10" t="s">
        <v>1501</v>
      </c>
      <c r="AC10">
        <v>1</v>
      </c>
      <c r="AD10">
        <v>2024</v>
      </c>
      <c r="AE10" t="s">
        <v>2808</v>
      </c>
      <c r="AF10" t="s">
        <v>2820</v>
      </c>
      <c r="AG10" t="s">
        <v>2844</v>
      </c>
      <c r="AH10" t="s">
        <v>2848</v>
      </c>
      <c r="AI10">
        <v>1</v>
      </c>
    </row>
    <row r="11" spans="1:35" x14ac:dyDescent="0.3">
      <c r="A11" t="s">
        <v>24</v>
      </c>
      <c r="B11">
        <v>2</v>
      </c>
      <c r="C11" s="1">
        <v>45302</v>
      </c>
      <c r="D11" s="1">
        <v>45303</v>
      </c>
      <c r="E11" t="s">
        <v>973</v>
      </c>
      <c r="F11" t="s">
        <v>1721</v>
      </c>
      <c r="G11" t="s">
        <v>1338</v>
      </c>
      <c r="H11" t="s">
        <v>2693</v>
      </c>
      <c r="I11" t="s">
        <v>2740</v>
      </c>
      <c r="J11" t="s">
        <v>2761</v>
      </c>
      <c r="K11" t="s">
        <v>1482</v>
      </c>
      <c r="L11" t="s">
        <v>2783</v>
      </c>
      <c r="M11" t="s">
        <v>2560</v>
      </c>
      <c r="N11" t="s">
        <v>2579</v>
      </c>
      <c r="O11" t="s">
        <v>2604</v>
      </c>
      <c r="P11" t="s">
        <v>2560</v>
      </c>
      <c r="Q11" t="s">
        <v>2579</v>
      </c>
      <c r="R11" t="s">
        <v>2604</v>
      </c>
      <c r="S11" t="s">
        <v>2608</v>
      </c>
      <c r="T11">
        <v>1</v>
      </c>
      <c r="U11" s="2">
        <v>1151.02</v>
      </c>
      <c r="V11" s="3">
        <v>0</v>
      </c>
      <c r="W11" s="2">
        <v>1151.02</v>
      </c>
      <c r="X11" s="2">
        <v>149.55000000000001</v>
      </c>
      <c r="Y11" s="3">
        <v>0.12992823756320479</v>
      </c>
      <c r="Z11" t="s">
        <v>1497</v>
      </c>
      <c r="AA11" t="s">
        <v>1498</v>
      </c>
      <c r="AB11" t="s">
        <v>1501</v>
      </c>
      <c r="AC11">
        <v>1</v>
      </c>
      <c r="AD11">
        <v>2024</v>
      </c>
      <c r="AE11" t="s">
        <v>2808</v>
      </c>
      <c r="AF11" t="s">
        <v>2820</v>
      </c>
      <c r="AG11" t="s">
        <v>2844</v>
      </c>
      <c r="AH11" t="s">
        <v>2848</v>
      </c>
      <c r="AI11">
        <v>0</v>
      </c>
    </row>
    <row r="12" spans="1:35" x14ac:dyDescent="0.3">
      <c r="A12" t="s">
        <v>25</v>
      </c>
      <c r="B12">
        <v>1</v>
      </c>
      <c r="C12" s="1">
        <v>45302</v>
      </c>
      <c r="D12" s="1">
        <v>45302</v>
      </c>
      <c r="E12" t="s">
        <v>974</v>
      </c>
      <c r="F12" t="s">
        <v>1997</v>
      </c>
      <c r="G12" t="s">
        <v>1339</v>
      </c>
      <c r="H12" t="s">
        <v>2715</v>
      </c>
      <c r="I12" t="s">
        <v>2741</v>
      </c>
      <c r="J12" t="s">
        <v>2767</v>
      </c>
      <c r="K12" t="s">
        <v>1481</v>
      </c>
      <c r="L12" t="s">
        <v>2777</v>
      </c>
      <c r="M12" t="s">
        <v>2553</v>
      </c>
      <c r="N12" t="s">
        <v>2576</v>
      </c>
      <c r="O12" t="s">
        <v>2602</v>
      </c>
      <c r="P12" t="s">
        <v>2557</v>
      </c>
      <c r="Q12" t="s">
        <v>2576</v>
      </c>
      <c r="R12" t="s">
        <v>2602</v>
      </c>
      <c r="S12" t="s">
        <v>2608</v>
      </c>
      <c r="T12">
        <v>1</v>
      </c>
      <c r="U12" s="2">
        <v>763.54</v>
      </c>
      <c r="V12" s="3">
        <v>0.05</v>
      </c>
      <c r="W12" s="2">
        <v>725.36</v>
      </c>
      <c r="X12" s="2">
        <v>202.8</v>
      </c>
      <c r="Y12" s="3">
        <v>0.27958530936362641</v>
      </c>
      <c r="Z12" t="s">
        <v>1493</v>
      </c>
      <c r="AA12" t="s">
        <v>1500</v>
      </c>
      <c r="AB12" t="s">
        <v>1501</v>
      </c>
      <c r="AC12">
        <v>0</v>
      </c>
      <c r="AD12">
        <v>2024</v>
      </c>
      <c r="AE12" t="s">
        <v>2808</v>
      </c>
      <c r="AF12" t="s">
        <v>2820</v>
      </c>
      <c r="AG12" t="s">
        <v>2844</v>
      </c>
      <c r="AH12" t="s">
        <v>2848</v>
      </c>
      <c r="AI12">
        <v>1</v>
      </c>
    </row>
    <row r="13" spans="1:35" x14ac:dyDescent="0.3">
      <c r="A13" t="s">
        <v>25</v>
      </c>
      <c r="B13">
        <v>2</v>
      </c>
      <c r="C13" s="1">
        <v>45302</v>
      </c>
      <c r="D13" s="1">
        <v>45302</v>
      </c>
      <c r="E13" t="s">
        <v>974</v>
      </c>
      <c r="F13" t="s">
        <v>1997</v>
      </c>
      <c r="G13" t="s">
        <v>1340</v>
      </c>
      <c r="H13" t="s">
        <v>2680</v>
      </c>
      <c r="I13" t="s">
        <v>2739</v>
      </c>
      <c r="J13" t="s">
        <v>2758</v>
      </c>
      <c r="K13" t="s">
        <v>1481</v>
      </c>
      <c r="L13" t="s">
        <v>2777</v>
      </c>
      <c r="M13" t="s">
        <v>2553</v>
      </c>
      <c r="N13" t="s">
        <v>2576</v>
      </c>
      <c r="O13" t="s">
        <v>2602</v>
      </c>
      <c r="P13" t="s">
        <v>2557</v>
      </c>
      <c r="Q13" t="s">
        <v>2576</v>
      </c>
      <c r="R13" t="s">
        <v>2602</v>
      </c>
      <c r="S13" t="s">
        <v>2608</v>
      </c>
      <c r="T13">
        <v>1</v>
      </c>
      <c r="U13" s="2">
        <v>5570.6</v>
      </c>
      <c r="V13" s="3">
        <v>0.1</v>
      </c>
      <c r="W13" s="2">
        <v>5013.54</v>
      </c>
      <c r="X13" s="2">
        <v>946.01</v>
      </c>
      <c r="Y13" s="3">
        <v>0.1886910247050986</v>
      </c>
      <c r="Z13" t="s">
        <v>1493</v>
      </c>
      <c r="AA13" t="s">
        <v>1500</v>
      </c>
      <c r="AB13" t="s">
        <v>1501</v>
      </c>
      <c r="AC13">
        <v>0</v>
      </c>
      <c r="AD13">
        <v>2024</v>
      </c>
      <c r="AE13" t="s">
        <v>2808</v>
      </c>
      <c r="AF13" t="s">
        <v>2820</v>
      </c>
      <c r="AG13" t="s">
        <v>2844</v>
      </c>
      <c r="AH13" t="s">
        <v>2848</v>
      </c>
      <c r="AI13">
        <v>0</v>
      </c>
    </row>
    <row r="14" spans="1:35" x14ac:dyDescent="0.3">
      <c r="A14" t="s">
        <v>26</v>
      </c>
      <c r="B14">
        <v>1</v>
      </c>
      <c r="C14" s="1">
        <v>45302</v>
      </c>
      <c r="D14" s="1">
        <v>45302</v>
      </c>
      <c r="E14" t="s">
        <v>975</v>
      </c>
      <c r="F14" t="s">
        <v>1956</v>
      </c>
      <c r="G14" t="s">
        <v>1341</v>
      </c>
      <c r="H14" t="s">
        <v>2678</v>
      </c>
      <c r="I14" t="s">
        <v>2739</v>
      </c>
      <c r="J14" t="s">
        <v>2758</v>
      </c>
      <c r="K14" t="s">
        <v>1483</v>
      </c>
      <c r="L14" t="s">
        <v>2781</v>
      </c>
      <c r="M14" t="s">
        <v>2559</v>
      </c>
      <c r="N14" t="s">
        <v>2559</v>
      </c>
      <c r="O14" t="s">
        <v>2603</v>
      </c>
      <c r="P14" t="s">
        <v>2568</v>
      </c>
      <c r="Q14" t="s">
        <v>2586</v>
      </c>
      <c r="R14" t="s">
        <v>2603</v>
      </c>
      <c r="S14" t="s">
        <v>2608</v>
      </c>
      <c r="T14">
        <v>1</v>
      </c>
      <c r="U14" s="2">
        <v>1648.45</v>
      </c>
      <c r="V14" s="3">
        <v>0</v>
      </c>
      <c r="W14" s="2">
        <v>1648.45</v>
      </c>
      <c r="X14" s="2">
        <v>494.33</v>
      </c>
      <c r="Y14" s="3">
        <v>0.29987564075343498</v>
      </c>
      <c r="Z14" t="s">
        <v>1495</v>
      </c>
      <c r="AA14" t="s">
        <v>1498</v>
      </c>
      <c r="AB14" t="s">
        <v>1501</v>
      </c>
      <c r="AC14">
        <v>0</v>
      </c>
      <c r="AD14">
        <v>2024</v>
      </c>
      <c r="AE14" t="s">
        <v>2808</v>
      </c>
      <c r="AF14" t="s">
        <v>2820</v>
      </c>
      <c r="AG14" t="s">
        <v>2844</v>
      </c>
      <c r="AH14" t="s">
        <v>2848</v>
      </c>
      <c r="AI14">
        <v>1</v>
      </c>
    </row>
    <row r="15" spans="1:35" x14ac:dyDescent="0.3">
      <c r="A15" t="s">
        <v>27</v>
      </c>
      <c r="B15">
        <v>1</v>
      </c>
      <c r="C15" s="1">
        <v>45305</v>
      </c>
      <c r="D15" s="1">
        <v>45306</v>
      </c>
      <c r="E15" t="s">
        <v>976</v>
      </c>
      <c r="F15" t="s">
        <v>1679</v>
      </c>
      <c r="G15" t="s">
        <v>1337</v>
      </c>
      <c r="H15" t="s">
        <v>2628</v>
      </c>
      <c r="I15" t="s">
        <v>2737</v>
      </c>
      <c r="J15" t="s">
        <v>2746</v>
      </c>
      <c r="K15" t="s">
        <v>1482</v>
      </c>
      <c r="L15" t="s">
        <v>2783</v>
      </c>
      <c r="M15" t="s">
        <v>2567</v>
      </c>
      <c r="N15" t="s">
        <v>2585</v>
      </c>
      <c r="O15" t="s">
        <v>2604</v>
      </c>
      <c r="P15" t="s">
        <v>2560</v>
      </c>
      <c r="Q15" t="s">
        <v>2579</v>
      </c>
      <c r="R15" t="s">
        <v>2604</v>
      </c>
      <c r="S15" t="s">
        <v>2606</v>
      </c>
      <c r="T15">
        <v>1</v>
      </c>
      <c r="U15" s="2">
        <v>12042.96</v>
      </c>
      <c r="V15" s="3">
        <v>0</v>
      </c>
      <c r="W15" s="2">
        <v>12042.96</v>
      </c>
      <c r="X15" s="2">
        <v>1101.3599999999999</v>
      </c>
      <c r="Y15" s="3">
        <v>9.1452599693098699E-2</v>
      </c>
      <c r="Z15" t="s">
        <v>1494</v>
      </c>
      <c r="AA15" t="s">
        <v>1498</v>
      </c>
      <c r="AB15" t="s">
        <v>1501</v>
      </c>
      <c r="AC15">
        <v>1</v>
      </c>
      <c r="AD15">
        <v>2024</v>
      </c>
      <c r="AE15" t="s">
        <v>2808</v>
      </c>
      <c r="AF15" t="s">
        <v>2820</v>
      </c>
      <c r="AG15" t="s">
        <v>2844</v>
      </c>
      <c r="AH15" t="s">
        <v>2848</v>
      </c>
      <c r="AI15">
        <v>1</v>
      </c>
    </row>
    <row r="16" spans="1:35" x14ac:dyDescent="0.3">
      <c r="A16" t="s">
        <v>28</v>
      </c>
      <c r="B16">
        <v>2</v>
      </c>
      <c r="C16" s="1">
        <v>45305</v>
      </c>
      <c r="D16" s="1">
        <v>45305</v>
      </c>
      <c r="E16" t="s">
        <v>977</v>
      </c>
      <c r="F16" t="s">
        <v>1809</v>
      </c>
      <c r="G16" t="s">
        <v>1342</v>
      </c>
      <c r="H16" t="s">
        <v>2623</v>
      </c>
      <c r="I16" t="s">
        <v>2737</v>
      </c>
      <c r="J16" t="s">
        <v>2745</v>
      </c>
      <c r="K16" t="s">
        <v>1484</v>
      </c>
      <c r="L16" t="s">
        <v>2778</v>
      </c>
      <c r="M16" t="s">
        <v>2555</v>
      </c>
      <c r="N16" t="s">
        <v>2578</v>
      </c>
      <c r="O16" t="s">
        <v>2603</v>
      </c>
      <c r="P16" t="s">
        <v>2559</v>
      </c>
      <c r="Q16" t="s">
        <v>2559</v>
      </c>
      <c r="R16" t="s">
        <v>2603</v>
      </c>
      <c r="S16" t="s">
        <v>2608</v>
      </c>
      <c r="T16">
        <v>1</v>
      </c>
      <c r="U16" s="2">
        <v>18924.84</v>
      </c>
      <c r="V16" s="3">
        <v>0.1</v>
      </c>
      <c r="W16" s="2">
        <v>17032.36</v>
      </c>
      <c r="X16" s="2">
        <v>889.12</v>
      </c>
      <c r="Y16" s="3">
        <v>5.2201808792204957E-2</v>
      </c>
      <c r="Z16" t="s">
        <v>1493</v>
      </c>
      <c r="AA16" t="s">
        <v>1499</v>
      </c>
      <c r="AB16" t="s">
        <v>1501</v>
      </c>
      <c r="AC16">
        <v>0</v>
      </c>
      <c r="AD16">
        <v>2024</v>
      </c>
      <c r="AE16" t="s">
        <v>2808</v>
      </c>
      <c r="AF16" t="s">
        <v>2820</v>
      </c>
      <c r="AG16" t="s">
        <v>2844</v>
      </c>
      <c r="AH16" t="s">
        <v>2848</v>
      </c>
      <c r="AI16">
        <v>1</v>
      </c>
    </row>
    <row r="17" spans="1:35" x14ac:dyDescent="0.3">
      <c r="A17" t="s">
        <v>29</v>
      </c>
      <c r="B17">
        <v>1</v>
      </c>
      <c r="C17" s="1">
        <v>45306</v>
      </c>
      <c r="E17" t="s">
        <v>978</v>
      </c>
      <c r="F17" t="s">
        <v>1887</v>
      </c>
      <c r="G17" t="s">
        <v>1343</v>
      </c>
      <c r="H17" t="s">
        <v>2646</v>
      </c>
      <c r="I17" t="s">
        <v>2738</v>
      </c>
      <c r="J17" t="s">
        <v>2750</v>
      </c>
      <c r="K17" t="s">
        <v>1483</v>
      </c>
      <c r="L17" t="s">
        <v>2781</v>
      </c>
      <c r="M17" t="s">
        <v>2555</v>
      </c>
      <c r="N17" t="s">
        <v>2578</v>
      </c>
      <c r="O17" t="s">
        <v>2603</v>
      </c>
      <c r="P17" t="s">
        <v>2568</v>
      </c>
      <c r="Q17" t="s">
        <v>2586</v>
      </c>
      <c r="R17" t="s">
        <v>2603</v>
      </c>
      <c r="S17" t="s">
        <v>2607</v>
      </c>
      <c r="T17">
        <v>3</v>
      </c>
      <c r="U17" s="2">
        <v>7138.26</v>
      </c>
      <c r="V17" s="3">
        <v>0.2</v>
      </c>
      <c r="W17" s="2">
        <v>17131.82</v>
      </c>
      <c r="X17" s="2">
        <v>708.95</v>
      </c>
      <c r="Y17" s="3">
        <v>4.1382059816178318E-2</v>
      </c>
      <c r="Z17" t="s">
        <v>1495</v>
      </c>
      <c r="AA17" t="s">
        <v>1498</v>
      </c>
      <c r="AB17" t="s">
        <v>1503</v>
      </c>
      <c r="AD17">
        <v>2024</v>
      </c>
      <c r="AE17" t="s">
        <v>2808</v>
      </c>
      <c r="AF17" t="s">
        <v>2820</v>
      </c>
      <c r="AG17" t="s">
        <v>2844</v>
      </c>
      <c r="AH17" t="s">
        <v>2848</v>
      </c>
      <c r="AI17">
        <v>1</v>
      </c>
    </row>
    <row r="18" spans="1:35" x14ac:dyDescent="0.3">
      <c r="A18" t="s">
        <v>30</v>
      </c>
      <c r="B18">
        <v>1</v>
      </c>
      <c r="C18" s="1">
        <v>45307</v>
      </c>
      <c r="D18" s="1">
        <v>45307</v>
      </c>
      <c r="E18" t="s">
        <v>975</v>
      </c>
      <c r="F18" t="s">
        <v>1956</v>
      </c>
      <c r="G18" t="s">
        <v>1344</v>
      </c>
      <c r="H18" t="s">
        <v>2717</v>
      </c>
      <c r="I18" t="s">
        <v>2741</v>
      </c>
      <c r="J18" t="s">
        <v>2768</v>
      </c>
      <c r="K18" t="s">
        <v>1484</v>
      </c>
      <c r="L18" t="s">
        <v>2778</v>
      </c>
      <c r="M18" t="s">
        <v>2559</v>
      </c>
      <c r="N18" t="s">
        <v>2559</v>
      </c>
      <c r="O18" t="s">
        <v>2603</v>
      </c>
      <c r="P18" t="s">
        <v>2559</v>
      </c>
      <c r="Q18" t="s">
        <v>2559</v>
      </c>
      <c r="R18" t="s">
        <v>2603</v>
      </c>
      <c r="S18" t="s">
        <v>2608</v>
      </c>
      <c r="T18">
        <v>1</v>
      </c>
      <c r="U18" s="2">
        <v>555.59</v>
      </c>
      <c r="V18" s="3">
        <v>0</v>
      </c>
      <c r="W18" s="2">
        <v>555.59</v>
      </c>
      <c r="X18" s="2">
        <v>176.49</v>
      </c>
      <c r="Y18" s="3">
        <v>0.31766230493709391</v>
      </c>
      <c r="Z18" t="s">
        <v>1496</v>
      </c>
      <c r="AA18" t="s">
        <v>1498</v>
      </c>
      <c r="AB18" t="s">
        <v>1501</v>
      </c>
      <c r="AC18">
        <v>0</v>
      </c>
      <c r="AD18">
        <v>2024</v>
      </c>
      <c r="AE18" t="s">
        <v>2808</v>
      </c>
      <c r="AF18" t="s">
        <v>2820</v>
      </c>
      <c r="AG18" t="s">
        <v>2844</v>
      </c>
      <c r="AH18" t="s">
        <v>2848</v>
      </c>
      <c r="AI18">
        <v>1</v>
      </c>
    </row>
    <row r="19" spans="1:35" x14ac:dyDescent="0.3">
      <c r="A19" t="s">
        <v>31</v>
      </c>
      <c r="B19">
        <v>2</v>
      </c>
      <c r="C19" s="1">
        <v>45308</v>
      </c>
      <c r="D19" s="1">
        <v>45308</v>
      </c>
      <c r="E19" t="s">
        <v>979</v>
      </c>
      <c r="F19" t="s">
        <v>1674</v>
      </c>
      <c r="G19" t="s">
        <v>1345</v>
      </c>
      <c r="H19" t="s">
        <v>2635</v>
      </c>
      <c r="I19" t="s">
        <v>2737</v>
      </c>
      <c r="J19" t="s">
        <v>2747</v>
      </c>
      <c r="K19" t="s">
        <v>1485</v>
      </c>
      <c r="L19" t="s">
        <v>2775</v>
      </c>
      <c r="M19" t="s">
        <v>2553</v>
      </c>
      <c r="N19" t="s">
        <v>2576</v>
      </c>
      <c r="O19" t="s">
        <v>2602</v>
      </c>
      <c r="P19" t="s">
        <v>2562</v>
      </c>
      <c r="Q19" t="s">
        <v>2574</v>
      </c>
      <c r="R19" t="s">
        <v>2602</v>
      </c>
      <c r="S19" t="s">
        <v>2607</v>
      </c>
      <c r="T19">
        <v>1</v>
      </c>
      <c r="U19" s="2">
        <v>8112.78</v>
      </c>
      <c r="V19" s="3">
        <v>0</v>
      </c>
      <c r="W19" s="2">
        <v>8112.78</v>
      </c>
      <c r="X19" s="2">
        <v>1235.06</v>
      </c>
      <c r="Y19" s="3">
        <v>0.15223634808290129</v>
      </c>
      <c r="Z19" t="s">
        <v>1496</v>
      </c>
      <c r="AA19" t="s">
        <v>1498</v>
      </c>
      <c r="AB19" t="s">
        <v>1501</v>
      </c>
      <c r="AC19">
        <v>0</v>
      </c>
      <c r="AD19">
        <v>2024</v>
      </c>
      <c r="AE19" t="s">
        <v>2808</v>
      </c>
      <c r="AF19" t="s">
        <v>2820</v>
      </c>
      <c r="AG19" t="s">
        <v>2844</v>
      </c>
      <c r="AH19" t="s">
        <v>2848</v>
      </c>
      <c r="AI19">
        <v>1</v>
      </c>
    </row>
    <row r="20" spans="1:35" x14ac:dyDescent="0.3">
      <c r="A20" t="s">
        <v>32</v>
      </c>
      <c r="B20">
        <v>1</v>
      </c>
      <c r="C20" s="1">
        <v>45308</v>
      </c>
      <c r="D20" s="1">
        <v>45309</v>
      </c>
      <c r="E20" t="s">
        <v>980</v>
      </c>
      <c r="F20" t="s">
        <v>1894</v>
      </c>
      <c r="G20" t="s">
        <v>1346</v>
      </c>
      <c r="H20" t="s">
        <v>2670</v>
      </c>
      <c r="I20" t="s">
        <v>2739</v>
      </c>
      <c r="J20" t="s">
        <v>2756</v>
      </c>
      <c r="K20" t="s">
        <v>1480</v>
      </c>
      <c r="L20" t="s">
        <v>2789</v>
      </c>
      <c r="M20" t="s">
        <v>2561</v>
      </c>
      <c r="N20" t="s">
        <v>2580</v>
      </c>
      <c r="O20" t="s">
        <v>2601</v>
      </c>
      <c r="R20" t="s">
        <v>2790</v>
      </c>
      <c r="S20" t="s">
        <v>2606</v>
      </c>
      <c r="T20">
        <v>2</v>
      </c>
      <c r="U20" s="2">
        <v>3324.39</v>
      </c>
      <c r="V20" s="3">
        <v>0</v>
      </c>
      <c r="W20" s="2">
        <v>6648.78</v>
      </c>
      <c r="X20" s="2">
        <v>2468.04</v>
      </c>
      <c r="Y20" s="3">
        <v>0.37120193479104441</v>
      </c>
      <c r="Z20" t="s">
        <v>1495</v>
      </c>
      <c r="AA20" t="s">
        <v>1498</v>
      </c>
      <c r="AB20" t="s">
        <v>1501</v>
      </c>
      <c r="AC20">
        <v>1</v>
      </c>
      <c r="AD20">
        <v>2024</v>
      </c>
      <c r="AE20" t="s">
        <v>2808</v>
      </c>
      <c r="AF20" t="s">
        <v>2820</v>
      </c>
      <c r="AG20" t="s">
        <v>2844</v>
      </c>
      <c r="AH20" t="s">
        <v>2848</v>
      </c>
      <c r="AI20">
        <v>1</v>
      </c>
    </row>
    <row r="21" spans="1:35" x14ac:dyDescent="0.3">
      <c r="A21" t="s">
        <v>33</v>
      </c>
      <c r="B21">
        <v>1</v>
      </c>
      <c r="C21" s="1">
        <v>45308</v>
      </c>
      <c r="D21" s="1">
        <v>45309</v>
      </c>
      <c r="E21" t="s">
        <v>981</v>
      </c>
      <c r="F21" t="s">
        <v>1714</v>
      </c>
      <c r="G21" t="s">
        <v>1347</v>
      </c>
      <c r="H21" t="s">
        <v>2627</v>
      </c>
      <c r="I21" t="s">
        <v>2737</v>
      </c>
      <c r="J21" t="s">
        <v>2745</v>
      </c>
      <c r="K21" t="s">
        <v>1486</v>
      </c>
      <c r="L21" t="s">
        <v>2776</v>
      </c>
      <c r="M21" t="s">
        <v>2562</v>
      </c>
      <c r="N21" t="s">
        <v>2574</v>
      </c>
      <c r="O21" t="s">
        <v>2602</v>
      </c>
      <c r="P21" t="s">
        <v>2551</v>
      </c>
      <c r="Q21" t="s">
        <v>2574</v>
      </c>
      <c r="R21" t="s">
        <v>2602</v>
      </c>
      <c r="S21" t="s">
        <v>2607</v>
      </c>
      <c r="T21">
        <v>1</v>
      </c>
      <c r="U21" s="2">
        <v>56707.06</v>
      </c>
      <c r="V21" s="3">
        <v>0</v>
      </c>
      <c r="W21" s="2">
        <v>56707.06</v>
      </c>
      <c r="X21" s="2">
        <v>8963.85</v>
      </c>
      <c r="Y21" s="3">
        <v>0.15807291014557981</v>
      </c>
      <c r="Z21" t="s">
        <v>1497</v>
      </c>
      <c r="AA21" t="s">
        <v>1498</v>
      </c>
      <c r="AB21" t="s">
        <v>1501</v>
      </c>
      <c r="AC21">
        <v>1</v>
      </c>
      <c r="AD21">
        <v>2024</v>
      </c>
      <c r="AE21" t="s">
        <v>2808</v>
      </c>
      <c r="AF21" t="s">
        <v>2820</v>
      </c>
      <c r="AG21" t="s">
        <v>2844</v>
      </c>
      <c r="AH21" t="s">
        <v>2848</v>
      </c>
      <c r="AI21">
        <v>1</v>
      </c>
    </row>
    <row r="22" spans="1:35" x14ac:dyDescent="0.3">
      <c r="A22" t="s">
        <v>34</v>
      </c>
      <c r="B22">
        <v>2</v>
      </c>
      <c r="C22" s="1">
        <v>45309</v>
      </c>
      <c r="D22" s="1">
        <v>45312</v>
      </c>
      <c r="E22" t="s">
        <v>982</v>
      </c>
      <c r="F22" t="s">
        <v>1747</v>
      </c>
      <c r="G22" t="s">
        <v>1348</v>
      </c>
      <c r="H22" t="s">
        <v>2669</v>
      </c>
      <c r="I22" t="s">
        <v>2739</v>
      </c>
      <c r="J22" t="s">
        <v>2756</v>
      </c>
      <c r="K22" t="s">
        <v>1480</v>
      </c>
      <c r="L22" t="s">
        <v>2789</v>
      </c>
      <c r="M22" t="s">
        <v>2560</v>
      </c>
      <c r="N22" t="s">
        <v>2579</v>
      </c>
      <c r="O22" t="s">
        <v>2604</v>
      </c>
      <c r="R22" t="s">
        <v>2790</v>
      </c>
      <c r="S22" t="s">
        <v>2606</v>
      </c>
      <c r="T22">
        <v>1</v>
      </c>
      <c r="U22" s="2">
        <v>921.12</v>
      </c>
      <c r="V22" s="3">
        <v>0.1</v>
      </c>
      <c r="W22" s="2">
        <v>829.01</v>
      </c>
      <c r="X22" s="2">
        <v>290.97000000000003</v>
      </c>
      <c r="Y22" s="3">
        <v>0.35098490971158369</v>
      </c>
      <c r="Z22" t="s">
        <v>1493</v>
      </c>
      <c r="AA22" t="s">
        <v>1498</v>
      </c>
      <c r="AB22" t="s">
        <v>1501</v>
      </c>
      <c r="AC22">
        <v>3</v>
      </c>
      <c r="AD22">
        <v>2024</v>
      </c>
      <c r="AE22" t="s">
        <v>2808</v>
      </c>
      <c r="AF22" t="s">
        <v>2820</v>
      </c>
      <c r="AG22" t="s">
        <v>2844</v>
      </c>
      <c r="AH22" t="s">
        <v>2848</v>
      </c>
      <c r="AI22">
        <v>1</v>
      </c>
    </row>
    <row r="23" spans="1:35" x14ac:dyDescent="0.3">
      <c r="A23" t="s">
        <v>35</v>
      </c>
      <c r="B23">
        <v>1</v>
      </c>
      <c r="C23" s="1">
        <v>45309</v>
      </c>
      <c r="D23" s="1">
        <v>45312</v>
      </c>
      <c r="E23" t="s">
        <v>983</v>
      </c>
      <c r="F23" t="s">
        <v>1760</v>
      </c>
      <c r="G23" t="s">
        <v>1349</v>
      </c>
      <c r="H23" t="s">
        <v>2668</v>
      </c>
      <c r="I23" t="s">
        <v>2739</v>
      </c>
      <c r="J23" t="s">
        <v>2756</v>
      </c>
      <c r="K23" t="s">
        <v>1480</v>
      </c>
      <c r="L23" t="s">
        <v>2789</v>
      </c>
      <c r="M23" t="s">
        <v>2571</v>
      </c>
      <c r="N23" t="s">
        <v>2590</v>
      </c>
      <c r="O23" t="s">
        <v>2605</v>
      </c>
      <c r="R23" t="s">
        <v>2790</v>
      </c>
      <c r="S23" t="s">
        <v>2606</v>
      </c>
      <c r="T23">
        <v>1</v>
      </c>
      <c r="U23" s="2">
        <v>2650.66</v>
      </c>
      <c r="V23" s="3">
        <v>0</v>
      </c>
      <c r="W23" s="2">
        <v>2650.66</v>
      </c>
      <c r="X23" s="2">
        <v>861.03</v>
      </c>
      <c r="Y23" s="3">
        <v>0.32483607856156582</v>
      </c>
      <c r="Z23" t="s">
        <v>1496</v>
      </c>
      <c r="AA23" t="s">
        <v>1500</v>
      </c>
      <c r="AB23" t="s">
        <v>1501</v>
      </c>
      <c r="AC23">
        <v>3</v>
      </c>
      <c r="AD23">
        <v>2024</v>
      </c>
      <c r="AE23" t="s">
        <v>2808</v>
      </c>
      <c r="AF23" t="s">
        <v>2820</v>
      </c>
      <c r="AG23" t="s">
        <v>2844</v>
      </c>
      <c r="AH23" t="s">
        <v>2848</v>
      </c>
      <c r="AI23">
        <v>1</v>
      </c>
    </row>
    <row r="24" spans="1:35" x14ac:dyDescent="0.3">
      <c r="A24" t="s">
        <v>36</v>
      </c>
      <c r="B24">
        <v>1</v>
      </c>
      <c r="C24" s="1">
        <v>45310</v>
      </c>
      <c r="D24" s="1">
        <v>45311</v>
      </c>
      <c r="E24" t="s">
        <v>984</v>
      </c>
      <c r="F24" t="s">
        <v>1836</v>
      </c>
      <c r="G24" t="s">
        <v>1350</v>
      </c>
      <c r="H24" t="s">
        <v>2634</v>
      </c>
      <c r="I24" t="s">
        <v>2737</v>
      </c>
      <c r="J24" t="s">
        <v>2747</v>
      </c>
      <c r="K24" t="s">
        <v>1487</v>
      </c>
      <c r="L24" t="s">
        <v>2785</v>
      </c>
      <c r="M24" t="s">
        <v>2564</v>
      </c>
      <c r="N24" t="s">
        <v>2582</v>
      </c>
      <c r="O24" t="s">
        <v>2601</v>
      </c>
      <c r="P24" t="s">
        <v>2550</v>
      </c>
      <c r="Q24" t="s">
        <v>2573</v>
      </c>
      <c r="R24" t="s">
        <v>2601</v>
      </c>
      <c r="S24" t="s">
        <v>2608</v>
      </c>
      <c r="T24">
        <v>1</v>
      </c>
      <c r="U24" s="2">
        <v>53290.400000000001</v>
      </c>
      <c r="V24" s="3">
        <v>0</v>
      </c>
      <c r="W24" s="2">
        <v>53290.400000000001</v>
      </c>
      <c r="X24" s="2">
        <v>7231.68</v>
      </c>
      <c r="Y24" s="3">
        <v>0.13570324110909279</v>
      </c>
      <c r="Z24" t="s">
        <v>1495</v>
      </c>
      <c r="AA24" t="s">
        <v>1499</v>
      </c>
      <c r="AB24" t="s">
        <v>1501</v>
      </c>
      <c r="AC24">
        <v>1</v>
      </c>
      <c r="AD24">
        <v>2024</v>
      </c>
      <c r="AE24" t="s">
        <v>2808</v>
      </c>
      <c r="AF24" t="s">
        <v>2820</v>
      </c>
      <c r="AG24" t="s">
        <v>2844</v>
      </c>
      <c r="AH24" t="s">
        <v>2848</v>
      </c>
      <c r="AI24">
        <v>1</v>
      </c>
    </row>
    <row r="25" spans="1:35" x14ac:dyDescent="0.3">
      <c r="A25" t="s">
        <v>37</v>
      </c>
      <c r="B25">
        <v>1</v>
      </c>
      <c r="C25" s="1">
        <v>45311</v>
      </c>
      <c r="D25" s="1">
        <v>45311</v>
      </c>
      <c r="E25" t="s">
        <v>985</v>
      </c>
      <c r="F25" t="s">
        <v>1754</v>
      </c>
      <c r="G25" t="s">
        <v>1351</v>
      </c>
      <c r="H25" t="s">
        <v>2677</v>
      </c>
      <c r="I25" t="s">
        <v>2739</v>
      </c>
      <c r="J25" t="s">
        <v>2758</v>
      </c>
      <c r="K25" t="s">
        <v>1483</v>
      </c>
      <c r="L25" t="s">
        <v>2781</v>
      </c>
      <c r="M25" t="s">
        <v>2558</v>
      </c>
      <c r="N25" t="s">
        <v>2558</v>
      </c>
      <c r="O25" t="s">
        <v>2603</v>
      </c>
      <c r="P25" t="s">
        <v>2568</v>
      </c>
      <c r="Q25" t="s">
        <v>2586</v>
      </c>
      <c r="R25" t="s">
        <v>2603</v>
      </c>
      <c r="S25" t="s">
        <v>2606</v>
      </c>
      <c r="T25">
        <v>1</v>
      </c>
      <c r="U25" s="2">
        <v>5049.71</v>
      </c>
      <c r="V25" s="3">
        <v>0.1</v>
      </c>
      <c r="W25" s="2">
        <v>4544.74</v>
      </c>
      <c r="X25" s="2">
        <v>809.94</v>
      </c>
      <c r="Y25" s="3">
        <v>0.17821481536897599</v>
      </c>
      <c r="Z25" t="s">
        <v>1496</v>
      </c>
      <c r="AA25" t="s">
        <v>1499</v>
      </c>
      <c r="AB25" t="s">
        <v>1501</v>
      </c>
      <c r="AC25">
        <v>0</v>
      </c>
      <c r="AD25">
        <v>2024</v>
      </c>
      <c r="AE25" t="s">
        <v>2808</v>
      </c>
      <c r="AF25" t="s">
        <v>2820</v>
      </c>
      <c r="AG25" t="s">
        <v>2844</v>
      </c>
      <c r="AH25" t="s">
        <v>2848</v>
      </c>
      <c r="AI25">
        <v>1</v>
      </c>
    </row>
    <row r="26" spans="1:35" x14ac:dyDescent="0.3">
      <c r="A26" t="s">
        <v>38</v>
      </c>
      <c r="B26">
        <v>1</v>
      </c>
      <c r="C26" s="1">
        <v>45311</v>
      </c>
      <c r="D26" s="1">
        <v>45312</v>
      </c>
      <c r="E26" t="s">
        <v>986</v>
      </c>
      <c r="F26" t="s">
        <v>1955</v>
      </c>
      <c r="G26" t="s">
        <v>1352</v>
      </c>
      <c r="H26" t="s">
        <v>2666</v>
      </c>
      <c r="I26" t="s">
        <v>2739</v>
      </c>
      <c r="J26" t="s">
        <v>2755</v>
      </c>
      <c r="K26" t="s">
        <v>1484</v>
      </c>
      <c r="L26" t="s">
        <v>2778</v>
      </c>
      <c r="M26" t="s">
        <v>2568</v>
      </c>
      <c r="N26" t="s">
        <v>2586</v>
      </c>
      <c r="O26" t="s">
        <v>2603</v>
      </c>
      <c r="P26" t="s">
        <v>2559</v>
      </c>
      <c r="Q26" t="s">
        <v>2559</v>
      </c>
      <c r="R26" t="s">
        <v>2603</v>
      </c>
      <c r="S26" t="s">
        <v>2606</v>
      </c>
      <c r="T26">
        <v>1</v>
      </c>
      <c r="U26" s="2">
        <v>3696.44</v>
      </c>
      <c r="V26" s="3">
        <v>0.05</v>
      </c>
      <c r="W26" s="2">
        <v>3511.62</v>
      </c>
      <c r="X26" s="2">
        <v>1429.06</v>
      </c>
      <c r="Y26" s="3">
        <v>0.40695177724241233</v>
      </c>
      <c r="Z26" t="s">
        <v>1496</v>
      </c>
      <c r="AA26" t="s">
        <v>1498</v>
      </c>
      <c r="AB26" t="s">
        <v>1501</v>
      </c>
      <c r="AC26">
        <v>1</v>
      </c>
      <c r="AD26">
        <v>2024</v>
      </c>
      <c r="AE26" t="s">
        <v>2808</v>
      </c>
      <c r="AF26" t="s">
        <v>2820</v>
      </c>
      <c r="AG26" t="s">
        <v>2844</v>
      </c>
      <c r="AH26" t="s">
        <v>2848</v>
      </c>
      <c r="AI26">
        <v>1</v>
      </c>
    </row>
    <row r="27" spans="1:35" x14ac:dyDescent="0.3">
      <c r="A27" t="s">
        <v>39</v>
      </c>
      <c r="B27">
        <v>3</v>
      </c>
      <c r="C27" s="1">
        <v>45312</v>
      </c>
      <c r="D27" s="1">
        <v>45314</v>
      </c>
      <c r="E27" t="s">
        <v>987</v>
      </c>
      <c r="F27" t="s">
        <v>2005</v>
      </c>
      <c r="G27" t="s">
        <v>1353</v>
      </c>
      <c r="H27" t="s">
        <v>2705</v>
      </c>
      <c r="I27" t="s">
        <v>2741</v>
      </c>
      <c r="J27" t="s">
        <v>2765</v>
      </c>
      <c r="K27" t="s">
        <v>1480</v>
      </c>
      <c r="L27" t="s">
        <v>2789</v>
      </c>
      <c r="M27" t="s">
        <v>2550</v>
      </c>
      <c r="N27" t="s">
        <v>2573</v>
      </c>
      <c r="O27" t="s">
        <v>2601</v>
      </c>
      <c r="R27" t="s">
        <v>2790</v>
      </c>
      <c r="S27" t="s">
        <v>2608</v>
      </c>
      <c r="T27">
        <v>2</v>
      </c>
      <c r="U27" s="2">
        <v>370.27</v>
      </c>
      <c r="V27" s="3">
        <v>0</v>
      </c>
      <c r="W27" s="2">
        <v>740.54</v>
      </c>
      <c r="X27" s="2">
        <v>263.16000000000003</v>
      </c>
      <c r="Y27" s="3">
        <v>0.35536230318416301</v>
      </c>
      <c r="Z27" t="s">
        <v>1495</v>
      </c>
      <c r="AA27" t="s">
        <v>1500</v>
      </c>
      <c r="AB27" t="s">
        <v>1501</v>
      </c>
      <c r="AC27">
        <v>2</v>
      </c>
      <c r="AD27">
        <v>2024</v>
      </c>
      <c r="AE27" t="s">
        <v>2808</v>
      </c>
      <c r="AF27" t="s">
        <v>2820</v>
      </c>
      <c r="AG27" t="s">
        <v>2844</v>
      </c>
      <c r="AH27" t="s">
        <v>2848</v>
      </c>
      <c r="AI27">
        <v>1</v>
      </c>
    </row>
    <row r="28" spans="1:35" x14ac:dyDescent="0.3">
      <c r="A28" t="s">
        <v>40</v>
      </c>
      <c r="B28">
        <v>2</v>
      </c>
      <c r="C28" s="1">
        <v>45314</v>
      </c>
      <c r="D28" s="1">
        <v>45315</v>
      </c>
      <c r="E28" t="s">
        <v>988</v>
      </c>
      <c r="F28" t="s">
        <v>1690</v>
      </c>
      <c r="G28" t="s">
        <v>1354</v>
      </c>
      <c r="H28" t="s">
        <v>2652</v>
      </c>
      <c r="I28" t="s">
        <v>2738</v>
      </c>
      <c r="J28" t="s">
        <v>2752</v>
      </c>
      <c r="K28" t="s">
        <v>1483</v>
      </c>
      <c r="L28" t="s">
        <v>2781</v>
      </c>
      <c r="M28" t="s">
        <v>2559</v>
      </c>
      <c r="N28" t="s">
        <v>2559</v>
      </c>
      <c r="O28" t="s">
        <v>2603</v>
      </c>
      <c r="P28" t="s">
        <v>2568</v>
      </c>
      <c r="Q28" t="s">
        <v>2586</v>
      </c>
      <c r="R28" t="s">
        <v>2603</v>
      </c>
      <c r="S28" t="s">
        <v>2608</v>
      </c>
      <c r="T28">
        <v>1</v>
      </c>
      <c r="U28" s="2">
        <v>45654.38</v>
      </c>
      <c r="V28" s="3">
        <v>0</v>
      </c>
      <c r="W28" s="2">
        <v>45654.38</v>
      </c>
      <c r="X28" s="2">
        <v>12954.5</v>
      </c>
      <c r="Y28" s="3">
        <v>0.28375152614053678</v>
      </c>
      <c r="Z28" t="s">
        <v>1496</v>
      </c>
      <c r="AA28" t="s">
        <v>1498</v>
      </c>
      <c r="AB28" t="s">
        <v>1501</v>
      </c>
      <c r="AC28">
        <v>1</v>
      </c>
      <c r="AD28">
        <v>2024</v>
      </c>
      <c r="AE28" t="s">
        <v>2808</v>
      </c>
      <c r="AF28" t="s">
        <v>2820</v>
      </c>
      <c r="AG28" t="s">
        <v>2844</v>
      </c>
      <c r="AH28" t="s">
        <v>2848</v>
      </c>
      <c r="AI28">
        <v>1</v>
      </c>
    </row>
    <row r="29" spans="1:35" x14ac:dyDescent="0.3">
      <c r="A29" t="s">
        <v>41</v>
      </c>
      <c r="B29">
        <v>1</v>
      </c>
      <c r="C29" s="1">
        <v>45314</v>
      </c>
      <c r="D29" s="1">
        <v>45316</v>
      </c>
      <c r="E29" t="s">
        <v>989</v>
      </c>
      <c r="F29" t="s">
        <v>1758</v>
      </c>
      <c r="G29" t="s">
        <v>1355</v>
      </c>
      <c r="H29" t="s">
        <v>2622</v>
      </c>
      <c r="I29" t="s">
        <v>2737</v>
      </c>
      <c r="J29" t="s">
        <v>2745</v>
      </c>
      <c r="K29" t="s">
        <v>1480</v>
      </c>
      <c r="L29" t="s">
        <v>2789</v>
      </c>
      <c r="M29" t="s">
        <v>2563</v>
      </c>
      <c r="N29" t="s">
        <v>2581</v>
      </c>
      <c r="O29" t="s">
        <v>2604</v>
      </c>
      <c r="R29" t="s">
        <v>2790</v>
      </c>
      <c r="S29" t="s">
        <v>2606</v>
      </c>
      <c r="T29">
        <v>1</v>
      </c>
      <c r="U29" s="2">
        <v>38093.910000000003</v>
      </c>
      <c r="V29" s="3">
        <v>0</v>
      </c>
      <c r="W29" s="2">
        <v>38093.910000000003</v>
      </c>
      <c r="X29" s="2">
        <v>3769.28</v>
      </c>
      <c r="Y29" s="3">
        <v>9.8947049541514634E-2</v>
      </c>
      <c r="Z29" t="s">
        <v>1494</v>
      </c>
      <c r="AA29" t="s">
        <v>1499</v>
      </c>
      <c r="AB29" t="s">
        <v>1501</v>
      </c>
      <c r="AC29">
        <v>2</v>
      </c>
      <c r="AD29">
        <v>2024</v>
      </c>
      <c r="AE29" t="s">
        <v>2808</v>
      </c>
      <c r="AF29" t="s">
        <v>2820</v>
      </c>
      <c r="AG29" t="s">
        <v>2844</v>
      </c>
      <c r="AH29" t="s">
        <v>2848</v>
      </c>
      <c r="AI29">
        <v>1</v>
      </c>
    </row>
    <row r="30" spans="1:35" x14ac:dyDescent="0.3">
      <c r="A30" t="s">
        <v>42</v>
      </c>
      <c r="B30">
        <v>1</v>
      </c>
      <c r="C30" s="1">
        <v>45315</v>
      </c>
      <c r="D30" s="1">
        <v>45315</v>
      </c>
      <c r="E30" t="s">
        <v>990</v>
      </c>
      <c r="F30" t="s">
        <v>1818</v>
      </c>
      <c r="G30" t="s">
        <v>1356</v>
      </c>
      <c r="H30" t="s">
        <v>2640</v>
      </c>
      <c r="I30" t="s">
        <v>2737</v>
      </c>
      <c r="J30" t="s">
        <v>2748</v>
      </c>
      <c r="K30" t="s">
        <v>1488</v>
      </c>
      <c r="L30" t="s">
        <v>2780</v>
      </c>
      <c r="M30" t="s">
        <v>2555</v>
      </c>
      <c r="N30" t="s">
        <v>2578</v>
      </c>
      <c r="O30" t="s">
        <v>2603</v>
      </c>
      <c r="P30" t="s">
        <v>2552</v>
      </c>
      <c r="Q30" t="s">
        <v>2575</v>
      </c>
      <c r="R30" t="s">
        <v>2603</v>
      </c>
      <c r="S30" t="s">
        <v>2608</v>
      </c>
      <c r="T30">
        <v>2</v>
      </c>
      <c r="U30" s="2">
        <v>68671.53</v>
      </c>
      <c r="V30" s="3">
        <v>0</v>
      </c>
      <c r="W30" s="2">
        <v>137343.06</v>
      </c>
      <c r="X30" s="2">
        <v>21405.18</v>
      </c>
      <c r="Y30" s="3">
        <v>0.15585192291478001</v>
      </c>
      <c r="Z30" t="s">
        <v>1493</v>
      </c>
      <c r="AA30" t="s">
        <v>1499</v>
      </c>
      <c r="AB30" t="s">
        <v>1501</v>
      </c>
      <c r="AC30">
        <v>0</v>
      </c>
      <c r="AD30">
        <v>2024</v>
      </c>
      <c r="AE30" t="s">
        <v>2808</v>
      </c>
      <c r="AF30" t="s">
        <v>2820</v>
      </c>
      <c r="AG30" t="s">
        <v>2844</v>
      </c>
      <c r="AH30" t="s">
        <v>2848</v>
      </c>
      <c r="AI30">
        <v>1</v>
      </c>
    </row>
    <row r="31" spans="1:35" x14ac:dyDescent="0.3">
      <c r="A31" t="s">
        <v>43</v>
      </c>
      <c r="B31">
        <v>1</v>
      </c>
      <c r="C31" s="1">
        <v>45318</v>
      </c>
      <c r="D31" s="1">
        <v>45318</v>
      </c>
      <c r="E31" t="s">
        <v>970</v>
      </c>
      <c r="F31" t="s">
        <v>1904</v>
      </c>
      <c r="G31" t="s">
        <v>1357</v>
      </c>
      <c r="H31" t="s">
        <v>2689</v>
      </c>
      <c r="I31" t="s">
        <v>2740</v>
      </c>
      <c r="J31" t="s">
        <v>2760</v>
      </c>
      <c r="K31" t="s">
        <v>1481</v>
      </c>
      <c r="L31" t="s">
        <v>2777</v>
      </c>
      <c r="M31" t="s">
        <v>2551</v>
      </c>
      <c r="N31" t="s">
        <v>2592</v>
      </c>
      <c r="O31" t="s">
        <v>2602</v>
      </c>
      <c r="P31" t="s">
        <v>2557</v>
      </c>
      <c r="Q31" t="s">
        <v>2576</v>
      </c>
      <c r="R31" t="s">
        <v>2602</v>
      </c>
      <c r="S31" t="s">
        <v>2606</v>
      </c>
      <c r="T31">
        <v>1</v>
      </c>
      <c r="U31" s="2">
        <v>986.91</v>
      </c>
      <c r="V31" s="3">
        <v>0</v>
      </c>
      <c r="W31" s="2">
        <v>986.91</v>
      </c>
      <c r="X31" s="2">
        <v>128.72999999999999</v>
      </c>
      <c r="Y31" s="3">
        <v>0.13043742590509769</v>
      </c>
      <c r="Z31" t="s">
        <v>1496</v>
      </c>
      <c r="AA31" t="s">
        <v>1498</v>
      </c>
      <c r="AB31" t="s">
        <v>1501</v>
      </c>
      <c r="AC31">
        <v>0</v>
      </c>
      <c r="AD31">
        <v>2024</v>
      </c>
      <c r="AE31" t="s">
        <v>2808</v>
      </c>
      <c r="AF31" t="s">
        <v>2820</v>
      </c>
      <c r="AG31" t="s">
        <v>2844</v>
      </c>
      <c r="AH31" t="s">
        <v>2848</v>
      </c>
      <c r="AI31">
        <v>1</v>
      </c>
    </row>
    <row r="32" spans="1:35" x14ac:dyDescent="0.3">
      <c r="A32" t="s">
        <v>44</v>
      </c>
      <c r="B32">
        <v>1</v>
      </c>
      <c r="C32" s="1">
        <v>45318</v>
      </c>
      <c r="D32" s="1">
        <v>45319</v>
      </c>
      <c r="E32" t="s">
        <v>991</v>
      </c>
      <c r="F32" t="s">
        <v>1930</v>
      </c>
      <c r="G32" t="s">
        <v>1358</v>
      </c>
      <c r="H32" t="s">
        <v>2636</v>
      </c>
      <c r="I32" t="s">
        <v>2737</v>
      </c>
      <c r="J32" t="s">
        <v>2747</v>
      </c>
      <c r="K32" t="s">
        <v>1478</v>
      </c>
      <c r="L32" t="s">
        <v>2782</v>
      </c>
      <c r="M32" t="s">
        <v>2569</v>
      </c>
      <c r="N32" t="s">
        <v>2594</v>
      </c>
      <c r="O32" t="s">
        <v>2604</v>
      </c>
      <c r="P32" t="s">
        <v>2565</v>
      </c>
      <c r="Q32" t="s">
        <v>2583</v>
      </c>
      <c r="R32" t="s">
        <v>2604</v>
      </c>
      <c r="S32" t="s">
        <v>2608</v>
      </c>
      <c r="T32">
        <v>1</v>
      </c>
      <c r="U32" s="2">
        <v>37487.300000000003</v>
      </c>
      <c r="V32" s="3">
        <v>0.15</v>
      </c>
      <c r="W32" s="2">
        <v>31864.21</v>
      </c>
      <c r="X32" s="2">
        <v>-2019.54</v>
      </c>
      <c r="Y32" s="3">
        <v>-6.3379572253635039E-2</v>
      </c>
      <c r="Z32" t="s">
        <v>1496</v>
      </c>
      <c r="AA32" t="s">
        <v>1498</v>
      </c>
      <c r="AB32" t="s">
        <v>1501</v>
      </c>
      <c r="AC32">
        <v>1</v>
      </c>
      <c r="AD32">
        <v>2024</v>
      </c>
      <c r="AE32" t="s">
        <v>2808</v>
      </c>
      <c r="AF32" t="s">
        <v>2820</v>
      </c>
      <c r="AG32" t="s">
        <v>2844</v>
      </c>
      <c r="AH32" t="s">
        <v>2848</v>
      </c>
      <c r="AI32">
        <v>1</v>
      </c>
    </row>
    <row r="33" spans="1:35" x14ac:dyDescent="0.3">
      <c r="A33" t="s">
        <v>45</v>
      </c>
      <c r="B33">
        <v>1</v>
      </c>
      <c r="C33" s="1">
        <v>45319</v>
      </c>
      <c r="D33" s="1">
        <v>45319</v>
      </c>
      <c r="E33" t="s">
        <v>992</v>
      </c>
      <c r="F33" t="s">
        <v>1698</v>
      </c>
      <c r="G33" t="s">
        <v>1358</v>
      </c>
      <c r="H33" t="s">
        <v>2636</v>
      </c>
      <c r="I33" t="s">
        <v>2737</v>
      </c>
      <c r="J33" t="s">
        <v>2747</v>
      </c>
      <c r="K33" t="s">
        <v>1486</v>
      </c>
      <c r="L33" t="s">
        <v>2776</v>
      </c>
      <c r="M33" t="s">
        <v>2556</v>
      </c>
      <c r="N33" t="s">
        <v>2574</v>
      </c>
      <c r="O33" t="s">
        <v>2602</v>
      </c>
      <c r="P33" t="s">
        <v>2551</v>
      </c>
      <c r="Q33" t="s">
        <v>2574</v>
      </c>
      <c r="R33" t="s">
        <v>2602</v>
      </c>
      <c r="S33" t="s">
        <v>2606</v>
      </c>
      <c r="T33">
        <v>1</v>
      </c>
      <c r="U33" s="2">
        <v>37487.300000000003</v>
      </c>
      <c r="V33" s="3">
        <v>0</v>
      </c>
      <c r="W33" s="2">
        <v>37487.300000000003</v>
      </c>
      <c r="X33" s="2">
        <v>3603.55</v>
      </c>
      <c r="Y33" s="3">
        <v>9.6127221752433489E-2</v>
      </c>
      <c r="Z33" t="s">
        <v>1496</v>
      </c>
      <c r="AA33" t="s">
        <v>1498</v>
      </c>
      <c r="AB33" t="s">
        <v>1501</v>
      </c>
      <c r="AC33">
        <v>0</v>
      </c>
      <c r="AD33">
        <v>2024</v>
      </c>
      <c r="AE33" t="s">
        <v>2808</v>
      </c>
      <c r="AF33" t="s">
        <v>2820</v>
      </c>
      <c r="AG33" t="s">
        <v>2844</v>
      </c>
      <c r="AH33" t="s">
        <v>2848</v>
      </c>
      <c r="AI33">
        <v>1</v>
      </c>
    </row>
    <row r="34" spans="1:35" x14ac:dyDescent="0.3">
      <c r="A34" t="s">
        <v>46</v>
      </c>
      <c r="B34">
        <v>1</v>
      </c>
      <c r="C34" s="1">
        <v>45319</v>
      </c>
      <c r="D34" s="1">
        <v>45319</v>
      </c>
      <c r="E34" t="s">
        <v>993</v>
      </c>
      <c r="F34" t="s">
        <v>1784</v>
      </c>
      <c r="G34" t="s">
        <v>1359</v>
      </c>
      <c r="H34" t="s">
        <v>2663</v>
      </c>
      <c r="I34" t="s">
        <v>2739</v>
      </c>
      <c r="J34" t="s">
        <v>2755</v>
      </c>
      <c r="K34" t="s">
        <v>1478</v>
      </c>
      <c r="L34" t="s">
        <v>2782</v>
      </c>
      <c r="M34" t="s">
        <v>2563</v>
      </c>
      <c r="N34" t="s">
        <v>2595</v>
      </c>
      <c r="O34" t="s">
        <v>2604</v>
      </c>
      <c r="P34" t="s">
        <v>2565</v>
      </c>
      <c r="Q34" t="s">
        <v>2583</v>
      </c>
      <c r="R34" t="s">
        <v>2604</v>
      </c>
      <c r="S34" t="s">
        <v>2606</v>
      </c>
      <c r="T34">
        <v>4</v>
      </c>
      <c r="U34" s="2">
        <v>5570.41</v>
      </c>
      <c r="V34" s="3">
        <v>0</v>
      </c>
      <c r="W34" s="2">
        <v>22281.64</v>
      </c>
      <c r="X34" s="2">
        <v>5681.2</v>
      </c>
      <c r="Y34" s="3">
        <v>0.25497225518408878</v>
      </c>
      <c r="Z34" t="s">
        <v>1494</v>
      </c>
      <c r="AA34" t="s">
        <v>1498</v>
      </c>
      <c r="AB34" t="s">
        <v>1501</v>
      </c>
      <c r="AC34">
        <v>0</v>
      </c>
      <c r="AD34">
        <v>2024</v>
      </c>
      <c r="AE34" t="s">
        <v>2808</v>
      </c>
      <c r="AF34" t="s">
        <v>2820</v>
      </c>
      <c r="AG34" t="s">
        <v>2844</v>
      </c>
      <c r="AH34" t="s">
        <v>2848</v>
      </c>
      <c r="AI34">
        <v>1</v>
      </c>
    </row>
    <row r="35" spans="1:35" x14ac:dyDescent="0.3">
      <c r="A35" t="s">
        <v>47</v>
      </c>
      <c r="B35">
        <v>1</v>
      </c>
      <c r="C35" s="1">
        <v>45321</v>
      </c>
      <c r="D35" s="1">
        <v>45323</v>
      </c>
      <c r="E35" t="s">
        <v>994</v>
      </c>
      <c r="F35" t="s">
        <v>1694</v>
      </c>
      <c r="G35" t="s">
        <v>1360</v>
      </c>
      <c r="H35" t="s">
        <v>2696</v>
      </c>
      <c r="I35" t="s">
        <v>2740</v>
      </c>
      <c r="J35" t="s">
        <v>2762</v>
      </c>
      <c r="K35" t="s">
        <v>1480</v>
      </c>
      <c r="L35" t="s">
        <v>2789</v>
      </c>
      <c r="M35" t="s">
        <v>2571</v>
      </c>
      <c r="N35" t="s">
        <v>2588</v>
      </c>
      <c r="O35" t="s">
        <v>2605</v>
      </c>
      <c r="R35" t="s">
        <v>2790</v>
      </c>
      <c r="S35" t="s">
        <v>2606</v>
      </c>
      <c r="T35">
        <v>1</v>
      </c>
      <c r="U35" s="2">
        <v>1166.3499999999999</v>
      </c>
      <c r="V35" s="3">
        <v>0.15</v>
      </c>
      <c r="W35" s="2">
        <v>991.4</v>
      </c>
      <c r="X35" s="2">
        <v>-38.340000000000003</v>
      </c>
      <c r="Y35" s="3">
        <v>-3.8672584224329239E-2</v>
      </c>
      <c r="Z35" t="s">
        <v>1497</v>
      </c>
      <c r="AA35" t="s">
        <v>1498</v>
      </c>
      <c r="AB35" t="s">
        <v>1501</v>
      </c>
      <c r="AC35">
        <v>2</v>
      </c>
      <c r="AD35">
        <v>2024</v>
      </c>
      <c r="AE35" t="s">
        <v>2808</v>
      </c>
      <c r="AF35" t="s">
        <v>2820</v>
      </c>
      <c r="AG35" t="s">
        <v>2844</v>
      </c>
      <c r="AH35" t="s">
        <v>2848</v>
      </c>
      <c r="AI35">
        <v>1</v>
      </c>
    </row>
    <row r="36" spans="1:35" x14ac:dyDescent="0.3">
      <c r="A36" t="s">
        <v>48</v>
      </c>
      <c r="B36">
        <v>1</v>
      </c>
      <c r="C36" s="1">
        <v>45322</v>
      </c>
      <c r="D36" s="1">
        <v>45324</v>
      </c>
      <c r="E36" t="s">
        <v>994</v>
      </c>
      <c r="F36" t="s">
        <v>1694</v>
      </c>
      <c r="G36" t="s">
        <v>1361</v>
      </c>
      <c r="H36" t="s">
        <v>2669</v>
      </c>
      <c r="I36" t="s">
        <v>2739</v>
      </c>
      <c r="J36" t="s">
        <v>2756</v>
      </c>
      <c r="K36" t="s">
        <v>1480</v>
      </c>
      <c r="L36" t="s">
        <v>2789</v>
      </c>
      <c r="M36" t="s">
        <v>2571</v>
      </c>
      <c r="N36" t="s">
        <v>2588</v>
      </c>
      <c r="O36" t="s">
        <v>2605</v>
      </c>
      <c r="R36" t="s">
        <v>2790</v>
      </c>
      <c r="S36" t="s">
        <v>2606</v>
      </c>
      <c r="T36">
        <v>1</v>
      </c>
      <c r="U36" s="2">
        <v>4840.8599999999997</v>
      </c>
      <c r="V36" s="3">
        <v>0.2</v>
      </c>
      <c r="W36" s="2">
        <v>3872.69</v>
      </c>
      <c r="X36" s="2">
        <v>467.28</v>
      </c>
      <c r="Y36" s="3">
        <v>0.120660316214311</v>
      </c>
      <c r="Z36" t="s">
        <v>1494</v>
      </c>
      <c r="AA36" t="s">
        <v>1498</v>
      </c>
      <c r="AB36" t="s">
        <v>1501</v>
      </c>
      <c r="AC36">
        <v>2</v>
      </c>
      <c r="AD36">
        <v>2024</v>
      </c>
      <c r="AE36" t="s">
        <v>2808</v>
      </c>
      <c r="AF36" t="s">
        <v>2820</v>
      </c>
      <c r="AG36" t="s">
        <v>2844</v>
      </c>
      <c r="AH36" t="s">
        <v>2848</v>
      </c>
      <c r="AI36">
        <v>1</v>
      </c>
    </row>
    <row r="37" spans="1:35" x14ac:dyDescent="0.3">
      <c r="A37" t="s">
        <v>49</v>
      </c>
      <c r="B37">
        <v>1</v>
      </c>
      <c r="C37" s="1">
        <v>45322</v>
      </c>
      <c r="D37" s="1">
        <v>45322</v>
      </c>
      <c r="E37" t="s">
        <v>995</v>
      </c>
      <c r="F37" t="s">
        <v>1766</v>
      </c>
      <c r="G37" t="s">
        <v>1362</v>
      </c>
      <c r="H37" t="s">
        <v>2714</v>
      </c>
      <c r="I37" t="s">
        <v>2741</v>
      </c>
      <c r="J37" t="s">
        <v>2767</v>
      </c>
      <c r="K37" t="s">
        <v>1489</v>
      </c>
      <c r="L37" t="s">
        <v>2787</v>
      </c>
      <c r="M37" t="s">
        <v>2550</v>
      </c>
      <c r="N37" t="s">
        <v>2573</v>
      </c>
      <c r="O37" t="s">
        <v>2601</v>
      </c>
      <c r="P37" t="s">
        <v>2566</v>
      </c>
      <c r="Q37" t="s">
        <v>2584</v>
      </c>
      <c r="R37" t="s">
        <v>2601</v>
      </c>
      <c r="S37" t="s">
        <v>2606</v>
      </c>
      <c r="T37">
        <v>3</v>
      </c>
      <c r="U37" s="2">
        <v>375.5</v>
      </c>
      <c r="V37" s="3">
        <v>0</v>
      </c>
      <c r="W37" s="2">
        <v>1126.5</v>
      </c>
      <c r="X37" s="2">
        <v>438.45</v>
      </c>
      <c r="Y37" s="3">
        <v>0.38921438082556592</v>
      </c>
      <c r="Z37" t="s">
        <v>1497</v>
      </c>
      <c r="AA37" t="s">
        <v>1499</v>
      </c>
      <c r="AB37" t="s">
        <v>1501</v>
      </c>
      <c r="AC37">
        <v>0</v>
      </c>
      <c r="AD37">
        <v>2024</v>
      </c>
      <c r="AE37" t="s">
        <v>2808</v>
      </c>
      <c r="AF37" t="s">
        <v>2820</v>
      </c>
      <c r="AG37" t="s">
        <v>2844</v>
      </c>
      <c r="AH37" t="s">
        <v>2848</v>
      </c>
      <c r="AI37">
        <v>1</v>
      </c>
    </row>
    <row r="38" spans="1:35" x14ac:dyDescent="0.3">
      <c r="A38" t="s">
        <v>50</v>
      </c>
      <c r="B38">
        <v>1</v>
      </c>
      <c r="C38" s="1">
        <v>45323</v>
      </c>
      <c r="D38" s="1">
        <v>45325</v>
      </c>
      <c r="E38" t="s">
        <v>996</v>
      </c>
      <c r="F38" t="s">
        <v>1739</v>
      </c>
      <c r="G38" t="s">
        <v>1354</v>
      </c>
      <c r="H38" t="s">
        <v>2652</v>
      </c>
      <c r="I38" t="s">
        <v>2738</v>
      </c>
      <c r="J38" t="s">
        <v>2752</v>
      </c>
      <c r="K38" t="s">
        <v>1480</v>
      </c>
      <c r="L38" t="s">
        <v>2789</v>
      </c>
      <c r="M38" t="s">
        <v>2568</v>
      </c>
      <c r="N38" t="s">
        <v>2586</v>
      </c>
      <c r="O38" t="s">
        <v>2603</v>
      </c>
      <c r="R38" t="s">
        <v>2790</v>
      </c>
      <c r="S38" t="s">
        <v>2608</v>
      </c>
      <c r="T38">
        <v>2</v>
      </c>
      <c r="U38" s="2">
        <v>45654.38</v>
      </c>
      <c r="V38" s="3">
        <v>0.1</v>
      </c>
      <c r="W38" s="2">
        <v>82177.88</v>
      </c>
      <c r="X38" s="2">
        <v>16778.12</v>
      </c>
      <c r="Y38" s="3">
        <v>0.20416832364134971</v>
      </c>
      <c r="Z38" t="s">
        <v>1496</v>
      </c>
      <c r="AA38" t="s">
        <v>1498</v>
      </c>
      <c r="AB38" t="s">
        <v>1501</v>
      </c>
      <c r="AC38">
        <v>2</v>
      </c>
      <c r="AD38">
        <v>2024</v>
      </c>
      <c r="AE38" t="s">
        <v>2809</v>
      </c>
      <c r="AF38" t="s">
        <v>2821</v>
      </c>
      <c r="AG38" t="s">
        <v>2844</v>
      </c>
      <c r="AH38" t="s">
        <v>2848</v>
      </c>
      <c r="AI38">
        <v>1</v>
      </c>
    </row>
    <row r="39" spans="1:35" x14ac:dyDescent="0.3">
      <c r="A39" t="s">
        <v>51</v>
      </c>
      <c r="B39">
        <v>2</v>
      </c>
      <c r="C39" s="1">
        <v>45323</v>
      </c>
      <c r="D39" s="1">
        <v>45324</v>
      </c>
      <c r="E39" t="s">
        <v>977</v>
      </c>
      <c r="F39" t="s">
        <v>1809</v>
      </c>
      <c r="G39" t="s">
        <v>1363</v>
      </c>
      <c r="H39" t="s">
        <v>2722</v>
      </c>
      <c r="I39" t="s">
        <v>2742</v>
      </c>
      <c r="J39" t="s">
        <v>2769</v>
      </c>
      <c r="K39" t="s">
        <v>1484</v>
      </c>
      <c r="L39" t="s">
        <v>2778</v>
      </c>
      <c r="M39" t="s">
        <v>2555</v>
      </c>
      <c r="N39" t="s">
        <v>2578</v>
      </c>
      <c r="O39" t="s">
        <v>2603</v>
      </c>
      <c r="P39" t="s">
        <v>2559</v>
      </c>
      <c r="Q39" t="s">
        <v>2559</v>
      </c>
      <c r="R39" t="s">
        <v>2603</v>
      </c>
      <c r="S39" t="s">
        <v>2608</v>
      </c>
      <c r="T39">
        <v>1</v>
      </c>
      <c r="U39" s="2">
        <v>23041.22</v>
      </c>
      <c r="V39" s="3">
        <v>0.05</v>
      </c>
      <c r="W39" s="2">
        <v>21889.16</v>
      </c>
      <c r="X39" s="2">
        <v>3812.68</v>
      </c>
      <c r="Y39" s="3">
        <v>0.1741811928826871</v>
      </c>
      <c r="Z39" t="s">
        <v>1496</v>
      </c>
      <c r="AA39" t="s">
        <v>1500</v>
      </c>
      <c r="AB39" t="s">
        <v>1501</v>
      </c>
      <c r="AC39">
        <v>1</v>
      </c>
      <c r="AD39">
        <v>2024</v>
      </c>
      <c r="AE39" t="s">
        <v>2809</v>
      </c>
      <c r="AF39" t="s">
        <v>2821</v>
      </c>
      <c r="AG39" t="s">
        <v>2844</v>
      </c>
      <c r="AH39" t="s">
        <v>2848</v>
      </c>
      <c r="AI39">
        <v>1</v>
      </c>
    </row>
    <row r="40" spans="1:35" x14ac:dyDescent="0.3">
      <c r="A40" t="s">
        <v>52</v>
      </c>
      <c r="B40">
        <v>1</v>
      </c>
      <c r="C40" s="1">
        <v>45325</v>
      </c>
      <c r="D40" s="1">
        <v>45326</v>
      </c>
      <c r="E40" t="s">
        <v>997</v>
      </c>
      <c r="F40" t="s">
        <v>1703</v>
      </c>
      <c r="G40" t="s">
        <v>1341</v>
      </c>
      <c r="H40" t="s">
        <v>2678</v>
      </c>
      <c r="I40" t="s">
        <v>2739</v>
      </c>
      <c r="J40" t="s">
        <v>2758</v>
      </c>
      <c r="K40" t="s">
        <v>1486</v>
      </c>
      <c r="L40" t="s">
        <v>2776</v>
      </c>
      <c r="M40" t="s">
        <v>2556</v>
      </c>
      <c r="N40" t="s">
        <v>2574</v>
      </c>
      <c r="O40" t="s">
        <v>2602</v>
      </c>
      <c r="P40" t="s">
        <v>2551</v>
      </c>
      <c r="Q40" t="s">
        <v>2574</v>
      </c>
      <c r="R40" t="s">
        <v>2602</v>
      </c>
      <c r="S40" t="s">
        <v>2606</v>
      </c>
      <c r="T40">
        <v>2</v>
      </c>
      <c r="U40" s="2">
        <v>1648.45</v>
      </c>
      <c r="V40" s="3">
        <v>0</v>
      </c>
      <c r="W40" s="2">
        <v>3296.9</v>
      </c>
      <c r="X40" s="2">
        <v>988.66</v>
      </c>
      <c r="Y40" s="3">
        <v>0.29987564075343498</v>
      </c>
      <c r="Z40" t="s">
        <v>1495</v>
      </c>
      <c r="AA40" t="s">
        <v>1499</v>
      </c>
      <c r="AB40" t="s">
        <v>1501</v>
      </c>
      <c r="AC40">
        <v>1</v>
      </c>
      <c r="AD40">
        <v>2024</v>
      </c>
      <c r="AE40" t="s">
        <v>2809</v>
      </c>
      <c r="AF40" t="s">
        <v>2821</v>
      </c>
      <c r="AG40" t="s">
        <v>2844</v>
      </c>
      <c r="AH40" t="s">
        <v>2848</v>
      </c>
      <c r="AI40">
        <v>1</v>
      </c>
    </row>
    <row r="41" spans="1:35" x14ac:dyDescent="0.3">
      <c r="A41" t="s">
        <v>53</v>
      </c>
      <c r="B41">
        <v>1</v>
      </c>
      <c r="C41" s="1">
        <v>45326</v>
      </c>
      <c r="D41" s="1">
        <v>45326</v>
      </c>
      <c r="E41" t="s">
        <v>998</v>
      </c>
      <c r="F41" t="s">
        <v>1999</v>
      </c>
      <c r="G41" t="s">
        <v>1364</v>
      </c>
      <c r="H41" t="s">
        <v>2699</v>
      </c>
      <c r="I41" t="s">
        <v>2740</v>
      </c>
      <c r="J41" t="s">
        <v>2762</v>
      </c>
      <c r="K41" t="s">
        <v>1483</v>
      </c>
      <c r="L41" t="s">
        <v>2781</v>
      </c>
      <c r="M41" t="s">
        <v>2555</v>
      </c>
      <c r="N41" t="s">
        <v>2578</v>
      </c>
      <c r="O41" t="s">
        <v>2603</v>
      </c>
      <c r="P41" t="s">
        <v>2568</v>
      </c>
      <c r="Q41" t="s">
        <v>2586</v>
      </c>
      <c r="R41" t="s">
        <v>2603</v>
      </c>
      <c r="S41" t="s">
        <v>2606</v>
      </c>
      <c r="T41">
        <v>1</v>
      </c>
      <c r="U41" s="2">
        <v>590.01</v>
      </c>
      <c r="V41" s="3">
        <v>0</v>
      </c>
      <c r="W41" s="2">
        <v>590.01</v>
      </c>
      <c r="X41" s="2">
        <v>72.55</v>
      </c>
      <c r="Y41" s="3">
        <v>0.12296401755902441</v>
      </c>
      <c r="Z41" t="s">
        <v>1494</v>
      </c>
      <c r="AA41" t="s">
        <v>1498</v>
      </c>
      <c r="AB41" t="s">
        <v>1501</v>
      </c>
      <c r="AC41">
        <v>0</v>
      </c>
      <c r="AD41">
        <v>2024</v>
      </c>
      <c r="AE41" t="s">
        <v>2809</v>
      </c>
      <c r="AF41" t="s">
        <v>2821</v>
      </c>
      <c r="AG41" t="s">
        <v>2844</v>
      </c>
      <c r="AH41" t="s">
        <v>2848</v>
      </c>
      <c r="AI41">
        <v>1</v>
      </c>
    </row>
    <row r="42" spans="1:35" x14ac:dyDescent="0.3">
      <c r="A42" t="s">
        <v>54</v>
      </c>
      <c r="B42">
        <v>1</v>
      </c>
      <c r="C42" s="1">
        <v>45326</v>
      </c>
      <c r="D42" s="1">
        <v>45326</v>
      </c>
      <c r="E42" t="s">
        <v>999</v>
      </c>
      <c r="F42" t="s">
        <v>1840</v>
      </c>
      <c r="G42" t="s">
        <v>1359</v>
      </c>
      <c r="H42" t="s">
        <v>2663</v>
      </c>
      <c r="I42" t="s">
        <v>2739</v>
      </c>
      <c r="J42" t="s">
        <v>2755</v>
      </c>
      <c r="K42" t="s">
        <v>1482</v>
      </c>
      <c r="L42" t="s">
        <v>2783</v>
      </c>
      <c r="M42" t="s">
        <v>2567</v>
      </c>
      <c r="N42" t="s">
        <v>2585</v>
      </c>
      <c r="O42" t="s">
        <v>2604</v>
      </c>
      <c r="P42" t="s">
        <v>2560</v>
      </c>
      <c r="Q42" t="s">
        <v>2579</v>
      </c>
      <c r="R42" t="s">
        <v>2604</v>
      </c>
      <c r="S42" t="s">
        <v>2606</v>
      </c>
      <c r="T42">
        <v>1</v>
      </c>
      <c r="U42" s="2">
        <v>5570.41</v>
      </c>
      <c r="V42" s="3">
        <v>0</v>
      </c>
      <c r="W42" s="2">
        <v>5570.41</v>
      </c>
      <c r="X42" s="2">
        <v>1420.3</v>
      </c>
      <c r="Y42" s="3">
        <v>0.25497225518408878</v>
      </c>
      <c r="Z42" t="s">
        <v>1495</v>
      </c>
      <c r="AA42" t="s">
        <v>1498</v>
      </c>
      <c r="AB42" t="s">
        <v>1501</v>
      </c>
      <c r="AC42">
        <v>0</v>
      </c>
      <c r="AD42">
        <v>2024</v>
      </c>
      <c r="AE42" t="s">
        <v>2809</v>
      </c>
      <c r="AF42" t="s">
        <v>2821</v>
      </c>
      <c r="AG42" t="s">
        <v>2844</v>
      </c>
      <c r="AH42" t="s">
        <v>2848</v>
      </c>
      <c r="AI42">
        <v>1</v>
      </c>
    </row>
    <row r="43" spans="1:35" x14ac:dyDescent="0.3">
      <c r="A43" t="s">
        <v>55</v>
      </c>
      <c r="B43">
        <v>2</v>
      </c>
      <c r="C43" s="1">
        <v>45330</v>
      </c>
      <c r="D43" s="1">
        <v>45333</v>
      </c>
      <c r="E43" t="s">
        <v>1000</v>
      </c>
      <c r="F43" t="s">
        <v>1730</v>
      </c>
      <c r="G43" t="s">
        <v>1351</v>
      </c>
      <c r="H43" t="s">
        <v>2677</v>
      </c>
      <c r="I43" t="s">
        <v>2739</v>
      </c>
      <c r="J43" t="s">
        <v>2758</v>
      </c>
      <c r="K43" t="s">
        <v>1480</v>
      </c>
      <c r="L43" t="s">
        <v>2789</v>
      </c>
      <c r="M43" t="s">
        <v>2571</v>
      </c>
      <c r="N43" t="s">
        <v>2590</v>
      </c>
      <c r="O43" t="s">
        <v>2605</v>
      </c>
      <c r="R43" t="s">
        <v>2790</v>
      </c>
      <c r="S43" t="s">
        <v>2606</v>
      </c>
      <c r="T43">
        <v>1</v>
      </c>
      <c r="U43" s="2">
        <v>5049.71</v>
      </c>
      <c r="V43" s="3">
        <v>0</v>
      </c>
      <c r="W43" s="2">
        <v>5049.71</v>
      </c>
      <c r="X43" s="2">
        <v>1314.91</v>
      </c>
      <c r="Y43" s="3">
        <v>0.26039317109299348</v>
      </c>
      <c r="Z43" t="s">
        <v>1495</v>
      </c>
      <c r="AA43" t="s">
        <v>1498</v>
      </c>
      <c r="AB43" t="s">
        <v>1501</v>
      </c>
      <c r="AC43">
        <v>3</v>
      </c>
      <c r="AD43">
        <v>2024</v>
      </c>
      <c r="AE43" t="s">
        <v>2809</v>
      </c>
      <c r="AF43" t="s">
        <v>2821</v>
      </c>
      <c r="AG43" t="s">
        <v>2844</v>
      </c>
      <c r="AH43" t="s">
        <v>2848</v>
      </c>
      <c r="AI43">
        <v>1</v>
      </c>
    </row>
    <row r="44" spans="1:35" x14ac:dyDescent="0.3">
      <c r="A44" t="s">
        <v>56</v>
      </c>
      <c r="B44">
        <v>1</v>
      </c>
      <c r="C44" s="1">
        <v>45330</v>
      </c>
      <c r="D44" s="1">
        <v>45333</v>
      </c>
      <c r="E44" t="s">
        <v>1001</v>
      </c>
      <c r="F44" t="s">
        <v>1873</v>
      </c>
      <c r="G44" t="s">
        <v>1365</v>
      </c>
      <c r="H44" t="s">
        <v>2709</v>
      </c>
      <c r="I44" t="s">
        <v>2741</v>
      </c>
      <c r="J44" t="s">
        <v>2765</v>
      </c>
      <c r="K44" t="s">
        <v>1480</v>
      </c>
      <c r="L44" t="s">
        <v>2789</v>
      </c>
      <c r="M44" t="s">
        <v>2553</v>
      </c>
      <c r="N44" t="s">
        <v>2576</v>
      </c>
      <c r="O44" t="s">
        <v>2602</v>
      </c>
      <c r="R44" t="s">
        <v>2790</v>
      </c>
      <c r="S44" t="s">
        <v>2606</v>
      </c>
      <c r="T44">
        <v>3</v>
      </c>
      <c r="U44" s="2">
        <v>1749.13</v>
      </c>
      <c r="V44" s="3">
        <v>0.05</v>
      </c>
      <c r="W44" s="2">
        <v>4985.0200000000004</v>
      </c>
      <c r="X44" s="2">
        <v>1666.54</v>
      </c>
      <c r="Y44" s="3">
        <v>0.33430959153624262</v>
      </c>
      <c r="Z44" t="s">
        <v>1493</v>
      </c>
      <c r="AA44" t="s">
        <v>1500</v>
      </c>
      <c r="AB44" t="s">
        <v>1501</v>
      </c>
      <c r="AC44">
        <v>3</v>
      </c>
      <c r="AD44">
        <v>2024</v>
      </c>
      <c r="AE44" t="s">
        <v>2809</v>
      </c>
      <c r="AF44" t="s">
        <v>2821</v>
      </c>
      <c r="AG44" t="s">
        <v>2844</v>
      </c>
      <c r="AH44" t="s">
        <v>2848</v>
      </c>
      <c r="AI44">
        <v>1</v>
      </c>
    </row>
    <row r="45" spans="1:35" x14ac:dyDescent="0.3">
      <c r="A45" t="s">
        <v>57</v>
      </c>
      <c r="B45">
        <v>1</v>
      </c>
      <c r="C45" s="1">
        <v>45331</v>
      </c>
      <c r="D45" s="1">
        <v>45332</v>
      </c>
      <c r="E45" t="s">
        <v>1002</v>
      </c>
      <c r="F45" t="s">
        <v>1654</v>
      </c>
      <c r="G45" t="s">
        <v>1334</v>
      </c>
      <c r="H45" t="s">
        <v>2691</v>
      </c>
      <c r="I45" t="s">
        <v>2740</v>
      </c>
      <c r="J45" t="s">
        <v>2761</v>
      </c>
      <c r="K45" t="s">
        <v>1479</v>
      </c>
      <c r="L45" t="s">
        <v>2786</v>
      </c>
      <c r="M45" t="s">
        <v>2550</v>
      </c>
      <c r="N45" t="s">
        <v>2573</v>
      </c>
      <c r="O45" t="s">
        <v>2601</v>
      </c>
      <c r="P45" t="s">
        <v>2564</v>
      </c>
      <c r="Q45" t="s">
        <v>2582</v>
      </c>
      <c r="R45" t="s">
        <v>2601</v>
      </c>
      <c r="S45" t="s">
        <v>2607</v>
      </c>
      <c r="T45">
        <v>1</v>
      </c>
      <c r="U45" s="2">
        <v>1178.5899999999999</v>
      </c>
      <c r="V45" s="3">
        <v>0</v>
      </c>
      <c r="W45" s="2">
        <v>1178.5899999999999</v>
      </c>
      <c r="X45" s="2">
        <v>152.63999999999999</v>
      </c>
      <c r="Y45" s="3">
        <v>0.12951068649827341</v>
      </c>
      <c r="Z45" t="s">
        <v>1495</v>
      </c>
      <c r="AA45" t="s">
        <v>1499</v>
      </c>
      <c r="AB45" t="s">
        <v>1502</v>
      </c>
      <c r="AC45">
        <v>1</v>
      </c>
      <c r="AD45">
        <v>2024</v>
      </c>
      <c r="AE45" t="s">
        <v>2809</v>
      </c>
      <c r="AF45" t="s">
        <v>2821</v>
      </c>
      <c r="AG45" t="s">
        <v>2844</v>
      </c>
      <c r="AH45" t="s">
        <v>2848</v>
      </c>
      <c r="AI45">
        <v>1</v>
      </c>
    </row>
    <row r="46" spans="1:35" x14ac:dyDescent="0.3">
      <c r="A46" t="s">
        <v>57</v>
      </c>
      <c r="B46">
        <v>3</v>
      </c>
      <c r="C46" s="1">
        <v>45331</v>
      </c>
      <c r="D46" s="1">
        <v>45332</v>
      </c>
      <c r="E46" t="s">
        <v>1002</v>
      </c>
      <c r="F46" t="s">
        <v>1654</v>
      </c>
      <c r="G46" t="s">
        <v>1366</v>
      </c>
      <c r="H46" t="s">
        <v>2694</v>
      </c>
      <c r="I46" t="s">
        <v>2740</v>
      </c>
      <c r="J46" t="s">
        <v>2762</v>
      </c>
      <c r="K46" t="s">
        <v>1479</v>
      </c>
      <c r="L46" t="s">
        <v>2786</v>
      </c>
      <c r="M46" t="s">
        <v>2550</v>
      </c>
      <c r="N46" t="s">
        <v>2573</v>
      </c>
      <c r="O46" t="s">
        <v>2601</v>
      </c>
      <c r="P46" t="s">
        <v>2564</v>
      </c>
      <c r="Q46" t="s">
        <v>2582</v>
      </c>
      <c r="R46" t="s">
        <v>2601</v>
      </c>
      <c r="S46" t="s">
        <v>2607</v>
      </c>
      <c r="T46">
        <v>3</v>
      </c>
      <c r="U46" s="2">
        <v>1397.64</v>
      </c>
      <c r="V46" s="3">
        <v>0</v>
      </c>
      <c r="W46" s="2">
        <v>4192.92</v>
      </c>
      <c r="X46" s="2">
        <v>259.86</v>
      </c>
      <c r="Y46" s="3">
        <v>6.1975902235196473E-2</v>
      </c>
      <c r="Z46" t="s">
        <v>1495</v>
      </c>
      <c r="AA46" t="s">
        <v>1499</v>
      </c>
      <c r="AB46" t="s">
        <v>1502</v>
      </c>
      <c r="AC46">
        <v>1</v>
      </c>
      <c r="AD46">
        <v>2024</v>
      </c>
      <c r="AE46" t="s">
        <v>2809</v>
      </c>
      <c r="AF46" t="s">
        <v>2821</v>
      </c>
      <c r="AG46" t="s">
        <v>2844</v>
      </c>
      <c r="AH46" t="s">
        <v>2848</v>
      </c>
      <c r="AI46">
        <v>0</v>
      </c>
    </row>
    <row r="47" spans="1:35" x14ac:dyDescent="0.3">
      <c r="A47" t="s">
        <v>58</v>
      </c>
      <c r="B47">
        <v>1</v>
      </c>
      <c r="C47" s="1">
        <v>45331</v>
      </c>
      <c r="D47" s="1">
        <v>45331</v>
      </c>
      <c r="E47" t="s">
        <v>1003</v>
      </c>
      <c r="F47" t="s">
        <v>1792</v>
      </c>
      <c r="G47" t="s">
        <v>1367</v>
      </c>
      <c r="H47" t="s">
        <v>2657</v>
      </c>
      <c r="I47" t="s">
        <v>2738</v>
      </c>
      <c r="J47" t="s">
        <v>2754</v>
      </c>
      <c r="K47" t="s">
        <v>1486</v>
      </c>
      <c r="L47" t="s">
        <v>2776</v>
      </c>
      <c r="M47" t="s">
        <v>2553</v>
      </c>
      <c r="N47" t="s">
        <v>2576</v>
      </c>
      <c r="O47" t="s">
        <v>2602</v>
      </c>
      <c r="P47" t="s">
        <v>2551</v>
      </c>
      <c r="Q47" t="s">
        <v>2574</v>
      </c>
      <c r="R47" t="s">
        <v>2602</v>
      </c>
      <c r="S47" t="s">
        <v>2606</v>
      </c>
      <c r="T47">
        <v>1</v>
      </c>
      <c r="U47" s="2">
        <v>27891.1</v>
      </c>
      <c r="V47" s="3">
        <v>0</v>
      </c>
      <c r="W47" s="2">
        <v>27891.1</v>
      </c>
      <c r="X47" s="2">
        <v>7842.54</v>
      </c>
      <c r="Y47" s="3">
        <v>0.28118432044630731</v>
      </c>
      <c r="Z47" t="s">
        <v>1494</v>
      </c>
      <c r="AA47" t="s">
        <v>1498</v>
      </c>
      <c r="AB47" t="s">
        <v>1501</v>
      </c>
      <c r="AC47">
        <v>0</v>
      </c>
      <c r="AD47">
        <v>2024</v>
      </c>
      <c r="AE47" t="s">
        <v>2809</v>
      </c>
      <c r="AF47" t="s">
        <v>2821</v>
      </c>
      <c r="AG47" t="s">
        <v>2844</v>
      </c>
      <c r="AH47" t="s">
        <v>2848</v>
      </c>
      <c r="AI47">
        <v>1</v>
      </c>
    </row>
    <row r="48" spans="1:35" x14ac:dyDescent="0.3">
      <c r="A48" t="s">
        <v>59</v>
      </c>
      <c r="B48">
        <v>1</v>
      </c>
      <c r="C48" s="1">
        <v>45332</v>
      </c>
      <c r="D48" s="1">
        <v>45334</v>
      </c>
      <c r="E48" t="s">
        <v>1004</v>
      </c>
      <c r="F48" t="s">
        <v>1699</v>
      </c>
      <c r="G48" t="s">
        <v>1368</v>
      </c>
      <c r="H48" t="s">
        <v>2736</v>
      </c>
      <c r="I48" t="s">
        <v>2742</v>
      </c>
      <c r="J48" t="s">
        <v>2772</v>
      </c>
      <c r="K48" t="s">
        <v>1480</v>
      </c>
      <c r="L48" t="s">
        <v>2789</v>
      </c>
      <c r="M48" t="s">
        <v>2557</v>
      </c>
      <c r="N48" t="s">
        <v>2576</v>
      </c>
      <c r="O48" t="s">
        <v>2602</v>
      </c>
      <c r="R48" t="s">
        <v>2790</v>
      </c>
      <c r="S48" t="s">
        <v>2606</v>
      </c>
      <c r="T48">
        <v>1</v>
      </c>
      <c r="U48" s="2">
        <v>1640.09</v>
      </c>
      <c r="V48" s="3">
        <v>0</v>
      </c>
      <c r="W48" s="2">
        <v>1640.09</v>
      </c>
      <c r="X48" s="2">
        <v>324.18</v>
      </c>
      <c r="Y48" s="3">
        <v>0.1976598845185325</v>
      </c>
      <c r="Z48" t="s">
        <v>1493</v>
      </c>
      <c r="AA48" t="s">
        <v>1499</v>
      </c>
      <c r="AB48" t="s">
        <v>1501</v>
      </c>
      <c r="AC48">
        <v>2</v>
      </c>
      <c r="AD48">
        <v>2024</v>
      </c>
      <c r="AE48" t="s">
        <v>2809</v>
      </c>
      <c r="AF48" t="s">
        <v>2821</v>
      </c>
      <c r="AG48" t="s">
        <v>2844</v>
      </c>
      <c r="AH48" t="s">
        <v>2848</v>
      </c>
      <c r="AI48">
        <v>1</v>
      </c>
    </row>
    <row r="49" spans="1:35" x14ac:dyDescent="0.3">
      <c r="A49" t="s">
        <v>60</v>
      </c>
      <c r="B49">
        <v>1</v>
      </c>
      <c r="C49" s="1">
        <v>45333</v>
      </c>
      <c r="D49" s="1">
        <v>45336</v>
      </c>
      <c r="E49" t="s">
        <v>1005</v>
      </c>
      <c r="F49" t="s">
        <v>1696</v>
      </c>
      <c r="G49" t="s">
        <v>1369</v>
      </c>
      <c r="H49" t="s">
        <v>2725</v>
      </c>
      <c r="I49" t="s">
        <v>2742</v>
      </c>
      <c r="J49" t="s">
        <v>2770</v>
      </c>
      <c r="K49" t="s">
        <v>1480</v>
      </c>
      <c r="L49" t="s">
        <v>2789</v>
      </c>
      <c r="M49" t="s">
        <v>2560</v>
      </c>
      <c r="N49" t="s">
        <v>2579</v>
      </c>
      <c r="O49" t="s">
        <v>2604</v>
      </c>
      <c r="R49" t="s">
        <v>2790</v>
      </c>
      <c r="S49" t="s">
        <v>2608</v>
      </c>
      <c r="T49">
        <v>3</v>
      </c>
      <c r="U49" s="2">
        <v>23968.04</v>
      </c>
      <c r="V49" s="3">
        <v>0</v>
      </c>
      <c r="W49" s="2">
        <v>71904.12</v>
      </c>
      <c r="X49" s="2">
        <v>20090.759999999998</v>
      </c>
      <c r="Y49" s="3">
        <v>0.27941041486913398</v>
      </c>
      <c r="Z49" t="s">
        <v>1495</v>
      </c>
      <c r="AA49" t="s">
        <v>1498</v>
      </c>
      <c r="AB49" t="s">
        <v>1501</v>
      </c>
      <c r="AC49">
        <v>3</v>
      </c>
      <c r="AD49">
        <v>2024</v>
      </c>
      <c r="AE49" t="s">
        <v>2809</v>
      </c>
      <c r="AF49" t="s">
        <v>2821</v>
      </c>
      <c r="AG49" t="s">
        <v>2844</v>
      </c>
      <c r="AH49" t="s">
        <v>2848</v>
      </c>
      <c r="AI49">
        <v>1</v>
      </c>
    </row>
    <row r="50" spans="1:35" x14ac:dyDescent="0.3">
      <c r="A50" t="s">
        <v>61</v>
      </c>
      <c r="B50">
        <v>1</v>
      </c>
      <c r="C50" s="1">
        <v>45335</v>
      </c>
      <c r="D50" s="1">
        <v>45337</v>
      </c>
      <c r="E50" t="s">
        <v>1006</v>
      </c>
      <c r="F50" t="s">
        <v>1839</v>
      </c>
      <c r="G50" t="s">
        <v>1370</v>
      </c>
      <c r="H50" t="s">
        <v>2633</v>
      </c>
      <c r="I50" t="s">
        <v>2737</v>
      </c>
      <c r="J50" t="s">
        <v>2747</v>
      </c>
      <c r="K50" t="s">
        <v>1480</v>
      </c>
      <c r="L50" t="s">
        <v>2789</v>
      </c>
      <c r="M50" t="s">
        <v>2571</v>
      </c>
      <c r="N50" t="s">
        <v>2590</v>
      </c>
      <c r="O50" t="s">
        <v>2605</v>
      </c>
      <c r="R50" t="s">
        <v>2790</v>
      </c>
      <c r="S50" t="s">
        <v>2608</v>
      </c>
      <c r="T50">
        <v>1</v>
      </c>
      <c r="U50" s="2">
        <v>19480.22</v>
      </c>
      <c r="V50" s="3">
        <v>0</v>
      </c>
      <c r="W50" s="2">
        <v>19480.22</v>
      </c>
      <c r="X50" s="2">
        <v>1671.99</v>
      </c>
      <c r="Y50" s="3">
        <v>8.5830139495344501E-2</v>
      </c>
      <c r="Z50" t="s">
        <v>1496</v>
      </c>
      <c r="AA50" t="s">
        <v>1498</v>
      </c>
      <c r="AB50" t="s">
        <v>1501</v>
      </c>
      <c r="AC50">
        <v>2</v>
      </c>
      <c r="AD50">
        <v>2024</v>
      </c>
      <c r="AE50" t="s">
        <v>2809</v>
      </c>
      <c r="AF50" t="s">
        <v>2821</v>
      </c>
      <c r="AG50" t="s">
        <v>2844</v>
      </c>
      <c r="AH50" t="s">
        <v>2848</v>
      </c>
      <c r="AI50">
        <v>1</v>
      </c>
    </row>
    <row r="51" spans="1:35" x14ac:dyDescent="0.3">
      <c r="A51" t="s">
        <v>62</v>
      </c>
      <c r="B51">
        <v>1</v>
      </c>
      <c r="C51" s="1">
        <v>45335</v>
      </c>
      <c r="D51" s="1">
        <v>45336</v>
      </c>
      <c r="E51" t="s">
        <v>1007</v>
      </c>
      <c r="F51" t="s">
        <v>1733</v>
      </c>
      <c r="G51" t="s">
        <v>1354</v>
      </c>
      <c r="H51" t="s">
        <v>2652</v>
      </c>
      <c r="I51" t="s">
        <v>2738</v>
      </c>
      <c r="J51" t="s">
        <v>2752</v>
      </c>
      <c r="K51" t="s">
        <v>1483</v>
      </c>
      <c r="L51" t="s">
        <v>2781</v>
      </c>
      <c r="M51" t="s">
        <v>2552</v>
      </c>
      <c r="N51" t="s">
        <v>2575</v>
      </c>
      <c r="O51" t="s">
        <v>2603</v>
      </c>
      <c r="P51" t="s">
        <v>2568</v>
      </c>
      <c r="Q51" t="s">
        <v>2586</v>
      </c>
      <c r="R51" t="s">
        <v>2603</v>
      </c>
      <c r="S51" t="s">
        <v>2607</v>
      </c>
      <c r="T51">
        <v>1</v>
      </c>
      <c r="U51" s="2">
        <v>45654.38</v>
      </c>
      <c r="V51" s="3">
        <v>0</v>
      </c>
      <c r="W51" s="2">
        <v>45654.38</v>
      </c>
      <c r="X51" s="2">
        <v>12954.5</v>
      </c>
      <c r="Y51" s="3">
        <v>0.28375152614053678</v>
      </c>
      <c r="Z51" t="s">
        <v>1496</v>
      </c>
      <c r="AA51" t="s">
        <v>1498</v>
      </c>
      <c r="AB51" t="s">
        <v>1501</v>
      </c>
      <c r="AC51">
        <v>1</v>
      </c>
      <c r="AD51">
        <v>2024</v>
      </c>
      <c r="AE51" t="s">
        <v>2809</v>
      </c>
      <c r="AF51" t="s">
        <v>2821</v>
      </c>
      <c r="AG51" t="s">
        <v>2844</v>
      </c>
      <c r="AH51" t="s">
        <v>2848</v>
      </c>
      <c r="AI51">
        <v>1</v>
      </c>
    </row>
    <row r="52" spans="1:35" x14ac:dyDescent="0.3">
      <c r="A52" t="s">
        <v>63</v>
      </c>
      <c r="B52">
        <v>2</v>
      </c>
      <c r="C52" s="1">
        <v>45335</v>
      </c>
      <c r="D52" s="1">
        <v>45336</v>
      </c>
      <c r="E52" t="s">
        <v>1008</v>
      </c>
      <c r="F52" t="s">
        <v>1884</v>
      </c>
      <c r="G52" t="s">
        <v>1371</v>
      </c>
      <c r="H52" t="s">
        <v>2671</v>
      </c>
      <c r="I52" t="s">
        <v>2739</v>
      </c>
      <c r="J52" t="s">
        <v>2756</v>
      </c>
      <c r="K52" t="s">
        <v>1480</v>
      </c>
      <c r="L52" t="s">
        <v>2789</v>
      </c>
      <c r="M52" t="s">
        <v>2564</v>
      </c>
      <c r="N52" t="s">
        <v>2582</v>
      </c>
      <c r="O52" t="s">
        <v>2601</v>
      </c>
      <c r="R52" t="s">
        <v>2790</v>
      </c>
      <c r="S52" t="s">
        <v>2606</v>
      </c>
      <c r="T52">
        <v>3</v>
      </c>
      <c r="U52" s="2">
        <v>5245.11</v>
      </c>
      <c r="V52" s="3">
        <v>0.1</v>
      </c>
      <c r="W52" s="2">
        <v>14161.8</v>
      </c>
      <c r="X52" s="2">
        <v>4258.32</v>
      </c>
      <c r="Y52" s="3">
        <v>0.30069059017921451</v>
      </c>
      <c r="Z52" t="s">
        <v>1494</v>
      </c>
      <c r="AA52" t="s">
        <v>1499</v>
      </c>
      <c r="AB52" t="s">
        <v>1501</v>
      </c>
      <c r="AC52">
        <v>1</v>
      </c>
      <c r="AD52">
        <v>2024</v>
      </c>
      <c r="AE52" t="s">
        <v>2809</v>
      </c>
      <c r="AF52" t="s">
        <v>2821</v>
      </c>
      <c r="AG52" t="s">
        <v>2844</v>
      </c>
      <c r="AH52" t="s">
        <v>2848</v>
      </c>
      <c r="AI52">
        <v>1</v>
      </c>
    </row>
    <row r="53" spans="1:35" x14ac:dyDescent="0.3">
      <c r="A53" t="s">
        <v>64</v>
      </c>
      <c r="B53">
        <v>1</v>
      </c>
      <c r="C53" s="1">
        <v>45335</v>
      </c>
      <c r="D53" s="1">
        <v>45336</v>
      </c>
      <c r="E53" t="s">
        <v>1009</v>
      </c>
      <c r="F53" t="s">
        <v>1819</v>
      </c>
      <c r="G53" t="s">
        <v>1329</v>
      </c>
      <c r="H53" t="s">
        <v>2659</v>
      </c>
      <c r="I53" t="s">
        <v>2739</v>
      </c>
      <c r="J53" t="s">
        <v>2759</v>
      </c>
      <c r="K53" t="s">
        <v>1486</v>
      </c>
      <c r="L53" t="s">
        <v>2776</v>
      </c>
      <c r="M53" t="s">
        <v>2556</v>
      </c>
      <c r="N53" t="s">
        <v>2574</v>
      </c>
      <c r="O53" t="s">
        <v>2602</v>
      </c>
      <c r="P53" t="s">
        <v>2551</v>
      </c>
      <c r="Q53" t="s">
        <v>2574</v>
      </c>
      <c r="R53" t="s">
        <v>2602</v>
      </c>
      <c r="S53" t="s">
        <v>2608</v>
      </c>
      <c r="T53">
        <v>1</v>
      </c>
      <c r="U53" s="2">
        <v>1065.95</v>
      </c>
      <c r="V53" s="3">
        <v>0.2</v>
      </c>
      <c r="W53" s="2">
        <v>852.76</v>
      </c>
      <c r="X53" s="2">
        <v>167.58</v>
      </c>
      <c r="Y53" s="3">
        <v>0.1965148459120972</v>
      </c>
      <c r="Z53" t="s">
        <v>1496</v>
      </c>
      <c r="AA53" t="s">
        <v>1498</v>
      </c>
      <c r="AB53" t="s">
        <v>1501</v>
      </c>
      <c r="AC53">
        <v>1</v>
      </c>
      <c r="AD53">
        <v>2024</v>
      </c>
      <c r="AE53" t="s">
        <v>2809</v>
      </c>
      <c r="AF53" t="s">
        <v>2821</v>
      </c>
      <c r="AG53" t="s">
        <v>2844</v>
      </c>
      <c r="AH53" t="s">
        <v>2848</v>
      </c>
      <c r="AI53">
        <v>1</v>
      </c>
    </row>
    <row r="54" spans="1:35" x14ac:dyDescent="0.3">
      <c r="A54" t="s">
        <v>65</v>
      </c>
      <c r="B54">
        <v>1</v>
      </c>
      <c r="C54" s="1">
        <v>45336</v>
      </c>
      <c r="E54" t="s">
        <v>1010</v>
      </c>
      <c r="F54" t="s">
        <v>1664</v>
      </c>
      <c r="G54" t="s">
        <v>1340</v>
      </c>
      <c r="H54" t="s">
        <v>2680</v>
      </c>
      <c r="I54" t="s">
        <v>2739</v>
      </c>
      <c r="J54" t="s">
        <v>2758</v>
      </c>
      <c r="K54" t="s">
        <v>1490</v>
      </c>
      <c r="L54" t="s">
        <v>2784</v>
      </c>
      <c r="M54" t="s">
        <v>2560</v>
      </c>
      <c r="N54" t="s">
        <v>2579</v>
      </c>
      <c r="O54" t="s">
        <v>2604</v>
      </c>
      <c r="P54" t="s">
        <v>2567</v>
      </c>
      <c r="Q54" t="s">
        <v>2585</v>
      </c>
      <c r="R54" t="s">
        <v>2604</v>
      </c>
      <c r="S54" t="s">
        <v>2606</v>
      </c>
      <c r="T54">
        <v>1</v>
      </c>
      <c r="U54" s="2">
        <v>5570.6</v>
      </c>
      <c r="V54" s="3">
        <v>0</v>
      </c>
      <c r="W54" s="2">
        <v>5570.6</v>
      </c>
      <c r="X54" s="2">
        <v>1503.07</v>
      </c>
      <c r="Y54" s="3">
        <v>0.26982192223458867</v>
      </c>
      <c r="Z54" t="s">
        <v>1494</v>
      </c>
      <c r="AA54" t="s">
        <v>1498</v>
      </c>
      <c r="AB54" t="s">
        <v>1503</v>
      </c>
      <c r="AD54">
        <v>2024</v>
      </c>
      <c r="AE54" t="s">
        <v>2809</v>
      </c>
      <c r="AF54" t="s">
        <v>2821</v>
      </c>
      <c r="AG54" t="s">
        <v>2844</v>
      </c>
      <c r="AH54" t="s">
        <v>2848</v>
      </c>
      <c r="AI54">
        <v>1</v>
      </c>
    </row>
    <row r="55" spans="1:35" x14ac:dyDescent="0.3">
      <c r="A55" t="s">
        <v>66</v>
      </c>
      <c r="B55">
        <v>1</v>
      </c>
      <c r="C55" s="1">
        <v>45337</v>
      </c>
      <c r="D55" s="1">
        <v>45338</v>
      </c>
      <c r="E55" t="s">
        <v>1011</v>
      </c>
      <c r="F55" t="s">
        <v>1737</v>
      </c>
      <c r="G55" t="s">
        <v>1372</v>
      </c>
      <c r="H55" t="s">
        <v>2732</v>
      </c>
      <c r="I55" t="s">
        <v>2742</v>
      </c>
      <c r="J55" t="s">
        <v>2772</v>
      </c>
      <c r="K55" t="s">
        <v>1487</v>
      </c>
      <c r="L55" t="s">
        <v>2785</v>
      </c>
      <c r="M55" t="s">
        <v>2572</v>
      </c>
      <c r="N55" t="s">
        <v>2582</v>
      </c>
      <c r="O55" t="s">
        <v>2601</v>
      </c>
      <c r="P55" t="s">
        <v>2550</v>
      </c>
      <c r="Q55" t="s">
        <v>2573</v>
      </c>
      <c r="R55" t="s">
        <v>2601</v>
      </c>
      <c r="S55" t="s">
        <v>2608</v>
      </c>
      <c r="T55">
        <v>1</v>
      </c>
      <c r="U55" s="2">
        <v>22695.17</v>
      </c>
      <c r="V55" s="3">
        <v>0</v>
      </c>
      <c r="W55" s="2">
        <v>22695.17</v>
      </c>
      <c r="X55" s="2">
        <v>3536.01</v>
      </c>
      <c r="Y55" s="3">
        <v>0.1558045169963477</v>
      </c>
      <c r="Z55" t="s">
        <v>1496</v>
      </c>
      <c r="AA55" t="s">
        <v>1500</v>
      </c>
      <c r="AB55" t="s">
        <v>1501</v>
      </c>
      <c r="AC55">
        <v>1</v>
      </c>
      <c r="AD55">
        <v>2024</v>
      </c>
      <c r="AE55" t="s">
        <v>2809</v>
      </c>
      <c r="AF55" t="s">
        <v>2821</v>
      </c>
      <c r="AG55" t="s">
        <v>2844</v>
      </c>
      <c r="AH55" t="s">
        <v>2848</v>
      </c>
      <c r="AI55">
        <v>1</v>
      </c>
    </row>
    <row r="56" spans="1:35" x14ac:dyDescent="0.3">
      <c r="A56" t="s">
        <v>67</v>
      </c>
      <c r="B56">
        <v>1</v>
      </c>
      <c r="C56" s="1">
        <v>45337</v>
      </c>
      <c r="D56" s="1">
        <v>45339</v>
      </c>
      <c r="E56" t="s">
        <v>1012</v>
      </c>
      <c r="F56" t="s">
        <v>1965</v>
      </c>
      <c r="G56" t="s">
        <v>1373</v>
      </c>
      <c r="H56" t="s">
        <v>2696</v>
      </c>
      <c r="I56" t="s">
        <v>2740</v>
      </c>
      <c r="J56" t="s">
        <v>2762</v>
      </c>
      <c r="K56" t="s">
        <v>1480</v>
      </c>
      <c r="L56" t="s">
        <v>2789</v>
      </c>
      <c r="M56" t="s">
        <v>2569</v>
      </c>
      <c r="N56" t="s">
        <v>2587</v>
      </c>
      <c r="O56" t="s">
        <v>2604</v>
      </c>
      <c r="R56" t="s">
        <v>2790</v>
      </c>
      <c r="S56" t="s">
        <v>2607</v>
      </c>
      <c r="T56">
        <v>1</v>
      </c>
      <c r="U56" s="2">
        <v>1404.85</v>
      </c>
      <c r="V56" s="3">
        <v>0.1</v>
      </c>
      <c r="W56" s="2">
        <v>1264.3699999999999</v>
      </c>
      <c r="X56" s="2">
        <v>-8.7200000000000006</v>
      </c>
      <c r="Y56" s="3">
        <v>-6.8967153602189236E-3</v>
      </c>
      <c r="Z56" t="s">
        <v>1494</v>
      </c>
      <c r="AA56" t="s">
        <v>1498</v>
      </c>
      <c r="AB56" t="s">
        <v>1501</v>
      </c>
      <c r="AC56">
        <v>2</v>
      </c>
      <c r="AD56">
        <v>2024</v>
      </c>
      <c r="AE56" t="s">
        <v>2809</v>
      </c>
      <c r="AF56" t="s">
        <v>2821</v>
      </c>
      <c r="AG56" t="s">
        <v>2844</v>
      </c>
      <c r="AH56" t="s">
        <v>2848</v>
      </c>
      <c r="AI56">
        <v>1</v>
      </c>
    </row>
    <row r="57" spans="1:35" x14ac:dyDescent="0.3">
      <c r="A57" t="s">
        <v>67</v>
      </c>
      <c r="B57">
        <v>2</v>
      </c>
      <c r="C57" s="1">
        <v>45337</v>
      </c>
      <c r="D57" s="1">
        <v>45339</v>
      </c>
      <c r="E57" t="s">
        <v>1012</v>
      </c>
      <c r="F57" t="s">
        <v>1965</v>
      </c>
      <c r="G57" t="s">
        <v>1374</v>
      </c>
      <c r="H57" t="s">
        <v>2707</v>
      </c>
      <c r="I57" t="s">
        <v>2741</v>
      </c>
      <c r="J57" t="s">
        <v>2765</v>
      </c>
      <c r="K57" t="s">
        <v>1480</v>
      </c>
      <c r="L57" t="s">
        <v>2789</v>
      </c>
      <c r="M57" t="s">
        <v>2569</v>
      </c>
      <c r="N57" t="s">
        <v>2587</v>
      </c>
      <c r="O57" t="s">
        <v>2604</v>
      </c>
      <c r="R57" t="s">
        <v>2790</v>
      </c>
      <c r="S57" t="s">
        <v>2607</v>
      </c>
      <c r="T57">
        <v>2</v>
      </c>
      <c r="U57" s="2">
        <v>1645.17</v>
      </c>
      <c r="V57" s="3">
        <v>0.1</v>
      </c>
      <c r="W57" s="2">
        <v>2961.31</v>
      </c>
      <c r="X57" s="2">
        <v>352.83</v>
      </c>
      <c r="Y57" s="3">
        <v>0.11914659390607529</v>
      </c>
      <c r="Z57" t="s">
        <v>1494</v>
      </c>
      <c r="AA57" t="s">
        <v>1498</v>
      </c>
      <c r="AB57" t="s">
        <v>1501</v>
      </c>
      <c r="AC57">
        <v>2</v>
      </c>
      <c r="AD57">
        <v>2024</v>
      </c>
      <c r="AE57" t="s">
        <v>2809</v>
      </c>
      <c r="AF57" t="s">
        <v>2821</v>
      </c>
      <c r="AG57" t="s">
        <v>2844</v>
      </c>
      <c r="AH57" t="s">
        <v>2848</v>
      </c>
      <c r="AI57">
        <v>0</v>
      </c>
    </row>
    <row r="58" spans="1:35" x14ac:dyDescent="0.3">
      <c r="A58" t="s">
        <v>68</v>
      </c>
      <c r="B58">
        <v>1</v>
      </c>
      <c r="C58" s="1">
        <v>45338</v>
      </c>
      <c r="D58" s="1">
        <v>45340</v>
      </c>
      <c r="E58" t="s">
        <v>1013</v>
      </c>
      <c r="F58" t="s">
        <v>1651</v>
      </c>
      <c r="G58" t="s">
        <v>1375</v>
      </c>
      <c r="H58" t="s">
        <v>2622</v>
      </c>
      <c r="I58" t="s">
        <v>2737</v>
      </c>
      <c r="J58" t="s">
        <v>2745</v>
      </c>
      <c r="K58" t="s">
        <v>1480</v>
      </c>
      <c r="L58" t="s">
        <v>2789</v>
      </c>
      <c r="M58" t="s">
        <v>2552</v>
      </c>
      <c r="N58" t="s">
        <v>2575</v>
      </c>
      <c r="O58" t="s">
        <v>2603</v>
      </c>
      <c r="R58" t="s">
        <v>2790</v>
      </c>
      <c r="S58" t="s">
        <v>2606</v>
      </c>
      <c r="T58">
        <v>1</v>
      </c>
      <c r="U58" s="2">
        <v>35534</v>
      </c>
      <c r="V58" s="3">
        <v>0</v>
      </c>
      <c r="W58" s="2">
        <v>35534</v>
      </c>
      <c r="X58" s="2">
        <v>5801.56</v>
      </c>
      <c r="Y58" s="3">
        <v>0.16326785613778361</v>
      </c>
      <c r="Z58" t="s">
        <v>1495</v>
      </c>
      <c r="AA58" t="s">
        <v>1498</v>
      </c>
      <c r="AB58" t="s">
        <v>1501</v>
      </c>
      <c r="AC58">
        <v>2</v>
      </c>
      <c r="AD58">
        <v>2024</v>
      </c>
      <c r="AE58" t="s">
        <v>2809</v>
      </c>
      <c r="AF58" t="s">
        <v>2821</v>
      </c>
      <c r="AG58" t="s">
        <v>2844</v>
      </c>
      <c r="AH58" t="s">
        <v>2848</v>
      </c>
      <c r="AI58">
        <v>1</v>
      </c>
    </row>
    <row r="59" spans="1:35" x14ac:dyDescent="0.3">
      <c r="A59" t="s">
        <v>69</v>
      </c>
      <c r="B59">
        <v>1</v>
      </c>
      <c r="C59" s="1">
        <v>45338</v>
      </c>
      <c r="D59" s="1">
        <v>45339</v>
      </c>
      <c r="E59" t="s">
        <v>1014</v>
      </c>
      <c r="F59" t="s">
        <v>1882</v>
      </c>
      <c r="G59" t="s">
        <v>1376</v>
      </c>
      <c r="H59" t="s">
        <v>2681</v>
      </c>
      <c r="I59" t="s">
        <v>2739</v>
      </c>
      <c r="J59" t="s">
        <v>2759</v>
      </c>
      <c r="K59" t="s">
        <v>1479</v>
      </c>
      <c r="L59" t="s">
        <v>2786</v>
      </c>
      <c r="M59" t="s">
        <v>2564</v>
      </c>
      <c r="N59" t="s">
        <v>2582</v>
      </c>
      <c r="O59" t="s">
        <v>2601</v>
      </c>
      <c r="P59" t="s">
        <v>2564</v>
      </c>
      <c r="Q59" t="s">
        <v>2582</v>
      </c>
      <c r="R59" t="s">
        <v>2601</v>
      </c>
      <c r="S59" t="s">
        <v>2606</v>
      </c>
      <c r="T59">
        <v>1</v>
      </c>
      <c r="U59" s="2">
        <v>5444.12</v>
      </c>
      <c r="V59" s="3">
        <v>0</v>
      </c>
      <c r="W59" s="2">
        <v>5444.12</v>
      </c>
      <c r="X59" s="2">
        <v>2427.61</v>
      </c>
      <c r="Y59" s="3">
        <v>0.44591412386207507</v>
      </c>
      <c r="Z59" t="s">
        <v>1496</v>
      </c>
      <c r="AA59" t="s">
        <v>1498</v>
      </c>
      <c r="AB59" t="s">
        <v>1501</v>
      </c>
      <c r="AC59">
        <v>1</v>
      </c>
      <c r="AD59">
        <v>2024</v>
      </c>
      <c r="AE59" t="s">
        <v>2809</v>
      </c>
      <c r="AF59" t="s">
        <v>2821</v>
      </c>
      <c r="AG59" t="s">
        <v>2844</v>
      </c>
      <c r="AH59" t="s">
        <v>2848</v>
      </c>
      <c r="AI59">
        <v>1</v>
      </c>
    </row>
    <row r="60" spans="1:35" x14ac:dyDescent="0.3">
      <c r="A60" t="s">
        <v>70</v>
      </c>
      <c r="B60">
        <v>1</v>
      </c>
      <c r="C60" s="1">
        <v>45339</v>
      </c>
      <c r="D60" s="1">
        <v>45342</v>
      </c>
      <c r="E60" t="s">
        <v>1015</v>
      </c>
      <c r="F60" t="s">
        <v>1692</v>
      </c>
      <c r="G60" t="s">
        <v>1341</v>
      </c>
      <c r="H60" t="s">
        <v>2678</v>
      </c>
      <c r="I60" t="s">
        <v>2739</v>
      </c>
      <c r="J60" t="s">
        <v>2758</v>
      </c>
      <c r="K60" t="s">
        <v>1480</v>
      </c>
      <c r="L60" t="s">
        <v>2789</v>
      </c>
      <c r="M60" t="s">
        <v>2565</v>
      </c>
      <c r="N60" t="s">
        <v>2583</v>
      </c>
      <c r="O60" t="s">
        <v>2604</v>
      </c>
      <c r="R60" t="s">
        <v>2790</v>
      </c>
      <c r="S60" t="s">
        <v>2607</v>
      </c>
      <c r="T60">
        <v>1</v>
      </c>
      <c r="U60" s="2">
        <v>1648.45</v>
      </c>
      <c r="V60" s="3">
        <v>0.15</v>
      </c>
      <c r="W60" s="2">
        <v>1401.18</v>
      </c>
      <c r="X60" s="2">
        <v>247.06</v>
      </c>
      <c r="Y60" s="3">
        <v>0.1763228136285131</v>
      </c>
      <c r="Z60" t="s">
        <v>1493</v>
      </c>
      <c r="AA60" t="s">
        <v>1499</v>
      </c>
      <c r="AB60" t="s">
        <v>1501</v>
      </c>
      <c r="AC60">
        <v>3</v>
      </c>
      <c r="AD60">
        <v>2024</v>
      </c>
      <c r="AE60" t="s">
        <v>2809</v>
      </c>
      <c r="AF60" t="s">
        <v>2821</v>
      </c>
      <c r="AG60" t="s">
        <v>2844</v>
      </c>
      <c r="AH60" t="s">
        <v>2848</v>
      </c>
      <c r="AI60">
        <v>1</v>
      </c>
    </row>
    <row r="61" spans="1:35" x14ac:dyDescent="0.3">
      <c r="A61" t="s">
        <v>71</v>
      </c>
      <c r="B61">
        <v>1</v>
      </c>
      <c r="C61" s="1">
        <v>45339</v>
      </c>
      <c r="D61" s="1">
        <v>45340</v>
      </c>
      <c r="E61" t="s">
        <v>1016</v>
      </c>
      <c r="F61" t="s">
        <v>1669</v>
      </c>
      <c r="G61" t="s">
        <v>1357</v>
      </c>
      <c r="H61" t="s">
        <v>2689</v>
      </c>
      <c r="I61" t="s">
        <v>2740</v>
      </c>
      <c r="J61" t="s">
        <v>2760</v>
      </c>
      <c r="K61" t="s">
        <v>1480</v>
      </c>
      <c r="L61" t="s">
        <v>2789</v>
      </c>
      <c r="M61" t="s">
        <v>2559</v>
      </c>
      <c r="N61" t="s">
        <v>2559</v>
      </c>
      <c r="O61" t="s">
        <v>2603</v>
      </c>
      <c r="R61" t="s">
        <v>2790</v>
      </c>
      <c r="S61" t="s">
        <v>2606</v>
      </c>
      <c r="T61">
        <v>1</v>
      </c>
      <c r="U61" s="2">
        <v>986.91</v>
      </c>
      <c r="V61" s="3">
        <v>0</v>
      </c>
      <c r="W61" s="2">
        <v>986.91</v>
      </c>
      <c r="X61" s="2">
        <v>128.72999999999999</v>
      </c>
      <c r="Y61" s="3">
        <v>0.13043742590509769</v>
      </c>
      <c r="Z61" t="s">
        <v>1495</v>
      </c>
      <c r="AA61" t="s">
        <v>1499</v>
      </c>
      <c r="AB61" t="s">
        <v>1501</v>
      </c>
      <c r="AC61">
        <v>1</v>
      </c>
      <c r="AD61">
        <v>2024</v>
      </c>
      <c r="AE61" t="s">
        <v>2809</v>
      </c>
      <c r="AF61" t="s">
        <v>2821</v>
      </c>
      <c r="AG61" t="s">
        <v>2844</v>
      </c>
      <c r="AH61" t="s">
        <v>2848</v>
      </c>
      <c r="AI61">
        <v>1</v>
      </c>
    </row>
    <row r="62" spans="1:35" x14ac:dyDescent="0.3">
      <c r="A62" t="s">
        <v>72</v>
      </c>
      <c r="B62">
        <v>1</v>
      </c>
      <c r="C62" s="1">
        <v>45341</v>
      </c>
      <c r="D62" s="1">
        <v>45344</v>
      </c>
      <c r="E62" t="s">
        <v>994</v>
      </c>
      <c r="F62" t="s">
        <v>1694</v>
      </c>
      <c r="G62" t="s">
        <v>1343</v>
      </c>
      <c r="H62" t="s">
        <v>2646</v>
      </c>
      <c r="I62" t="s">
        <v>2738</v>
      </c>
      <c r="J62" t="s">
        <v>2750</v>
      </c>
      <c r="K62" t="s">
        <v>1480</v>
      </c>
      <c r="L62" t="s">
        <v>2789</v>
      </c>
      <c r="M62" t="s">
        <v>2571</v>
      </c>
      <c r="N62" t="s">
        <v>2588</v>
      </c>
      <c r="O62" t="s">
        <v>2605</v>
      </c>
      <c r="R62" t="s">
        <v>2790</v>
      </c>
      <c r="S62" t="s">
        <v>2606</v>
      </c>
      <c r="T62">
        <v>1</v>
      </c>
      <c r="U62" s="2">
        <v>7138.26</v>
      </c>
      <c r="V62" s="3">
        <v>0.1</v>
      </c>
      <c r="W62" s="2">
        <v>6424.43</v>
      </c>
      <c r="X62" s="2">
        <v>950.14</v>
      </c>
      <c r="Y62" s="3">
        <v>0.1478948326933284</v>
      </c>
      <c r="Z62" t="s">
        <v>2807</v>
      </c>
      <c r="AA62" t="s">
        <v>1498</v>
      </c>
      <c r="AB62" t="s">
        <v>1501</v>
      </c>
      <c r="AC62">
        <v>3</v>
      </c>
      <c r="AD62">
        <v>2024</v>
      </c>
      <c r="AE62" t="s">
        <v>2809</v>
      </c>
      <c r="AF62" t="s">
        <v>2821</v>
      </c>
      <c r="AG62" t="s">
        <v>2844</v>
      </c>
      <c r="AH62" t="s">
        <v>2848</v>
      </c>
      <c r="AI62">
        <v>1</v>
      </c>
    </row>
    <row r="63" spans="1:35" x14ac:dyDescent="0.3">
      <c r="A63" t="s">
        <v>73</v>
      </c>
      <c r="B63">
        <v>1</v>
      </c>
      <c r="C63" s="1">
        <v>45341</v>
      </c>
      <c r="E63" t="s">
        <v>1017</v>
      </c>
      <c r="F63" t="s">
        <v>1898</v>
      </c>
      <c r="G63" t="s">
        <v>1358</v>
      </c>
      <c r="H63" t="s">
        <v>2636</v>
      </c>
      <c r="I63" t="s">
        <v>2737</v>
      </c>
      <c r="J63" t="s">
        <v>2747</v>
      </c>
      <c r="K63" t="s">
        <v>1481</v>
      </c>
      <c r="L63" t="s">
        <v>2777</v>
      </c>
      <c r="M63" t="s">
        <v>2551</v>
      </c>
      <c r="N63" t="s">
        <v>2574</v>
      </c>
      <c r="O63" t="s">
        <v>2602</v>
      </c>
      <c r="P63" t="s">
        <v>2557</v>
      </c>
      <c r="Q63" t="s">
        <v>2576</v>
      </c>
      <c r="R63" t="s">
        <v>2602</v>
      </c>
      <c r="S63" t="s">
        <v>2606</v>
      </c>
      <c r="T63">
        <v>2</v>
      </c>
      <c r="U63" s="2">
        <v>37487.300000000003</v>
      </c>
      <c r="V63" s="3">
        <v>0</v>
      </c>
      <c r="W63" s="2">
        <v>74974.600000000006</v>
      </c>
      <c r="X63" s="2">
        <v>7207.1</v>
      </c>
      <c r="Y63" s="3">
        <v>9.6127221752433489E-2</v>
      </c>
      <c r="Z63" t="s">
        <v>1496</v>
      </c>
      <c r="AA63" t="s">
        <v>1500</v>
      </c>
      <c r="AB63" t="s">
        <v>1503</v>
      </c>
      <c r="AD63">
        <v>2024</v>
      </c>
      <c r="AE63" t="s">
        <v>2809</v>
      </c>
      <c r="AF63" t="s">
        <v>2821</v>
      </c>
      <c r="AG63" t="s">
        <v>2844</v>
      </c>
      <c r="AH63" t="s">
        <v>2848</v>
      </c>
      <c r="AI63">
        <v>1</v>
      </c>
    </row>
    <row r="64" spans="1:35" x14ac:dyDescent="0.3">
      <c r="A64" t="s">
        <v>74</v>
      </c>
      <c r="B64">
        <v>1</v>
      </c>
      <c r="C64" s="1">
        <v>45342</v>
      </c>
      <c r="D64" s="1">
        <v>45343</v>
      </c>
      <c r="E64" t="s">
        <v>970</v>
      </c>
      <c r="F64" t="s">
        <v>1904</v>
      </c>
      <c r="G64" t="s">
        <v>1377</v>
      </c>
      <c r="H64" t="s">
        <v>2652</v>
      </c>
      <c r="I64" t="s">
        <v>2738</v>
      </c>
      <c r="J64" t="s">
        <v>2752</v>
      </c>
      <c r="K64" t="s">
        <v>1481</v>
      </c>
      <c r="L64" t="s">
        <v>2777</v>
      </c>
      <c r="M64" t="s">
        <v>2551</v>
      </c>
      <c r="N64" t="s">
        <v>2592</v>
      </c>
      <c r="O64" t="s">
        <v>2602</v>
      </c>
      <c r="P64" t="s">
        <v>2557</v>
      </c>
      <c r="Q64" t="s">
        <v>2576</v>
      </c>
      <c r="R64" t="s">
        <v>2602</v>
      </c>
      <c r="S64" t="s">
        <v>2606</v>
      </c>
      <c r="T64">
        <v>3</v>
      </c>
      <c r="U64" s="2">
        <v>43870.05</v>
      </c>
      <c r="V64" s="3">
        <v>0</v>
      </c>
      <c r="W64" s="2">
        <v>131610.15</v>
      </c>
      <c r="X64" s="2">
        <v>25484.67</v>
      </c>
      <c r="Y64" s="3">
        <v>0.1936375727859895</v>
      </c>
      <c r="Z64" t="s">
        <v>1497</v>
      </c>
      <c r="AA64" t="s">
        <v>1498</v>
      </c>
      <c r="AB64" t="s">
        <v>1501</v>
      </c>
      <c r="AC64">
        <v>1</v>
      </c>
      <c r="AD64">
        <v>2024</v>
      </c>
      <c r="AE64" t="s">
        <v>2809</v>
      </c>
      <c r="AF64" t="s">
        <v>2821</v>
      </c>
      <c r="AG64" t="s">
        <v>2844</v>
      </c>
      <c r="AH64" t="s">
        <v>2848</v>
      </c>
      <c r="AI64">
        <v>1</v>
      </c>
    </row>
    <row r="65" spans="1:35" x14ac:dyDescent="0.3">
      <c r="A65" t="s">
        <v>75</v>
      </c>
      <c r="B65">
        <v>1</v>
      </c>
      <c r="C65" s="1">
        <v>45343</v>
      </c>
      <c r="D65" s="1">
        <v>45344</v>
      </c>
      <c r="E65" t="s">
        <v>1018</v>
      </c>
      <c r="F65" t="s">
        <v>1833</v>
      </c>
      <c r="G65" t="s">
        <v>1378</v>
      </c>
      <c r="H65" t="s">
        <v>2704</v>
      </c>
      <c r="I65" t="s">
        <v>2740</v>
      </c>
      <c r="J65" t="s">
        <v>2764</v>
      </c>
      <c r="K65" t="s">
        <v>1486</v>
      </c>
      <c r="L65" t="s">
        <v>2776</v>
      </c>
      <c r="M65" t="s">
        <v>2553</v>
      </c>
      <c r="N65" t="s">
        <v>2576</v>
      </c>
      <c r="O65" t="s">
        <v>2602</v>
      </c>
      <c r="P65" t="s">
        <v>2551</v>
      </c>
      <c r="Q65" t="s">
        <v>2574</v>
      </c>
      <c r="R65" t="s">
        <v>2602</v>
      </c>
      <c r="S65" t="s">
        <v>2606</v>
      </c>
      <c r="T65">
        <v>1</v>
      </c>
      <c r="U65" s="2">
        <v>1378.78</v>
      </c>
      <c r="V65" s="3">
        <v>0.15</v>
      </c>
      <c r="W65" s="2">
        <v>1171.96</v>
      </c>
      <c r="X65" s="2">
        <v>-30.16</v>
      </c>
      <c r="Y65" s="3">
        <v>-2.5734666712174479E-2</v>
      </c>
      <c r="Z65" t="s">
        <v>1494</v>
      </c>
      <c r="AA65" t="s">
        <v>1498</v>
      </c>
      <c r="AB65" t="s">
        <v>1501</v>
      </c>
      <c r="AC65">
        <v>1</v>
      </c>
      <c r="AD65">
        <v>2024</v>
      </c>
      <c r="AE65" t="s">
        <v>2809</v>
      </c>
      <c r="AF65" t="s">
        <v>2821</v>
      </c>
      <c r="AG65" t="s">
        <v>2844</v>
      </c>
      <c r="AH65" t="s">
        <v>2848</v>
      </c>
      <c r="AI65">
        <v>1</v>
      </c>
    </row>
    <row r="66" spans="1:35" x14ac:dyDescent="0.3">
      <c r="A66" t="s">
        <v>76</v>
      </c>
      <c r="B66">
        <v>1</v>
      </c>
      <c r="C66" s="1">
        <v>45344</v>
      </c>
      <c r="D66" s="1">
        <v>45347</v>
      </c>
      <c r="E66" t="s">
        <v>1019</v>
      </c>
      <c r="F66" t="s">
        <v>1799</v>
      </c>
      <c r="G66" t="s">
        <v>1379</v>
      </c>
      <c r="H66" t="s">
        <v>2729</v>
      </c>
      <c r="I66" t="s">
        <v>2742</v>
      </c>
      <c r="J66" t="s">
        <v>2771</v>
      </c>
      <c r="K66" t="s">
        <v>1480</v>
      </c>
      <c r="L66" t="s">
        <v>2789</v>
      </c>
      <c r="M66" t="s">
        <v>2569</v>
      </c>
      <c r="N66" t="s">
        <v>2587</v>
      </c>
      <c r="O66" t="s">
        <v>2604</v>
      </c>
      <c r="R66" t="s">
        <v>2790</v>
      </c>
      <c r="S66" t="s">
        <v>2607</v>
      </c>
      <c r="T66">
        <v>1</v>
      </c>
      <c r="U66" s="2">
        <v>20939.349999999999</v>
      </c>
      <c r="V66" s="3">
        <v>0.05</v>
      </c>
      <c r="W66" s="2">
        <v>19892.38</v>
      </c>
      <c r="X66" s="2">
        <v>4786.47</v>
      </c>
      <c r="Y66" s="3">
        <v>0.2406182668941575</v>
      </c>
      <c r="Z66" t="s">
        <v>1496</v>
      </c>
      <c r="AA66" t="s">
        <v>1499</v>
      </c>
      <c r="AB66" t="s">
        <v>1501</v>
      </c>
      <c r="AC66">
        <v>3</v>
      </c>
      <c r="AD66">
        <v>2024</v>
      </c>
      <c r="AE66" t="s">
        <v>2809</v>
      </c>
      <c r="AF66" t="s">
        <v>2821</v>
      </c>
      <c r="AG66" t="s">
        <v>2844</v>
      </c>
      <c r="AH66" t="s">
        <v>2848</v>
      </c>
      <c r="AI66">
        <v>1</v>
      </c>
    </row>
    <row r="67" spans="1:35" x14ac:dyDescent="0.3">
      <c r="A67" t="s">
        <v>77</v>
      </c>
      <c r="B67">
        <v>1</v>
      </c>
      <c r="C67" s="1">
        <v>45344</v>
      </c>
      <c r="D67" s="1">
        <v>45346</v>
      </c>
      <c r="E67" t="s">
        <v>1008</v>
      </c>
      <c r="F67" t="s">
        <v>1884</v>
      </c>
      <c r="G67" t="s">
        <v>1380</v>
      </c>
      <c r="H67" t="s">
        <v>2701</v>
      </c>
      <c r="I67" t="s">
        <v>2740</v>
      </c>
      <c r="J67" t="s">
        <v>2764</v>
      </c>
      <c r="K67" t="s">
        <v>1480</v>
      </c>
      <c r="L67" t="s">
        <v>2789</v>
      </c>
      <c r="M67" t="s">
        <v>2564</v>
      </c>
      <c r="N67" t="s">
        <v>2582</v>
      </c>
      <c r="O67" t="s">
        <v>2601</v>
      </c>
      <c r="R67" t="s">
        <v>2790</v>
      </c>
      <c r="S67" t="s">
        <v>2606</v>
      </c>
      <c r="T67">
        <v>1</v>
      </c>
      <c r="U67" s="2">
        <v>694.66</v>
      </c>
      <c r="V67" s="3">
        <v>0.15</v>
      </c>
      <c r="W67" s="2">
        <v>590.46</v>
      </c>
      <c r="X67" s="2">
        <v>-12.13</v>
      </c>
      <c r="Y67" s="3">
        <v>-2.054330521965925E-2</v>
      </c>
      <c r="Z67" t="s">
        <v>1497</v>
      </c>
      <c r="AA67" t="s">
        <v>1498</v>
      </c>
      <c r="AB67" t="s">
        <v>1501</v>
      </c>
      <c r="AC67">
        <v>2</v>
      </c>
      <c r="AD67">
        <v>2024</v>
      </c>
      <c r="AE67" t="s">
        <v>2809</v>
      </c>
      <c r="AF67" t="s">
        <v>2821</v>
      </c>
      <c r="AG67" t="s">
        <v>2844</v>
      </c>
      <c r="AH67" t="s">
        <v>2848</v>
      </c>
      <c r="AI67">
        <v>1</v>
      </c>
    </row>
    <row r="68" spans="1:35" x14ac:dyDescent="0.3">
      <c r="A68" t="s">
        <v>78</v>
      </c>
      <c r="B68">
        <v>1</v>
      </c>
      <c r="C68" s="1">
        <v>45345</v>
      </c>
      <c r="D68" s="1">
        <v>45348</v>
      </c>
      <c r="E68" t="s">
        <v>994</v>
      </c>
      <c r="F68" t="s">
        <v>1694</v>
      </c>
      <c r="G68" t="s">
        <v>1381</v>
      </c>
      <c r="H68" t="s">
        <v>2682</v>
      </c>
      <c r="I68" t="s">
        <v>2739</v>
      </c>
      <c r="J68" t="s">
        <v>2759</v>
      </c>
      <c r="K68" t="s">
        <v>1480</v>
      </c>
      <c r="L68" t="s">
        <v>2789</v>
      </c>
      <c r="M68" t="s">
        <v>2571</v>
      </c>
      <c r="N68" t="s">
        <v>2588</v>
      </c>
      <c r="O68" t="s">
        <v>2605</v>
      </c>
      <c r="R68" t="s">
        <v>2790</v>
      </c>
      <c r="S68" t="s">
        <v>2606</v>
      </c>
      <c r="T68">
        <v>1</v>
      </c>
      <c r="U68" s="2">
        <v>4870.55</v>
      </c>
      <c r="V68" s="3">
        <v>0.15</v>
      </c>
      <c r="W68" s="2">
        <v>4139.97</v>
      </c>
      <c r="X68" s="2">
        <v>1246.3499999999999</v>
      </c>
      <c r="Y68" s="3">
        <v>0.30105290618047947</v>
      </c>
      <c r="Z68" t="s">
        <v>1494</v>
      </c>
      <c r="AA68" t="s">
        <v>1498</v>
      </c>
      <c r="AB68" t="s">
        <v>1501</v>
      </c>
      <c r="AC68">
        <v>3</v>
      </c>
      <c r="AD68">
        <v>2024</v>
      </c>
      <c r="AE68" t="s">
        <v>2809</v>
      </c>
      <c r="AF68" t="s">
        <v>2821</v>
      </c>
      <c r="AG68" t="s">
        <v>2844</v>
      </c>
      <c r="AH68" t="s">
        <v>2848</v>
      </c>
      <c r="AI68">
        <v>1</v>
      </c>
    </row>
    <row r="69" spans="1:35" x14ac:dyDescent="0.3">
      <c r="A69" t="s">
        <v>79</v>
      </c>
      <c r="B69">
        <v>1</v>
      </c>
      <c r="C69" s="1">
        <v>45345</v>
      </c>
      <c r="D69" s="1">
        <v>45345</v>
      </c>
      <c r="E69" t="s">
        <v>1020</v>
      </c>
      <c r="F69" t="s">
        <v>1746</v>
      </c>
      <c r="G69" t="s">
        <v>1330</v>
      </c>
      <c r="H69" t="s">
        <v>2685</v>
      </c>
      <c r="I69" t="s">
        <v>2739</v>
      </c>
      <c r="J69" t="s">
        <v>2759</v>
      </c>
      <c r="K69" t="s">
        <v>1490</v>
      </c>
      <c r="L69" t="s">
        <v>2784</v>
      </c>
      <c r="M69" t="s">
        <v>2569</v>
      </c>
      <c r="N69" t="s">
        <v>2587</v>
      </c>
      <c r="O69" t="s">
        <v>2604</v>
      </c>
      <c r="P69" t="s">
        <v>2567</v>
      </c>
      <c r="Q69" t="s">
        <v>2585</v>
      </c>
      <c r="R69" t="s">
        <v>2604</v>
      </c>
      <c r="S69" t="s">
        <v>2608</v>
      </c>
      <c r="T69">
        <v>2</v>
      </c>
      <c r="U69" s="2">
        <v>2393.8200000000002</v>
      </c>
      <c r="V69" s="3">
        <v>0</v>
      </c>
      <c r="W69" s="2">
        <v>4787.6400000000003</v>
      </c>
      <c r="X69" s="2">
        <v>1547.74</v>
      </c>
      <c r="Y69" s="3">
        <v>0.32327827489117811</v>
      </c>
      <c r="Z69" t="s">
        <v>1493</v>
      </c>
      <c r="AA69" t="s">
        <v>1498</v>
      </c>
      <c r="AB69" t="s">
        <v>1501</v>
      </c>
      <c r="AC69">
        <v>0</v>
      </c>
      <c r="AD69">
        <v>2024</v>
      </c>
      <c r="AE69" t="s">
        <v>2809</v>
      </c>
      <c r="AF69" t="s">
        <v>2821</v>
      </c>
      <c r="AG69" t="s">
        <v>2844</v>
      </c>
      <c r="AH69" t="s">
        <v>2848</v>
      </c>
      <c r="AI69">
        <v>1</v>
      </c>
    </row>
    <row r="70" spans="1:35" x14ac:dyDescent="0.3">
      <c r="A70" t="s">
        <v>80</v>
      </c>
      <c r="B70">
        <v>1</v>
      </c>
      <c r="C70" s="1">
        <v>45346</v>
      </c>
      <c r="D70" s="1">
        <v>45348</v>
      </c>
      <c r="E70" t="s">
        <v>997</v>
      </c>
      <c r="F70" t="s">
        <v>1703</v>
      </c>
      <c r="G70" t="s">
        <v>1333</v>
      </c>
      <c r="H70" t="s">
        <v>2620</v>
      </c>
      <c r="I70" t="s">
        <v>2737</v>
      </c>
      <c r="J70" t="s">
        <v>2744</v>
      </c>
      <c r="K70" t="s">
        <v>1480</v>
      </c>
      <c r="L70" t="s">
        <v>2789</v>
      </c>
      <c r="M70" t="s">
        <v>2556</v>
      </c>
      <c r="N70" t="s">
        <v>2574</v>
      </c>
      <c r="O70" t="s">
        <v>2602</v>
      </c>
      <c r="R70" t="s">
        <v>2790</v>
      </c>
      <c r="S70" t="s">
        <v>2606</v>
      </c>
      <c r="T70">
        <v>2</v>
      </c>
      <c r="U70" s="2">
        <v>16375.46</v>
      </c>
      <c r="V70" s="3">
        <v>0</v>
      </c>
      <c r="W70" s="2">
        <v>32750.92</v>
      </c>
      <c r="X70" s="2">
        <v>4148.62</v>
      </c>
      <c r="Y70" s="3">
        <v>0.12667186143167891</v>
      </c>
      <c r="Z70" t="s">
        <v>1497</v>
      </c>
      <c r="AA70" t="s">
        <v>1499</v>
      </c>
      <c r="AB70" t="s">
        <v>1501</v>
      </c>
      <c r="AC70">
        <v>2</v>
      </c>
      <c r="AD70">
        <v>2024</v>
      </c>
      <c r="AE70" t="s">
        <v>2809</v>
      </c>
      <c r="AF70" t="s">
        <v>2821</v>
      </c>
      <c r="AG70" t="s">
        <v>2844</v>
      </c>
      <c r="AH70" t="s">
        <v>2848</v>
      </c>
      <c r="AI70">
        <v>1</v>
      </c>
    </row>
    <row r="71" spans="1:35" x14ac:dyDescent="0.3">
      <c r="A71" t="s">
        <v>81</v>
      </c>
      <c r="B71">
        <v>2</v>
      </c>
      <c r="C71" s="1">
        <v>45348</v>
      </c>
      <c r="D71" s="1">
        <v>45348</v>
      </c>
      <c r="E71" t="s">
        <v>1021</v>
      </c>
      <c r="F71" t="s">
        <v>1824</v>
      </c>
      <c r="G71" t="s">
        <v>1382</v>
      </c>
      <c r="H71" t="s">
        <v>2697</v>
      </c>
      <c r="I71" t="s">
        <v>2740</v>
      </c>
      <c r="J71" t="s">
        <v>2762</v>
      </c>
      <c r="K71" t="s">
        <v>1482</v>
      </c>
      <c r="L71" t="s">
        <v>2783</v>
      </c>
      <c r="M71" t="s">
        <v>2563</v>
      </c>
      <c r="N71" t="s">
        <v>2581</v>
      </c>
      <c r="O71" t="s">
        <v>2604</v>
      </c>
      <c r="P71" t="s">
        <v>2560</v>
      </c>
      <c r="Q71" t="s">
        <v>2579</v>
      </c>
      <c r="R71" t="s">
        <v>2604</v>
      </c>
      <c r="S71" t="s">
        <v>2608</v>
      </c>
      <c r="T71">
        <v>1</v>
      </c>
      <c r="U71" s="2">
        <v>561.82000000000005</v>
      </c>
      <c r="V71" s="3">
        <v>0</v>
      </c>
      <c r="W71" s="2">
        <v>561.82000000000005</v>
      </c>
      <c r="X71" s="2">
        <v>45.76</v>
      </c>
      <c r="Y71" s="3">
        <v>8.1449574596845958E-2</v>
      </c>
      <c r="Z71" t="s">
        <v>1496</v>
      </c>
      <c r="AA71" t="s">
        <v>1499</v>
      </c>
      <c r="AB71" t="s">
        <v>1501</v>
      </c>
      <c r="AC71">
        <v>0</v>
      </c>
      <c r="AD71">
        <v>2024</v>
      </c>
      <c r="AE71" t="s">
        <v>2809</v>
      </c>
      <c r="AF71" t="s">
        <v>2821</v>
      </c>
      <c r="AG71" t="s">
        <v>2844</v>
      </c>
      <c r="AH71" t="s">
        <v>2848</v>
      </c>
      <c r="AI71">
        <v>1</v>
      </c>
    </row>
    <row r="72" spans="1:35" x14ac:dyDescent="0.3">
      <c r="A72" t="s">
        <v>82</v>
      </c>
      <c r="B72">
        <v>2</v>
      </c>
      <c r="C72" s="1">
        <v>45348</v>
      </c>
      <c r="D72" s="1">
        <v>45348</v>
      </c>
      <c r="E72" t="s">
        <v>1022</v>
      </c>
      <c r="F72" t="s">
        <v>1658</v>
      </c>
      <c r="G72" t="s">
        <v>1383</v>
      </c>
      <c r="H72" t="s">
        <v>2726</v>
      </c>
      <c r="I72" t="s">
        <v>2742</v>
      </c>
      <c r="J72" t="s">
        <v>2771</v>
      </c>
      <c r="K72" t="s">
        <v>1486</v>
      </c>
      <c r="L72" t="s">
        <v>2776</v>
      </c>
      <c r="M72" t="s">
        <v>2557</v>
      </c>
      <c r="N72" t="s">
        <v>2576</v>
      </c>
      <c r="O72" t="s">
        <v>2602</v>
      </c>
      <c r="P72" t="s">
        <v>2551</v>
      </c>
      <c r="Q72" t="s">
        <v>2574</v>
      </c>
      <c r="R72" t="s">
        <v>2602</v>
      </c>
      <c r="S72" t="s">
        <v>2606</v>
      </c>
      <c r="T72">
        <v>1</v>
      </c>
      <c r="U72" s="2">
        <v>17693.080000000002</v>
      </c>
      <c r="V72" s="3">
        <v>0</v>
      </c>
      <c r="W72" s="2">
        <v>17693.080000000002</v>
      </c>
      <c r="X72" s="2">
        <v>3546.04</v>
      </c>
      <c r="Y72" s="3">
        <v>0.20041959907489251</v>
      </c>
      <c r="Z72" t="s">
        <v>1496</v>
      </c>
      <c r="AA72" t="s">
        <v>1500</v>
      </c>
      <c r="AB72" t="s">
        <v>1501</v>
      </c>
      <c r="AC72">
        <v>0</v>
      </c>
      <c r="AD72">
        <v>2024</v>
      </c>
      <c r="AE72" t="s">
        <v>2809</v>
      </c>
      <c r="AF72" t="s">
        <v>2821</v>
      </c>
      <c r="AG72" t="s">
        <v>2844</v>
      </c>
      <c r="AH72" t="s">
        <v>2848</v>
      </c>
      <c r="AI72">
        <v>1</v>
      </c>
    </row>
    <row r="73" spans="1:35" x14ac:dyDescent="0.3">
      <c r="A73" t="s">
        <v>83</v>
      </c>
      <c r="B73">
        <v>1</v>
      </c>
      <c r="C73" s="1">
        <v>45348</v>
      </c>
      <c r="D73" s="1">
        <v>45349</v>
      </c>
      <c r="E73" t="s">
        <v>1023</v>
      </c>
      <c r="F73" t="s">
        <v>1680</v>
      </c>
      <c r="G73" t="s">
        <v>1384</v>
      </c>
      <c r="H73" t="s">
        <v>2659</v>
      </c>
      <c r="I73" t="s">
        <v>2738</v>
      </c>
      <c r="J73" t="s">
        <v>2754</v>
      </c>
      <c r="K73" t="s">
        <v>1484</v>
      </c>
      <c r="L73" t="s">
        <v>2778</v>
      </c>
      <c r="M73" t="s">
        <v>2552</v>
      </c>
      <c r="N73" t="s">
        <v>2575</v>
      </c>
      <c r="O73" t="s">
        <v>2603</v>
      </c>
      <c r="P73" t="s">
        <v>2559</v>
      </c>
      <c r="Q73" t="s">
        <v>2559</v>
      </c>
      <c r="R73" t="s">
        <v>2603</v>
      </c>
      <c r="S73" t="s">
        <v>2608</v>
      </c>
      <c r="T73">
        <v>1</v>
      </c>
      <c r="U73" s="2">
        <v>35937.699999999997</v>
      </c>
      <c r="V73" s="3">
        <v>0</v>
      </c>
      <c r="W73" s="2">
        <v>35937.699999999997</v>
      </c>
      <c r="X73" s="2">
        <v>10629.44</v>
      </c>
      <c r="Y73" s="3">
        <v>0.29577407569210051</v>
      </c>
      <c r="Z73" t="s">
        <v>1494</v>
      </c>
      <c r="AA73" t="s">
        <v>1499</v>
      </c>
      <c r="AB73" t="s">
        <v>1501</v>
      </c>
      <c r="AC73">
        <v>1</v>
      </c>
      <c r="AD73">
        <v>2024</v>
      </c>
      <c r="AE73" t="s">
        <v>2809</v>
      </c>
      <c r="AF73" t="s">
        <v>2821</v>
      </c>
      <c r="AG73" t="s">
        <v>2844</v>
      </c>
      <c r="AH73" t="s">
        <v>2848</v>
      </c>
      <c r="AI73">
        <v>1</v>
      </c>
    </row>
    <row r="74" spans="1:35" x14ac:dyDescent="0.3">
      <c r="A74" t="s">
        <v>83</v>
      </c>
      <c r="B74">
        <v>2</v>
      </c>
      <c r="C74" s="1">
        <v>45348</v>
      </c>
      <c r="D74" s="1">
        <v>45349</v>
      </c>
      <c r="E74" t="s">
        <v>1023</v>
      </c>
      <c r="F74" t="s">
        <v>1680</v>
      </c>
      <c r="G74" t="s">
        <v>1385</v>
      </c>
      <c r="H74" t="s">
        <v>2638</v>
      </c>
      <c r="I74" t="s">
        <v>2737</v>
      </c>
      <c r="J74" t="s">
        <v>2748</v>
      </c>
      <c r="K74" t="s">
        <v>1484</v>
      </c>
      <c r="L74" t="s">
        <v>2778</v>
      </c>
      <c r="M74" t="s">
        <v>2552</v>
      </c>
      <c r="N74" t="s">
        <v>2575</v>
      </c>
      <c r="O74" t="s">
        <v>2603</v>
      </c>
      <c r="P74" t="s">
        <v>2559</v>
      </c>
      <c r="Q74" t="s">
        <v>2559</v>
      </c>
      <c r="R74" t="s">
        <v>2603</v>
      </c>
      <c r="S74" t="s">
        <v>2608</v>
      </c>
      <c r="T74">
        <v>2</v>
      </c>
      <c r="U74" s="2">
        <v>46757.35</v>
      </c>
      <c r="V74" s="3">
        <v>0.05</v>
      </c>
      <c r="W74" s="2">
        <v>88838.96</v>
      </c>
      <c r="X74" s="2">
        <v>4458.5200000000004</v>
      </c>
      <c r="Y74" s="3">
        <v>5.0186539779394093E-2</v>
      </c>
      <c r="Z74" t="s">
        <v>1494</v>
      </c>
      <c r="AA74" t="s">
        <v>1499</v>
      </c>
      <c r="AB74" t="s">
        <v>1501</v>
      </c>
      <c r="AC74">
        <v>1</v>
      </c>
      <c r="AD74">
        <v>2024</v>
      </c>
      <c r="AE74" t="s">
        <v>2809</v>
      </c>
      <c r="AF74" t="s">
        <v>2821</v>
      </c>
      <c r="AG74" t="s">
        <v>2844</v>
      </c>
      <c r="AH74" t="s">
        <v>2848</v>
      </c>
      <c r="AI74">
        <v>0</v>
      </c>
    </row>
    <row r="75" spans="1:35" x14ac:dyDescent="0.3">
      <c r="A75" t="s">
        <v>84</v>
      </c>
      <c r="B75">
        <v>2</v>
      </c>
      <c r="C75" s="1">
        <v>45349</v>
      </c>
      <c r="D75" s="1">
        <v>45350</v>
      </c>
      <c r="E75" t="s">
        <v>978</v>
      </c>
      <c r="F75" t="s">
        <v>1887</v>
      </c>
      <c r="G75" t="s">
        <v>1356</v>
      </c>
      <c r="H75" t="s">
        <v>2640</v>
      </c>
      <c r="I75" t="s">
        <v>2737</v>
      </c>
      <c r="J75" t="s">
        <v>2748</v>
      </c>
      <c r="K75" t="s">
        <v>1483</v>
      </c>
      <c r="L75" t="s">
        <v>2781</v>
      </c>
      <c r="M75" t="s">
        <v>2555</v>
      </c>
      <c r="N75" t="s">
        <v>2578</v>
      </c>
      <c r="O75" t="s">
        <v>2603</v>
      </c>
      <c r="P75" t="s">
        <v>2568</v>
      </c>
      <c r="Q75" t="s">
        <v>2586</v>
      </c>
      <c r="R75" t="s">
        <v>2603</v>
      </c>
      <c r="S75" t="s">
        <v>2607</v>
      </c>
      <c r="T75">
        <v>1</v>
      </c>
      <c r="U75" s="2">
        <v>68671.53</v>
      </c>
      <c r="V75" s="3">
        <v>0.05</v>
      </c>
      <c r="W75" s="2">
        <v>65237.95</v>
      </c>
      <c r="X75" s="2">
        <v>7269.01</v>
      </c>
      <c r="Y75" s="3">
        <v>0.1114230290804662</v>
      </c>
      <c r="Z75" t="s">
        <v>1495</v>
      </c>
      <c r="AA75" t="s">
        <v>1498</v>
      </c>
      <c r="AB75" t="s">
        <v>1501</v>
      </c>
      <c r="AC75">
        <v>1</v>
      </c>
      <c r="AD75">
        <v>2024</v>
      </c>
      <c r="AE75" t="s">
        <v>2809</v>
      </c>
      <c r="AF75" t="s">
        <v>2821</v>
      </c>
      <c r="AG75" t="s">
        <v>2844</v>
      </c>
      <c r="AH75" t="s">
        <v>2848</v>
      </c>
      <c r="AI75">
        <v>1</v>
      </c>
    </row>
    <row r="76" spans="1:35" x14ac:dyDescent="0.3">
      <c r="A76" t="s">
        <v>85</v>
      </c>
      <c r="B76">
        <v>1</v>
      </c>
      <c r="C76" s="1">
        <v>45350</v>
      </c>
      <c r="D76" s="1">
        <v>45351</v>
      </c>
      <c r="E76" t="s">
        <v>1024</v>
      </c>
      <c r="F76" t="s">
        <v>1827</v>
      </c>
      <c r="G76" t="s">
        <v>1348</v>
      </c>
      <c r="H76" t="s">
        <v>2669</v>
      </c>
      <c r="I76" t="s">
        <v>2739</v>
      </c>
      <c r="J76" t="s">
        <v>2756</v>
      </c>
      <c r="K76" t="s">
        <v>1480</v>
      </c>
      <c r="L76" t="s">
        <v>2789</v>
      </c>
      <c r="M76" t="s">
        <v>2553</v>
      </c>
      <c r="N76" t="s">
        <v>2576</v>
      </c>
      <c r="O76" t="s">
        <v>2602</v>
      </c>
      <c r="R76" t="s">
        <v>2790</v>
      </c>
      <c r="S76" t="s">
        <v>2606</v>
      </c>
      <c r="T76">
        <v>1</v>
      </c>
      <c r="U76" s="2">
        <v>921.12</v>
      </c>
      <c r="V76" s="3">
        <v>0</v>
      </c>
      <c r="W76" s="2">
        <v>921.12</v>
      </c>
      <c r="X76" s="2">
        <v>383.08</v>
      </c>
      <c r="Y76" s="3">
        <v>0.41588500955358693</v>
      </c>
      <c r="Z76" t="s">
        <v>1494</v>
      </c>
      <c r="AA76" t="s">
        <v>1499</v>
      </c>
      <c r="AB76" t="s">
        <v>1501</v>
      </c>
      <c r="AC76">
        <v>1</v>
      </c>
      <c r="AD76">
        <v>2024</v>
      </c>
      <c r="AE76" t="s">
        <v>2809</v>
      </c>
      <c r="AF76" t="s">
        <v>2821</v>
      </c>
      <c r="AG76" t="s">
        <v>2844</v>
      </c>
      <c r="AH76" t="s">
        <v>2848</v>
      </c>
      <c r="AI76">
        <v>1</v>
      </c>
    </row>
    <row r="77" spans="1:35" x14ac:dyDescent="0.3">
      <c r="A77" t="s">
        <v>85</v>
      </c>
      <c r="B77">
        <v>2</v>
      </c>
      <c r="C77" s="1">
        <v>45350</v>
      </c>
      <c r="D77" s="1">
        <v>45351</v>
      </c>
      <c r="E77" t="s">
        <v>1024</v>
      </c>
      <c r="F77" t="s">
        <v>1827</v>
      </c>
      <c r="G77" t="s">
        <v>1386</v>
      </c>
      <c r="H77" t="s">
        <v>2686</v>
      </c>
      <c r="I77" t="s">
        <v>2740</v>
      </c>
      <c r="J77" t="s">
        <v>2760</v>
      </c>
      <c r="K77" t="s">
        <v>1480</v>
      </c>
      <c r="L77" t="s">
        <v>2789</v>
      </c>
      <c r="M77" t="s">
        <v>2553</v>
      </c>
      <c r="N77" t="s">
        <v>2576</v>
      </c>
      <c r="O77" t="s">
        <v>2602</v>
      </c>
      <c r="R77" t="s">
        <v>2790</v>
      </c>
      <c r="S77" t="s">
        <v>2606</v>
      </c>
      <c r="T77">
        <v>1</v>
      </c>
      <c r="U77" s="2">
        <v>1094.7</v>
      </c>
      <c r="V77" s="3">
        <v>0.2</v>
      </c>
      <c r="W77" s="2">
        <v>875.76</v>
      </c>
      <c r="X77" s="2">
        <v>-154.96</v>
      </c>
      <c r="Y77" s="3">
        <v>-0.17694345482780671</v>
      </c>
      <c r="Z77" t="s">
        <v>1494</v>
      </c>
      <c r="AA77" t="s">
        <v>1499</v>
      </c>
      <c r="AB77" t="s">
        <v>1501</v>
      </c>
      <c r="AC77">
        <v>1</v>
      </c>
      <c r="AD77">
        <v>2024</v>
      </c>
      <c r="AE77" t="s">
        <v>2809</v>
      </c>
      <c r="AF77" t="s">
        <v>2821</v>
      </c>
      <c r="AG77" t="s">
        <v>2844</v>
      </c>
      <c r="AH77" t="s">
        <v>2848</v>
      </c>
      <c r="AI77">
        <v>0</v>
      </c>
    </row>
    <row r="78" spans="1:35" x14ac:dyDescent="0.3">
      <c r="A78" t="s">
        <v>86</v>
      </c>
      <c r="B78">
        <v>1</v>
      </c>
      <c r="C78" s="1">
        <v>45351</v>
      </c>
      <c r="D78" s="1">
        <v>45351</v>
      </c>
      <c r="E78" t="s">
        <v>1025</v>
      </c>
      <c r="F78" t="s">
        <v>1917</v>
      </c>
      <c r="G78" t="s">
        <v>1387</v>
      </c>
      <c r="H78" t="s">
        <v>2730</v>
      </c>
      <c r="I78" t="s">
        <v>2742</v>
      </c>
      <c r="J78" t="s">
        <v>2771</v>
      </c>
      <c r="K78" t="s">
        <v>1481</v>
      </c>
      <c r="L78" t="s">
        <v>2777</v>
      </c>
      <c r="M78" t="s">
        <v>2556</v>
      </c>
      <c r="N78" t="s">
        <v>2574</v>
      </c>
      <c r="O78" t="s">
        <v>2602</v>
      </c>
      <c r="P78" t="s">
        <v>2557</v>
      </c>
      <c r="Q78" t="s">
        <v>2576</v>
      </c>
      <c r="R78" t="s">
        <v>2602</v>
      </c>
      <c r="S78" t="s">
        <v>2608</v>
      </c>
      <c r="T78">
        <v>1</v>
      </c>
      <c r="U78" s="2">
        <v>2184.2199999999998</v>
      </c>
      <c r="V78" s="3">
        <v>0</v>
      </c>
      <c r="W78" s="2">
        <v>2184.2199999999998</v>
      </c>
      <c r="X78" s="2">
        <v>542.11</v>
      </c>
      <c r="Y78" s="3">
        <v>0.24819386325553289</v>
      </c>
      <c r="Z78" t="s">
        <v>1493</v>
      </c>
      <c r="AA78" t="s">
        <v>1498</v>
      </c>
      <c r="AB78" t="s">
        <v>1501</v>
      </c>
      <c r="AC78">
        <v>0</v>
      </c>
      <c r="AD78">
        <v>2024</v>
      </c>
      <c r="AE78" t="s">
        <v>2809</v>
      </c>
      <c r="AF78" t="s">
        <v>2821</v>
      </c>
      <c r="AG78" t="s">
        <v>2844</v>
      </c>
      <c r="AH78" t="s">
        <v>2848</v>
      </c>
      <c r="AI78">
        <v>1</v>
      </c>
    </row>
    <row r="79" spans="1:35" x14ac:dyDescent="0.3">
      <c r="A79" t="s">
        <v>87</v>
      </c>
      <c r="B79">
        <v>1</v>
      </c>
      <c r="C79" s="1">
        <v>45351</v>
      </c>
      <c r="D79" s="1">
        <v>45353</v>
      </c>
      <c r="E79" t="s">
        <v>1005</v>
      </c>
      <c r="F79" t="s">
        <v>1696</v>
      </c>
      <c r="G79" t="s">
        <v>1388</v>
      </c>
      <c r="H79" t="s">
        <v>2662</v>
      </c>
      <c r="I79" t="s">
        <v>2739</v>
      </c>
      <c r="J79" t="s">
        <v>2755</v>
      </c>
      <c r="K79" t="s">
        <v>1480</v>
      </c>
      <c r="L79" t="s">
        <v>2789</v>
      </c>
      <c r="M79" t="s">
        <v>2560</v>
      </c>
      <c r="N79" t="s">
        <v>2579</v>
      </c>
      <c r="O79" t="s">
        <v>2604</v>
      </c>
      <c r="R79" t="s">
        <v>2790</v>
      </c>
      <c r="S79" t="s">
        <v>2608</v>
      </c>
      <c r="T79">
        <v>1</v>
      </c>
      <c r="U79" s="2">
        <v>5746.05</v>
      </c>
      <c r="V79" s="3">
        <v>0.2</v>
      </c>
      <c r="W79" s="2">
        <v>4596.84</v>
      </c>
      <c r="X79" s="2">
        <v>616.49</v>
      </c>
      <c r="Y79" s="3">
        <v>0.13411169412030871</v>
      </c>
      <c r="Z79" t="s">
        <v>1496</v>
      </c>
      <c r="AA79" t="s">
        <v>1498</v>
      </c>
      <c r="AB79" t="s">
        <v>1502</v>
      </c>
      <c r="AC79">
        <v>2</v>
      </c>
      <c r="AD79">
        <v>2024</v>
      </c>
      <c r="AE79" t="s">
        <v>2809</v>
      </c>
      <c r="AF79" t="s">
        <v>2821</v>
      </c>
      <c r="AG79" t="s">
        <v>2844</v>
      </c>
      <c r="AH79" t="s">
        <v>2848</v>
      </c>
      <c r="AI79">
        <v>1</v>
      </c>
    </row>
    <row r="80" spans="1:35" x14ac:dyDescent="0.3">
      <c r="A80" t="s">
        <v>88</v>
      </c>
      <c r="B80">
        <v>1</v>
      </c>
      <c r="C80" s="1">
        <v>45352</v>
      </c>
      <c r="D80" s="1">
        <v>45353</v>
      </c>
      <c r="E80" t="s">
        <v>1026</v>
      </c>
      <c r="F80" t="s">
        <v>1736</v>
      </c>
      <c r="G80" t="s">
        <v>1346</v>
      </c>
      <c r="H80" t="s">
        <v>2670</v>
      </c>
      <c r="I80" t="s">
        <v>2739</v>
      </c>
      <c r="J80" t="s">
        <v>2756</v>
      </c>
      <c r="K80" t="s">
        <v>1480</v>
      </c>
      <c r="L80" t="s">
        <v>2789</v>
      </c>
      <c r="M80" t="s">
        <v>2571</v>
      </c>
      <c r="N80" t="s">
        <v>2590</v>
      </c>
      <c r="O80" t="s">
        <v>2605</v>
      </c>
      <c r="R80" t="s">
        <v>2790</v>
      </c>
      <c r="S80" t="s">
        <v>2607</v>
      </c>
      <c r="T80">
        <v>1</v>
      </c>
      <c r="U80" s="2">
        <v>3324.39</v>
      </c>
      <c r="V80" s="3">
        <v>0</v>
      </c>
      <c r="W80" s="2">
        <v>3324.39</v>
      </c>
      <c r="X80" s="2">
        <v>1234.02</v>
      </c>
      <c r="Y80" s="3">
        <v>0.37120193479104441</v>
      </c>
      <c r="Z80" t="s">
        <v>1493</v>
      </c>
      <c r="AA80" t="s">
        <v>1498</v>
      </c>
      <c r="AB80" t="s">
        <v>1501</v>
      </c>
      <c r="AC80">
        <v>1</v>
      </c>
      <c r="AD80">
        <v>2024</v>
      </c>
      <c r="AE80" t="s">
        <v>2810</v>
      </c>
      <c r="AF80" t="s">
        <v>2822</v>
      </c>
      <c r="AG80" t="s">
        <v>2844</v>
      </c>
      <c r="AH80" t="s">
        <v>2848</v>
      </c>
      <c r="AI80">
        <v>1</v>
      </c>
    </row>
    <row r="81" spans="1:35" x14ac:dyDescent="0.3">
      <c r="A81" t="s">
        <v>89</v>
      </c>
      <c r="B81">
        <v>1</v>
      </c>
      <c r="C81" s="1">
        <v>45352</v>
      </c>
      <c r="D81" s="1">
        <v>45353</v>
      </c>
      <c r="E81" t="s">
        <v>1027</v>
      </c>
      <c r="F81" t="s">
        <v>1655</v>
      </c>
      <c r="G81" t="s">
        <v>1369</v>
      </c>
      <c r="H81" t="s">
        <v>2725</v>
      </c>
      <c r="I81" t="s">
        <v>2742</v>
      </c>
      <c r="J81" t="s">
        <v>2770</v>
      </c>
      <c r="K81" t="s">
        <v>1484</v>
      </c>
      <c r="L81" t="s">
        <v>2778</v>
      </c>
      <c r="M81" t="s">
        <v>2555</v>
      </c>
      <c r="N81" t="s">
        <v>2578</v>
      </c>
      <c r="O81" t="s">
        <v>2603</v>
      </c>
      <c r="P81" t="s">
        <v>2559</v>
      </c>
      <c r="Q81" t="s">
        <v>2559</v>
      </c>
      <c r="R81" t="s">
        <v>2603</v>
      </c>
      <c r="S81" t="s">
        <v>2608</v>
      </c>
      <c r="T81">
        <v>1</v>
      </c>
      <c r="U81" s="2">
        <v>23968.04</v>
      </c>
      <c r="V81" s="3">
        <v>0.05</v>
      </c>
      <c r="W81" s="2">
        <v>22769.64</v>
      </c>
      <c r="X81" s="2">
        <v>5498.52</v>
      </c>
      <c r="Y81" s="3">
        <v>0.2414847138558186</v>
      </c>
      <c r="Z81" t="s">
        <v>1495</v>
      </c>
      <c r="AA81" t="s">
        <v>1499</v>
      </c>
      <c r="AB81" t="s">
        <v>1501</v>
      </c>
      <c r="AC81">
        <v>1</v>
      </c>
      <c r="AD81">
        <v>2024</v>
      </c>
      <c r="AE81" t="s">
        <v>2810</v>
      </c>
      <c r="AF81" t="s">
        <v>2822</v>
      </c>
      <c r="AG81" t="s">
        <v>2844</v>
      </c>
      <c r="AH81" t="s">
        <v>2848</v>
      </c>
      <c r="AI81">
        <v>1</v>
      </c>
    </row>
    <row r="82" spans="1:35" x14ac:dyDescent="0.3">
      <c r="A82" t="s">
        <v>90</v>
      </c>
      <c r="B82">
        <v>2</v>
      </c>
      <c r="C82" s="1">
        <v>45352</v>
      </c>
      <c r="D82" s="1">
        <v>45353</v>
      </c>
      <c r="E82" t="s">
        <v>1028</v>
      </c>
      <c r="F82" t="s">
        <v>1657</v>
      </c>
      <c r="G82" t="s">
        <v>1389</v>
      </c>
      <c r="H82" t="s">
        <v>2703</v>
      </c>
      <c r="I82" t="s">
        <v>2740</v>
      </c>
      <c r="J82" t="s">
        <v>2764</v>
      </c>
      <c r="K82" t="s">
        <v>1480</v>
      </c>
      <c r="L82" t="s">
        <v>2789</v>
      </c>
      <c r="M82" t="s">
        <v>2553</v>
      </c>
      <c r="N82" t="s">
        <v>2576</v>
      </c>
      <c r="O82" t="s">
        <v>2602</v>
      </c>
      <c r="R82" t="s">
        <v>2790</v>
      </c>
      <c r="S82" t="s">
        <v>2606</v>
      </c>
      <c r="T82">
        <v>1</v>
      </c>
      <c r="U82" s="2">
        <v>676.97</v>
      </c>
      <c r="V82" s="3">
        <v>0.1</v>
      </c>
      <c r="W82" s="2">
        <v>609.27</v>
      </c>
      <c r="X82" s="2">
        <v>-13.41</v>
      </c>
      <c r="Y82" s="3">
        <v>-2.2009946329213648E-2</v>
      </c>
      <c r="Z82" t="s">
        <v>1493</v>
      </c>
      <c r="AA82" t="s">
        <v>1498</v>
      </c>
      <c r="AB82" t="s">
        <v>1501</v>
      </c>
      <c r="AC82">
        <v>1</v>
      </c>
      <c r="AD82">
        <v>2024</v>
      </c>
      <c r="AE82" t="s">
        <v>2810</v>
      </c>
      <c r="AF82" t="s">
        <v>2822</v>
      </c>
      <c r="AG82" t="s">
        <v>2844</v>
      </c>
      <c r="AH82" t="s">
        <v>2848</v>
      </c>
      <c r="AI82">
        <v>1</v>
      </c>
    </row>
    <row r="83" spans="1:35" x14ac:dyDescent="0.3">
      <c r="A83" t="s">
        <v>91</v>
      </c>
      <c r="B83">
        <v>1</v>
      </c>
      <c r="C83" s="1">
        <v>45353</v>
      </c>
      <c r="E83" t="s">
        <v>998</v>
      </c>
      <c r="F83" t="s">
        <v>1999</v>
      </c>
      <c r="G83" t="s">
        <v>1390</v>
      </c>
      <c r="H83" t="s">
        <v>2645</v>
      </c>
      <c r="I83" t="s">
        <v>2738</v>
      </c>
      <c r="J83" t="s">
        <v>2750</v>
      </c>
      <c r="K83" t="s">
        <v>1483</v>
      </c>
      <c r="L83" t="s">
        <v>2781</v>
      </c>
      <c r="M83" t="s">
        <v>2555</v>
      </c>
      <c r="N83" t="s">
        <v>2578</v>
      </c>
      <c r="O83" t="s">
        <v>2603</v>
      </c>
      <c r="P83" t="s">
        <v>2568</v>
      </c>
      <c r="Q83" t="s">
        <v>2586</v>
      </c>
      <c r="R83" t="s">
        <v>2603</v>
      </c>
      <c r="S83" t="s">
        <v>2606</v>
      </c>
      <c r="T83">
        <v>2</v>
      </c>
      <c r="U83" s="2">
        <v>38147.39</v>
      </c>
      <c r="V83" s="3">
        <v>0.15</v>
      </c>
      <c r="W83" s="2">
        <v>64850.559999999998</v>
      </c>
      <c r="X83" s="2">
        <v>10255.86</v>
      </c>
      <c r="Y83" s="3">
        <v>0.15814605147588551</v>
      </c>
      <c r="Z83" t="s">
        <v>1495</v>
      </c>
      <c r="AA83" t="s">
        <v>1499</v>
      </c>
      <c r="AB83" t="s">
        <v>1503</v>
      </c>
      <c r="AD83">
        <v>2024</v>
      </c>
      <c r="AE83" t="s">
        <v>2810</v>
      </c>
      <c r="AF83" t="s">
        <v>2822</v>
      </c>
      <c r="AG83" t="s">
        <v>2844</v>
      </c>
      <c r="AH83" t="s">
        <v>2848</v>
      </c>
      <c r="AI83">
        <v>1</v>
      </c>
    </row>
    <row r="84" spans="1:35" x14ac:dyDescent="0.3">
      <c r="A84" t="s">
        <v>92</v>
      </c>
      <c r="B84">
        <v>1</v>
      </c>
      <c r="C84" s="1">
        <v>45353</v>
      </c>
      <c r="D84" s="1">
        <v>45353</v>
      </c>
      <c r="E84" t="s">
        <v>1029</v>
      </c>
      <c r="F84" t="s">
        <v>1725</v>
      </c>
      <c r="G84" t="s">
        <v>1391</v>
      </c>
      <c r="H84" t="s">
        <v>2719</v>
      </c>
      <c r="I84" t="s">
        <v>2741</v>
      </c>
      <c r="J84" t="s">
        <v>2768</v>
      </c>
      <c r="K84" t="s">
        <v>1478</v>
      </c>
      <c r="L84" t="s">
        <v>2782</v>
      </c>
      <c r="M84" t="s">
        <v>2560</v>
      </c>
      <c r="N84" t="s">
        <v>2579</v>
      </c>
      <c r="O84" t="s">
        <v>2604</v>
      </c>
      <c r="P84" t="s">
        <v>2565</v>
      </c>
      <c r="Q84" t="s">
        <v>2583</v>
      </c>
      <c r="R84" t="s">
        <v>2604</v>
      </c>
      <c r="S84" t="s">
        <v>2607</v>
      </c>
      <c r="T84">
        <v>1</v>
      </c>
      <c r="U84" s="2">
        <v>1624.5</v>
      </c>
      <c r="V84" s="3">
        <v>0</v>
      </c>
      <c r="W84" s="2">
        <v>1624.5</v>
      </c>
      <c r="X84" s="2">
        <v>536.88</v>
      </c>
      <c r="Y84" s="3">
        <v>0.33048938134810713</v>
      </c>
      <c r="Z84" t="s">
        <v>1496</v>
      </c>
      <c r="AA84" t="s">
        <v>1499</v>
      </c>
      <c r="AB84" t="s">
        <v>1501</v>
      </c>
      <c r="AC84">
        <v>0</v>
      </c>
      <c r="AD84">
        <v>2024</v>
      </c>
      <c r="AE84" t="s">
        <v>2810</v>
      </c>
      <c r="AF84" t="s">
        <v>2822</v>
      </c>
      <c r="AG84" t="s">
        <v>2844</v>
      </c>
      <c r="AH84" t="s">
        <v>2848</v>
      </c>
      <c r="AI84">
        <v>1</v>
      </c>
    </row>
    <row r="85" spans="1:35" x14ac:dyDescent="0.3">
      <c r="A85" t="s">
        <v>93</v>
      </c>
      <c r="B85">
        <v>1</v>
      </c>
      <c r="C85" s="1">
        <v>45355</v>
      </c>
      <c r="D85" s="1">
        <v>45356</v>
      </c>
      <c r="E85" t="s">
        <v>1030</v>
      </c>
      <c r="F85" t="s">
        <v>1944</v>
      </c>
      <c r="G85" t="s">
        <v>1392</v>
      </c>
      <c r="H85" t="s">
        <v>2655</v>
      </c>
      <c r="I85" t="s">
        <v>2738</v>
      </c>
      <c r="J85" t="s">
        <v>2753</v>
      </c>
      <c r="K85" t="s">
        <v>1491</v>
      </c>
      <c r="L85" t="s">
        <v>2779</v>
      </c>
      <c r="M85" t="s">
        <v>2558</v>
      </c>
      <c r="N85" t="s">
        <v>2558</v>
      </c>
      <c r="O85" t="s">
        <v>2603</v>
      </c>
      <c r="P85" t="s">
        <v>2555</v>
      </c>
      <c r="Q85" t="s">
        <v>2578</v>
      </c>
      <c r="R85" t="s">
        <v>2603</v>
      </c>
      <c r="S85" t="s">
        <v>2606</v>
      </c>
      <c r="T85">
        <v>1</v>
      </c>
      <c r="U85" s="2">
        <v>17688.330000000002</v>
      </c>
      <c r="V85" s="3">
        <v>0</v>
      </c>
      <c r="W85" s="2">
        <v>17688.330000000002</v>
      </c>
      <c r="X85" s="2">
        <v>2903.89</v>
      </c>
      <c r="Y85" s="3">
        <v>0.16416982270231281</v>
      </c>
      <c r="Z85" t="s">
        <v>1496</v>
      </c>
      <c r="AA85" t="s">
        <v>1498</v>
      </c>
      <c r="AB85" t="s">
        <v>1501</v>
      </c>
      <c r="AC85">
        <v>1</v>
      </c>
      <c r="AD85">
        <v>2024</v>
      </c>
      <c r="AE85" t="s">
        <v>2810</v>
      </c>
      <c r="AF85" t="s">
        <v>2822</v>
      </c>
      <c r="AG85" t="s">
        <v>2844</v>
      </c>
      <c r="AH85" t="s">
        <v>2848</v>
      </c>
      <c r="AI85">
        <v>1</v>
      </c>
    </row>
    <row r="86" spans="1:35" x14ac:dyDescent="0.3">
      <c r="A86" t="s">
        <v>94</v>
      </c>
      <c r="B86">
        <v>1</v>
      </c>
      <c r="C86" s="1">
        <v>45355</v>
      </c>
      <c r="E86" t="s">
        <v>1031</v>
      </c>
      <c r="F86" t="s">
        <v>1748</v>
      </c>
      <c r="G86" t="s">
        <v>1381</v>
      </c>
      <c r="H86" t="s">
        <v>2682</v>
      </c>
      <c r="I86" t="s">
        <v>2739</v>
      </c>
      <c r="J86" t="s">
        <v>2759</v>
      </c>
      <c r="K86" t="s">
        <v>1479</v>
      </c>
      <c r="L86" t="s">
        <v>2786</v>
      </c>
      <c r="M86" t="s">
        <v>2561</v>
      </c>
      <c r="N86" t="s">
        <v>2580</v>
      </c>
      <c r="O86" t="s">
        <v>2601</v>
      </c>
      <c r="P86" t="s">
        <v>2564</v>
      </c>
      <c r="Q86" t="s">
        <v>2582</v>
      </c>
      <c r="R86" t="s">
        <v>2601</v>
      </c>
      <c r="S86" t="s">
        <v>2608</v>
      </c>
      <c r="T86">
        <v>1</v>
      </c>
      <c r="U86" s="2">
        <v>4870.55</v>
      </c>
      <c r="V86" s="3">
        <v>0.1</v>
      </c>
      <c r="W86" s="2">
        <v>4383.49</v>
      </c>
      <c r="X86" s="2">
        <v>1489.87</v>
      </c>
      <c r="Y86" s="3">
        <v>0.33988214869886779</v>
      </c>
      <c r="Z86" t="s">
        <v>1497</v>
      </c>
      <c r="AA86" t="s">
        <v>1498</v>
      </c>
      <c r="AB86" t="s">
        <v>1503</v>
      </c>
      <c r="AD86">
        <v>2024</v>
      </c>
      <c r="AE86" t="s">
        <v>2810</v>
      </c>
      <c r="AF86" t="s">
        <v>2822</v>
      </c>
      <c r="AG86" t="s">
        <v>2844</v>
      </c>
      <c r="AH86" t="s">
        <v>2848</v>
      </c>
      <c r="AI86">
        <v>1</v>
      </c>
    </row>
    <row r="87" spans="1:35" x14ac:dyDescent="0.3">
      <c r="A87" t="s">
        <v>95</v>
      </c>
      <c r="B87">
        <v>1</v>
      </c>
      <c r="C87" s="1">
        <v>45355</v>
      </c>
      <c r="D87" s="1">
        <v>45356</v>
      </c>
      <c r="E87" t="s">
        <v>1000</v>
      </c>
      <c r="F87" t="s">
        <v>1730</v>
      </c>
      <c r="G87" t="s">
        <v>1393</v>
      </c>
      <c r="H87" t="s">
        <v>2683</v>
      </c>
      <c r="I87" t="s">
        <v>2739</v>
      </c>
      <c r="J87" t="s">
        <v>2759</v>
      </c>
      <c r="K87" t="s">
        <v>1480</v>
      </c>
      <c r="L87" t="s">
        <v>2789</v>
      </c>
      <c r="M87" t="s">
        <v>2571</v>
      </c>
      <c r="N87" t="s">
        <v>2590</v>
      </c>
      <c r="O87" t="s">
        <v>2605</v>
      </c>
      <c r="R87" t="s">
        <v>2790</v>
      </c>
      <c r="S87" t="s">
        <v>2606</v>
      </c>
      <c r="T87">
        <v>1</v>
      </c>
      <c r="U87" s="2">
        <v>3230.07</v>
      </c>
      <c r="V87" s="3">
        <v>0</v>
      </c>
      <c r="W87" s="2">
        <v>3230.07</v>
      </c>
      <c r="X87" s="2">
        <v>1361.52</v>
      </c>
      <c r="Y87" s="3">
        <v>0.42151408483407482</v>
      </c>
      <c r="Z87" t="s">
        <v>1496</v>
      </c>
      <c r="AA87" t="s">
        <v>1500</v>
      </c>
      <c r="AB87" t="s">
        <v>1501</v>
      </c>
      <c r="AC87">
        <v>1</v>
      </c>
      <c r="AD87">
        <v>2024</v>
      </c>
      <c r="AE87" t="s">
        <v>2810</v>
      </c>
      <c r="AF87" t="s">
        <v>2822</v>
      </c>
      <c r="AG87" t="s">
        <v>2844</v>
      </c>
      <c r="AH87" t="s">
        <v>2848</v>
      </c>
      <c r="AI87">
        <v>1</v>
      </c>
    </row>
    <row r="88" spans="1:35" x14ac:dyDescent="0.3">
      <c r="A88" t="s">
        <v>96</v>
      </c>
      <c r="B88">
        <v>1</v>
      </c>
      <c r="C88" s="1">
        <v>45357</v>
      </c>
      <c r="D88" s="1">
        <v>45358</v>
      </c>
      <c r="E88" t="s">
        <v>1032</v>
      </c>
      <c r="F88" t="s">
        <v>1756</v>
      </c>
      <c r="G88" t="s">
        <v>1394</v>
      </c>
      <c r="H88" t="s">
        <v>2664</v>
      </c>
      <c r="I88" t="s">
        <v>2739</v>
      </c>
      <c r="J88" t="s">
        <v>2755</v>
      </c>
      <c r="K88" t="s">
        <v>1480</v>
      </c>
      <c r="L88" t="s">
        <v>2789</v>
      </c>
      <c r="M88" t="s">
        <v>2558</v>
      </c>
      <c r="N88" t="s">
        <v>2558</v>
      </c>
      <c r="O88" t="s">
        <v>2603</v>
      </c>
      <c r="R88" t="s">
        <v>2790</v>
      </c>
      <c r="S88" t="s">
        <v>2606</v>
      </c>
      <c r="T88">
        <v>1</v>
      </c>
      <c r="U88" s="2">
        <v>902.62</v>
      </c>
      <c r="V88" s="3">
        <v>0.1</v>
      </c>
      <c r="W88" s="2">
        <v>812.36</v>
      </c>
      <c r="X88" s="2">
        <v>160.72999999999999</v>
      </c>
      <c r="Y88" s="3">
        <v>0.19785563050864149</v>
      </c>
      <c r="Z88" t="s">
        <v>1496</v>
      </c>
      <c r="AA88" t="s">
        <v>1498</v>
      </c>
      <c r="AB88" t="s">
        <v>1501</v>
      </c>
      <c r="AC88">
        <v>1</v>
      </c>
      <c r="AD88">
        <v>2024</v>
      </c>
      <c r="AE88" t="s">
        <v>2810</v>
      </c>
      <c r="AF88" t="s">
        <v>2822</v>
      </c>
      <c r="AG88" t="s">
        <v>2844</v>
      </c>
      <c r="AH88" t="s">
        <v>2848</v>
      </c>
      <c r="AI88">
        <v>1</v>
      </c>
    </row>
    <row r="89" spans="1:35" x14ac:dyDescent="0.3">
      <c r="A89" t="s">
        <v>97</v>
      </c>
      <c r="B89">
        <v>1</v>
      </c>
      <c r="C89" s="1">
        <v>45358</v>
      </c>
      <c r="D89" s="1">
        <v>45358</v>
      </c>
      <c r="E89" t="s">
        <v>1033</v>
      </c>
      <c r="F89" t="s">
        <v>2040</v>
      </c>
      <c r="G89" t="s">
        <v>1383</v>
      </c>
      <c r="H89" t="s">
        <v>2726</v>
      </c>
      <c r="I89" t="s">
        <v>2742</v>
      </c>
      <c r="J89" t="s">
        <v>2771</v>
      </c>
      <c r="K89" t="s">
        <v>1482</v>
      </c>
      <c r="L89" t="s">
        <v>2783</v>
      </c>
      <c r="M89" t="s">
        <v>2563</v>
      </c>
      <c r="N89" t="s">
        <v>2581</v>
      </c>
      <c r="O89" t="s">
        <v>2604</v>
      </c>
      <c r="P89" t="s">
        <v>2560</v>
      </c>
      <c r="Q89" t="s">
        <v>2579</v>
      </c>
      <c r="R89" t="s">
        <v>2604</v>
      </c>
      <c r="S89" t="s">
        <v>2608</v>
      </c>
      <c r="T89">
        <v>2</v>
      </c>
      <c r="U89" s="2">
        <v>17693.080000000002</v>
      </c>
      <c r="V89" s="3">
        <v>0.1</v>
      </c>
      <c r="W89" s="2">
        <v>31847.54</v>
      </c>
      <c r="X89" s="2">
        <v>3553.46</v>
      </c>
      <c r="Y89" s="3">
        <v>0.11157722072097249</v>
      </c>
      <c r="Z89" t="s">
        <v>1496</v>
      </c>
      <c r="AA89" t="s">
        <v>1499</v>
      </c>
      <c r="AB89" t="s">
        <v>1501</v>
      </c>
      <c r="AC89">
        <v>0</v>
      </c>
      <c r="AD89">
        <v>2024</v>
      </c>
      <c r="AE89" t="s">
        <v>2810</v>
      </c>
      <c r="AF89" t="s">
        <v>2822</v>
      </c>
      <c r="AG89" t="s">
        <v>2844</v>
      </c>
      <c r="AH89" t="s">
        <v>2848</v>
      </c>
      <c r="AI89">
        <v>1</v>
      </c>
    </row>
    <row r="90" spans="1:35" x14ac:dyDescent="0.3">
      <c r="A90" t="s">
        <v>98</v>
      </c>
      <c r="B90">
        <v>1</v>
      </c>
      <c r="C90" s="1">
        <v>45359</v>
      </c>
      <c r="D90" s="1">
        <v>45362</v>
      </c>
      <c r="E90" t="s">
        <v>1034</v>
      </c>
      <c r="F90" t="s">
        <v>2011</v>
      </c>
      <c r="G90" t="s">
        <v>1354</v>
      </c>
      <c r="H90" t="s">
        <v>2652</v>
      </c>
      <c r="I90" t="s">
        <v>2738</v>
      </c>
      <c r="J90" t="s">
        <v>2752</v>
      </c>
      <c r="K90" t="s">
        <v>1480</v>
      </c>
      <c r="L90" t="s">
        <v>2789</v>
      </c>
      <c r="M90" t="s">
        <v>2564</v>
      </c>
      <c r="N90" t="s">
        <v>2582</v>
      </c>
      <c r="O90" t="s">
        <v>2601</v>
      </c>
      <c r="R90" t="s">
        <v>2790</v>
      </c>
      <c r="S90" t="s">
        <v>2606</v>
      </c>
      <c r="T90">
        <v>2</v>
      </c>
      <c r="U90" s="2">
        <v>45654.38</v>
      </c>
      <c r="V90" s="3">
        <v>0</v>
      </c>
      <c r="W90" s="2">
        <v>91308.76</v>
      </c>
      <c r="X90" s="2">
        <v>25909</v>
      </c>
      <c r="Y90" s="3">
        <v>0.28375152614053678</v>
      </c>
      <c r="Z90" t="s">
        <v>1495</v>
      </c>
      <c r="AA90" t="s">
        <v>1498</v>
      </c>
      <c r="AB90" t="s">
        <v>1501</v>
      </c>
      <c r="AC90">
        <v>3</v>
      </c>
      <c r="AD90">
        <v>2024</v>
      </c>
      <c r="AE90" t="s">
        <v>2810</v>
      </c>
      <c r="AF90" t="s">
        <v>2822</v>
      </c>
      <c r="AG90" t="s">
        <v>2844</v>
      </c>
      <c r="AH90" t="s">
        <v>2848</v>
      </c>
      <c r="AI90">
        <v>1</v>
      </c>
    </row>
    <row r="91" spans="1:35" x14ac:dyDescent="0.3">
      <c r="A91" t="s">
        <v>99</v>
      </c>
      <c r="B91">
        <v>1</v>
      </c>
      <c r="C91" s="1">
        <v>45359</v>
      </c>
      <c r="D91" s="1">
        <v>45361</v>
      </c>
      <c r="E91" t="s">
        <v>1035</v>
      </c>
      <c r="F91" t="s">
        <v>1926</v>
      </c>
      <c r="G91" t="s">
        <v>1395</v>
      </c>
      <c r="H91" t="s">
        <v>2727</v>
      </c>
      <c r="I91" t="s">
        <v>2742</v>
      </c>
      <c r="J91" t="s">
        <v>2771</v>
      </c>
      <c r="K91" t="s">
        <v>1480</v>
      </c>
      <c r="L91" t="s">
        <v>2789</v>
      </c>
      <c r="M91" t="s">
        <v>2565</v>
      </c>
      <c r="N91" t="s">
        <v>2583</v>
      </c>
      <c r="O91" t="s">
        <v>2604</v>
      </c>
      <c r="R91" t="s">
        <v>2790</v>
      </c>
      <c r="S91" t="s">
        <v>2607</v>
      </c>
      <c r="T91">
        <v>1</v>
      </c>
      <c r="U91" s="2">
        <v>5383.63</v>
      </c>
      <c r="V91" s="3">
        <v>0</v>
      </c>
      <c r="W91" s="2">
        <v>5383.63</v>
      </c>
      <c r="X91" s="2">
        <v>1175.04</v>
      </c>
      <c r="Y91" s="3">
        <v>0.2182616561687932</v>
      </c>
      <c r="Z91" t="s">
        <v>1497</v>
      </c>
      <c r="AA91" t="s">
        <v>1499</v>
      </c>
      <c r="AB91" t="s">
        <v>1501</v>
      </c>
      <c r="AC91">
        <v>2</v>
      </c>
      <c r="AD91">
        <v>2024</v>
      </c>
      <c r="AE91" t="s">
        <v>2810</v>
      </c>
      <c r="AF91" t="s">
        <v>2822</v>
      </c>
      <c r="AG91" t="s">
        <v>2844</v>
      </c>
      <c r="AH91" t="s">
        <v>2848</v>
      </c>
      <c r="AI91">
        <v>1</v>
      </c>
    </row>
    <row r="92" spans="1:35" x14ac:dyDescent="0.3">
      <c r="A92" t="s">
        <v>100</v>
      </c>
      <c r="B92">
        <v>1</v>
      </c>
      <c r="C92" s="1">
        <v>45360</v>
      </c>
      <c r="D92" s="1">
        <v>45361</v>
      </c>
      <c r="E92" t="s">
        <v>991</v>
      </c>
      <c r="F92" t="s">
        <v>1930</v>
      </c>
      <c r="G92" t="s">
        <v>1329</v>
      </c>
      <c r="H92" t="s">
        <v>2659</v>
      </c>
      <c r="I92" t="s">
        <v>2739</v>
      </c>
      <c r="J92" t="s">
        <v>2759</v>
      </c>
      <c r="K92" t="s">
        <v>1482</v>
      </c>
      <c r="L92" t="s">
        <v>2783</v>
      </c>
      <c r="M92" t="s">
        <v>2569</v>
      </c>
      <c r="N92" t="s">
        <v>2594</v>
      </c>
      <c r="O92" t="s">
        <v>2604</v>
      </c>
      <c r="P92" t="s">
        <v>2560</v>
      </c>
      <c r="Q92" t="s">
        <v>2579</v>
      </c>
      <c r="R92" t="s">
        <v>2604</v>
      </c>
      <c r="S92" t="s">
        <v>2608</v>
      </c>
      <c r="T92">
        <v>1</v>
      </c>
      <c r="U92" s="2">
        <v>1065.95</v>
      </c>
      <c r="V92" s="3">
        <v>0</v>
      </c>
      <c r="W92" s="2">
        <v>1065.95</v>
      </c>
      <c r="X92" s="2">
        <v>380.77</v>
      </c>
      <c r="Y92" s="3">
        <v>0.35721187672967769</v>
      </c>
      <c r="Z92" t="s">
        <v>1494</v>
      </c>
      <c r="AA92" t="s">
        <v>1499</v>
      </c>
      <c r="AB92" t="s">
        <v>1502</v>
      </c>
      <c r="AC92">
        <v>1</v>
      </c>
      <c r="AD92">
        <v>2024</v>
      </c>
      <c r="AE92" t="s">
        <v>2810</v>
      </c>
      <c r="AF92" t="s">
        <v>2822</v>
      </c>
      <c r="AG92" t="s">
        <v>2844</v>
      </c>
      <c r="AH92" t="s">
        <v>2848</v>
      </c>
      <c r="AI92">
        <v>1</v>
      </c>
    </row>
    <row r="93" spans="1:35" x14ac:dyDescent="0.3">
      <c r="A93" t="s">
        <v>101</v>
      </c>
      <c r="B93">
        <v>1</v>
      </c>
      <c r="C93" s="1">
        <v>45360</v>
      </c>
      <c r="D93" s="1">
        <v>45361</v>
      </c>
      <c r="E93" t="s">
        <v>1036</v>
      </c>
      <c r="F93" t="s">
        <v>1986</v>
      </c>
      <c r="G93" t="s">
        <v>1396</v>
      </c>
      <c r="H93" t="s">
        <v>2711</v>
      </c>
      <c r="I93" t="s">
        <v>2741</v>
      </c>
      <c r="J93" t="s">
        <v>2766</v>
      </c>
      <c r="K93" t="s">
        <v>1480</v>
      </c>
      <c r="L93" t="s">
        <v>2789</v>
      </c>
      <c r="M93" t="s">
        <v>2567</v>
      </c>
      <c r="N93" t="s">
        <v>2585</v>
      </c>
      <c r="O93" t="s">
        <v>2604</v>
      </c>
      <c r="R93" t="s">
        <v>2790</v>
      </c>
      <c r="S93" t="s">
        <v>2606</v>
      </c>
      <c r="T93">
        <v>3</v>
      </c>
      <c r="U93" s="2">
        <v>1866.05</v>
      </c>
      <c r="V93" s="3">
        <v>0.15</v>
      </c>
      <c r="W93" s="2">
        <v>4758.43</v>
      </c>
      <c r="X93" s="2">
        <v>985.3</v>
      </c>
      <c r="Y93" s="3">
        <v>0.2070640946698806</v>
      </c>
      <c r="Z93" t="s">
        <v>1494</v>
      </c>
      <c r="AA93" t="s">
        <v>1499</v>
      </c>
      <c r="AB93" t="s">
        <v>1501</v>
      </c>
      <c r="AC93">
        <v>1</v>
      </c>
      <c r="AD93">
        <v>2024</v>
      </c>
      <c r="AE93" t="s">
        <v>2810</v>
      </c>
      <c r="AF93" t="s">
        <v>2822</v>
      </c>
      <c r="AG93" t="s">
        <v>2844</v>
      </c>
      <c r="AH93" t="s">
        <v>2848</v>
      </c>
      <c r="AI93">
        <v>1</v>
      </c>
    </row>
    <row r="94" spans="1:35" x14ac:dyDescent="0.3">
      <c r="A94" t="s">
        <v>102</v>
      </c>
      <c r="B94">
        <v>1</v>
      </c>
      <c r="C94" s="1">
        <v>45361</v>
      </c>
      <c r="D94" s="1">
        <v>45363</v>
      </c>
      <c r="E94" t="s">
        <v>1027</v>
      </c>
      <c r="F94" t="s">
        <v>1655</v>
      </c>
      <c r="G94" t="s">
        <v>1397</v>
      </c>
      <c r="H94" t="s">
        <v>2650</v>
      </c>
      <c r="I94" t="s">
        <v>2738</v>
      </c>
      <c r="J94" t="s">
        <v>2751</v>
      </c>
      <c r="K94" t="s">
        <v>1480</v>
      </c>
      <c r="L94" t="s">
        <v>2789</v>
      </c>
      <c r="M94" t="s">
        <v>2555</v>
      </c>
      <c r="N94" t="s">
        <v>2578</v>
      </c>
      <c r="O94" t="s">
        <v>2603</v>
      </c>
      <c r="R94" t="s">
        <v>2790</v>
      </c>
      <c r="S94" t="s">
        <v>2608</v>
      </c>
      <c r="T94">
        <v>2</v>
      </c>
      <c r="U94" s="2">
        <v>42202.74</v>
      </c>
      <c r="V94" s="3">
        <v>0</v>
      </c>
      <c r="W94" s="2">
        <v>84405.48</v>
      </c>
      <c r="X94" s="2">
        <v>15575.52</v>
      </c>
      <c r="Y94" s="3">
        <v>0.18453209436164569</v>
      </c>
      <c r="Z94" t="s">
        <v>1496</v>
      </c>
      <c r="AA94" t="s">
        <v>1498</v>
      </c>
      <c r="AB94" t="s">
        <v>1501</v>
      </c>
      <c r="AC94">
        <v>2</v>
      </c>
      <c r="AD94">
        <v>2024</v>
      </c>
      <c r="AE94" t="s">
        <v>2810</v>
      </c>
      <c r="AF94" t="s">
        <v>2822</v>
      </c>
      <c r="AG94" t="s">
        <v>2844</v>
      </c>
      <c r="AH94" t="s">
        <v>2848</v>
      </c>
      <c r="AI94">
        <v>1</v>
      </c>
    </row>
    <row r="95" spans="1:35" x14ac:dyDescent="0.3">
      <c r="A95" t="s">
        <v>103</v>
      </c>
      <c r="B95">
        <v>1</v>
      </c>
      <c r="C95" s="1">
        <v>45362</v>
      </c>
      <c r="D95" s="1">
        <v>45363</v>
      </c>
      <c r="E95" t="s">
        <v>1037</v>
      </c>
      <c r="F95" t="s">
        <v>1649</v>
      </c>
      <c r="G95" t="s">
        <v>1346</v>
      </c>
      <c r="H95" t="s">
        <v>2670</v>
      </c>
      <c r="I95" t="s">
        <v>2739</v>
      </c>
      <c r="J95" t="s">
        <v>2756</v>
      </c>
      <c r="K95" t="s">
        <v>1492</v>
      </c>
      <c r="L95" t="s">
        <v>2788</v>
      </c>
      <c r="M95" t="s">
        <v>2550</v>
      </c>
      <c r="N95" t="s">
        <v>2573</v>
      </c>
      <c r="O95" t="s">
        <v>2601</v>
      </c>
      <c r="P95" t="s">
        <v>2554</v>
      </c>
      <c r="Q95" t="s">
        <v>2577</v>
      </c>
      <c r="R95" t="s">
        <v>2601</v>
      </c>
      <c r="S95" t="s">
        <v>2606</v>
      </c>
      <c r="T95">
        <v>2</v>
      </c>
      <c r="U95" s="2">
        <v>3324.39</v>
      </c>
      <c r="V95" s="3">
        <v>0.05</v>
      </c>
      <c r="W95" s="2">
        <v>6316.34</v>
      </c>
      <c r="X95" s="2">
        <v>2135.6</v>
      </c>
      <c r="Y95" s="3">
        <v>0.33810719498950342</v>
      </c>
      <c r="Z95" t="s">
        <v>1497</v>
      </c>
      <c r="AA95" t="s">
        <v>1498</v>
      </c>
      <c r="AB95" t="s">
        <v>1501</v>
      </c>
      <c r="AC95">
        <v>1</v>
      </c>
      <c r="AD95">
        <v>2024</v>
      </c>
      <c r="AE95" t="s">
        <v>2810</v>
      </c>
      <c r="AF95" t="s">
        <v>2822</v>
      </c>
      <c r="AG95" t="s">
        <v>2844</v>
      </c>
      <c r="AH95" t="s">
        <v>2848</v>
      </c>
      <c r="AI95">
        <v>1</v>
      </c>
    </row>
    <row r="96" spans="1:35" x14ac:dyDescent="0.3">
      <c r="A96" t="s">
        <v>104</v>
      </c>
      <c r="B96">
        <v>2</v>
      </c>
      <c r="C96" s="1">
        <v>45363</v>
      </c>
      <c r="D96" s="1">
        <v>45365</v>
      </c>
      <c r="E96" t="s">
        <v>1038</v>
      </c>
      <c r="F96" t="s">
        <v>1898</v>
      </c>
      <c r="G96" t="s">
        <v>1339</v>
      </c>
      <c r="H96" t="s">
        <v>2715</v>
      </c>
      <c r="I96" t="s">
        <v>2741</v>
      </c>
      <c r="J96" t="s">
        <v>2767</v>
      </c>
      <c r="K96" t="s">
        <v>1480</v>
      </c>
      <c r="L96" t="s">
        <v>2789</v>
      </c>
      <c r="M96" t="s">
        <v>2570</v>
      </c>
      <c r="N96" t="s">
        <v>2590</v>
      </c>
      <c r="O96" t="s">
        <v>2605</v>
      </c>
      <c r="R96" t="s">
        <v>2790</v>
      </c>
      <c r="S96" t="s">
        <v>2607</v>
      </c>
      <c r="T96">
        <v>1</v>
      </c>
      <c r="U96" s="2">
        <v>763.54</v>
      </c>
      <c r="V96" s="3">
        <v>0</v>
      </c>
      <c r="W96" s="2">
        <v>763.54</v>
      </c>
      <c r="X96" s="2">
        <v>240.98</v>
      </c>
      <c r="Y96" s="3">
        <v>0.31560887445320479</v>
      </c>
      <c r="Z96" t="s">
        <v>1495</v>
      </c>
      <c r="AA96" t="s">
        <v>1500</v>
      </c>
      <c r="AB96" t="s">
        <v>1501</v>
      </c>
      <c r="AC96">
        <v>2</v>
      </c>
      <c r="AD96">
        <v>2024</v>
      </c>
      <c r="AE96" t="s">
        <v>2810</v>
      </c>
      <c r="AF96" t="s">
        <v>2822</v>
      </c>
      <c r="AG96" t="s">
        <v>2844</v>
      </c>
      <c r="AH96" t="s">
        <v>2848</v>
      </c>
      <c r="AI96">
        <v>1</v>
      </c>
    </row>
    <row r="97" spans="1:35" x14ac:dyDescent="0.3">
      <c r="A97" t="s">
        <v>105</v>
      </c>
      <c r="B97">
        <v>1</v>
      </c>
      <c r="C97" s="1">
        <v>45363</v>
      </c>
      <c r="D97" s="1">
        <v>45363</v>
      </c>
      <c r="E97" t="s">
        <v>1039</v>
      </c>
      <c r="F97" t="s">
        <v>1877</v>
      </c>
      <c r="G97" t="s">
        <v>1384</v>
      </c>
      <c r="H97" t="s">
        <v>2659</v>
      </c>
      <c r="I97" t="s">
        <v>2738</v>
      </c>
      <c r="J97" t="s">
        <v>2754</v>
      </c>
      <c r="K97" t="s">
        <v>1481</v>
      </c>
      <c r="L97" t="s">
        <v>2777</v>
      </c>
      <c r="M97" t="s">
        <v>2556</v>
      </c>
      <c r="N97" t="s">
        <v>2574</v>
      </c>
      <c r="O97" t="s">
        <v>2602</v>
      </c>
      <c r="P97" t="s">
        <v>2557</v>
      </c>
      <c r="Q97" t="s">
        <v>2576</v>
      </c>
      <c r="R97" t="s">
        <v>2602</v>
      </c>
      <c r="S97" t="s">
        <v>2606</v>
      </c>
      <c r="T97">
        <v>1</v>
      </c>
      <c r="U97" s="2">
        <v>35937.699999999997</v>
      </c>
      <c r="V97" s="3">
        <v>0</v>
      </c>
      <c r="W97" s="2">
        <v>35937.699999999997</v>
      </c>
      <c r="X97" s="2">
        <v>10629.44</v>
      </c>
      <c r="Y97" s="3">
        <v>0.29577407569210051</v>
      </c>
      <c r="Z97" t="s">
        <v>1496</v>
      </c>
      <c r="AA97" t="s">
        <v>1498</v>
      </c>
      <c r="AB97" t="s">
        <v>1501</v>
      </c>
      <c r="AC97">
        <v>0</v>
      </c>
      <c r="AD97">
        <v>2024</v>
      </c>
      <c r="AE97" t="s">
        <v>2810</v>
      </c>
      <c r="AF97" t="s">
        <v>2822</v>
      </c>
      <c r="AG97" t="s">
        <v>2844</v>
      </c>
      <c r="AH97" t="s">
        <v>2848</v>
      </c>
      <c r="AI97">
        <v>1</v>
      </c>
    </row>
    <row r="98" spans="1:35" x14ac:dyDescent="0.3">
      <c r="A98" t="s">
        <v>106</v>
      </c>
      <c r="B98">
        <v>1</v>
      </c>
      <c r="C98" s="1">
        <v>45364</v>
      </c>
      <c r="D98" s="1">
        <v>45366</v>
      </c>
      <c r="E98" t="s">
        <v>981</v>
      </c>
      <c r="F98" t="s">
        <v>1714</v>
      </c>
      <c r="G98" t="s">
        <v>1398</v>
      </c>
      <c r="H98" t="s">
        <v>2724</v>
      </c>
      <c r="I98" t="s">
        <v>2742</v>
      </c>
      <c r="J98" t="s">
        <v>2770</v>
      </c>
      <c r="K98" t="s">
        <v>1480</v>
      </c>
      <c r="L98" t="s">
        <v>2789</v>
      </c>
      <c r="M98" t="s">
        <v>2562</v>
      </c>
      <c r="N98" t="s">
        <v>2574</v>
      </c>
      <c r="O98" t="s">
        <v>2602</v>
      </c>
      <c r="R98" t="s">
        <v>2790</v>
      </c>
      <c r="S98" t="s">
        <v>2607</v>
      </c>
      <c r="T98">
        <v>1</v>
      </c>
      <c r="U98" s="2">
        <v>21441.39</v>
      </c>
      <c r="V98" s="3">
        <v>0</v>
      </c>
      <c r="W98" s="2">
        <v>21441.39</v>
      </c>
      <c r="X98" s="2">
        <v>4253.84</v>
      </c>
      <c r="Y98" s="3">
        <v>0.19839385412979291</v>
      </c>
      <c r="Z98" t="s">
        <v>1495</v>
      </c>
      <c r="AA98" t="s">
        <v>1500</v>
      </c>
      <c r="AB98" t="s">
        <v>1501</v>
      </c>
      <c r="AC98">
        <v>2</v>
      </c>
      <c r="AD98">
        <v>2024</v>
      </c>
      <c r="AE98" t="s">
        <v>2810</v>
      </c>
      <c r="AF98" t="s">
        <v>2822</v>
      </c>
      <c r="AG98" t="s">
        <v>2844</v>
      </c>
      <c r="AH98" t="s">
        <v>2848</v>
      </c>
      <c r="AI98">
        <v>1</v>
      </c>
    </row>
    <row r="99" spans="1:35" x14ac:dyDescent="0.3">
      <c r="A99" t="s">
        <v>107</v>
      </c>
      <c r="B99">
        <v>2</v>
      </c>
      <c r="C99" s="1">
        <v>45364</v>
      </c>
      <c r="D99" s="1">
        <v>45364</v>
      </c>
      <c r="E99" t="s">
        <v>1040</v>
      </c>
      <c r="F99" t="s">
        <v>1742</v>
      </c>
      <c r="G99" t="s">
        <v>1344</v>
      </c>
      <c r="H99" t="s">
        <v>2717</v>
      </c>
      <c r="I99" t="s">
        <v>2741</v>
      </c>
      <c r="J99" t="s">
        <v>2768</v>
      </c>
      <c r="K99" t="s">
        <v>1484</v>
      </c>
      <c r="L99" t="s">
        <v>2778</v>
      </c>
      <c r="M99" t="s">
        <v>2568</v>
      </c>
      <c r="N99" t="s">
        <v>2593</v>
      </c>
      <c r="O99" t="s">
        <v>2603</v>
      </c>
      <c r="P99" t="s">
        <v>2559</v>
      </c>
      <c r="Q99" t="s">
        <v>2559</v>
      </c>
      <c r="R99" t="s">
        <v>2603</v>
      </c>
      <c r="S99" t="s">
        <v>2606</v>
      </c>
      <c r="T99">
        <v>3</v>
      </c>
      <c r="U99" s="2">
        <v>555.59</v>
      </c>
      <c r="V99" s="3">
        <v>0.05</v>
      </c>
      <c r="W99" s="2">
        <v>1583.43</v>
      </c>
      <c r="X99" s="2">
        <v>446.13</v>
      </c>
      <c r="Y99" s="3">
        <v>0.28174911426460281</v>
      </c>
      <c r="Z99" t="s">
        <v>1496</v>
      </c>
      <c r="AA99" t="s">
        <v>1498</v>
      </c>
      <c r="AB99" t="s">
        <v>1501</v>
      </c>
      <c r="AC99">
        <v>0</v>
      </c>
      <c r="AD99">
        <v>2024</v>
      </c>
      <c r="AE99" t="s">
        <v>2810</v>
      </c>
      <c r="AF99" t="s">
        <v>2822</v>
      </c>
      <c r="AG99" t="s">
        <v>2844</v>
      </c>
      <c r="AH99" t="s">
        <v>2848</v>
      </c>
      <c r="AI99">
        <v>1</v>
      </c>
    </row>
    <row r="100" spans="1:35" x14ac:dyDescent="0.3">
      <c r="A100" t="s">
        <v>108</v>
      </c>
      <c r="B100">
        <v>1</v>
      </c>
      <c r="C100" s="1">
        <v>45367</v>
      </c>
      <c r="D100" s="1">
        <v>45369</v>
      </c>
      <c r="E100" t="s">
        <v>1041</v>
      </c>
      <c r="F100" t="s">
        <v>1793</v>
      </c>
      <c r="G100" t="s">
        <v>1340</v>
      </c>
      <c r="H100" t="s">
        <v>2680</v>
      </c>
      <c r="I100" t="s">
        <v>2739</v>
      </c>
      <c r="J100" t="s">
        <v>2758</v>
      </c>
      <c r="K100" t="s">
        <v>1480</v>
      </c>
      <c r="L100" t="s">
        <v>2789</v>
      </c>
      <c r="M100" t="s">
        <v>2555</v>
      </c>
      <c r="N100" t="s">
        <v>2578</v>
      </c>
      <c r="O100" t="s">
        <v>2603</v>
      </c>
      <c r="R100" t="s">
        <v>2790</v>
      </c>
      <c r="S100" t="s">
        <v>2608</v>
      </c>
      <c r="T100">
        <v>1</v>
      </c>
      <c r="U100" s="2">
        <v>5570.6</v>
      </c>
      <c r="V100" s="3">
        <v>0</v>
      </c>
      <c r="W100" s="2">
        <v>5570.6</v>
      </c>
      <c r="X100" s="2">
        <v>1503.07</v>
      </c>
      <c r="Y100" s="3">
        <v>0.26982192223458867</v>
      </c>
      <c r="Z100" t="s">
        <v>1494</v>
      </c>
      <c r="AA100" t="s">
        <v>1500</v>
      </c>
      <c r="AB100" t="s">
        <v>1501</v>
      </c>
      <c r="AC100">
        <v>2</v>
      </c>
      <c r="AD100">
        <v>2024</v>
      </c>
      <c r="AE100" t="s">
        <v>2810</v>
      </c>
      <c r="AF100" t="s">
        <v>2822</v>
      </c>
      <c r="AG100" t="s">
        <v>2844</v>
      </c>
      <c r="AH100" t="s">
        <v>2848</v>
      </c>
      <c r="AI100">
        <v>1</v>
      </c>
    </row>
    <row r="101" spans="1:35" x14ac:dyDescent="0.3">
      <c r="A101" t="s">
        <v>109</v>
      </c>
      <c r="B101">
        <v>1</v>
      </c>
      <c r="C101" s="1">
        <v>45367</v>
      </c>
      <c r="D101" s="1">
        <v>45369</v>
      </c>
      <c r="E101" t="s">
        <v>1042</v>
      </c>
      <c r="F101" t="s">
        <v>1699</v>
      </c>
      <c r="G101" t="s">
        <v>1352</v>
      </c>
      <c r="H101" t="s">
        <v>2666</v>
      </c>
      <c r="I101" t="s">
        <v>2739</v>
      </c>
      <c r="J101" t="s">
        <v>2755</v>
      </c>
      <c r="K101" t="s">
        <v>1480</v>
      </c>
      <c r="L101" t="s">
        <v>2789</v>
      </c>
      <c r="M101" t="s">
        <v>2560</v>
      </c>
      <c r="N101" t="s">
        <v>2591</v>
      </c>
      <c r="O101" t="s">
        <v>2604</v>
      </c>
      <c r="R101" t="s">
        <v>2790</v>
      </c>
      <c r="S101" t="s">
        <v>2606</v>
      </c>
      <c r="T101">
        <v>1</v>
      </c>
      <c r="U101" s="2">
        <v>3696.44</v>
      </c>
      <c r="V101" s="3">
        <v>0</v>
      </c>
      <c r="W101" s="2">
        <v>3696.44</v>
      </c>
      <c r="X101" s="2">
        <v>1613.88</v>
      </c>
      <c r="Y101" s="3">
        <v>0.43660386750495073</v>
      </c>
      <c r="Z101" t="s">
        <v>1496</v>
      </c>
      <c r="AA101" t="s">
        <v>1500</v>
      </c>
      <c r="AB101" t="s">
        <v>1501</v>
      </c>
      <c r="AC101">
        <v>2</v>
      </c>
      <c r="AD101">
        <v>2024</v>
      </c>
      <c r="AE101" t="s">
        <v>2810</v>
      </c>
      <c r="AF101" t="s">
        <v>2822</v>
      </c>
      <c r="AG101" t="s">
        <v>2844</v>
      </c>
      <c r="AH101" t="s">
        <v>2848</v>
      </c>
      <c r="AI101">
        <v>1</v>
      </c>
    </row>
    <row r="102" spans="1:35" x14ac:dyDescent="0.3">
      <c r="A102" t="s">
        <v>110</v>
      </c>
      <c r="B102">
        <v>2</v>
      </c>
      <c r="C102" s="1">
        <v>45367</v>
      </c>
      <c r="D102" s="1">
        <v>45368</v>
      </c>
      <c r="E102" t="s">
        <v>1043</v>
      </c>
      <c r="F102" t="s">
        <v>1940</v>
      </c>
      <c r="G102" t="s">
        <v>1387</v>
      </c>
      <c r="H102" t="s">
        <v>2730</v>
      </c>
      <c r="I102" t="s">
        <v>2742</v>
      </c>
      <c r="J102" t="s">
        <v>2771</v>
      </c>
      <c r="K102" t="s">
        <v>1480</v>
      </c>
      <c r="L102" t="s">
        <v>2789</v>
      </c>
      <c r="M102" t="s">
        <v>2566</v>
      </c>
      <c r="N102" t="s">
        <v>2584</v>
      </c>
      <c r="O102" t="s">
        <v>2601</v>
      </c>
      <c r="R102" t="s">
        <v>2790</v>
      </c>
      <c r="S102" t="s">
        <v>2606</v>
      </c>
      <c r="T102">
        <v>1</v>
      </c>
      <c r="U102" s="2">
        <v>2184.2199999999998</v>
      </c>
      <c r="V102" s="3">
        <v>0.1</v>
      </c>
      <c r="W102" s="2">
        <v>1965.8</v>
      </c>
      <c r="X102" s="2">
        <v>323.69</v>
      </c>
      <c r="Y102" s="3">
        <v>0.1646606979346831</v>
      </c>
      <c r="Z102" t="s">
        <v>1494</v>
      </c>
      <c r="AA102" t="s">
        <v>1500</v>
      </c>
      <c r="AB102" t="s">
        <v>1501</v>
      </c>
      <c r="AC102">
        <v>1</v>
      </c>
      <c r="AD102">
        <v>2024</v>
      </c>
      <c r="AE102" t="s">
        <v>2810</v>
      </c>
      <c r="AF102" t="s">
        <v>2822</v>
      </c>
      <c r="AG102" t="s">
        <v>2844</v>
      </c>
      <c r="AH102" t="s">
        <v>2848</v>
      </c>
      <c r="AI102">
        <v>1</v>
      </c>
    </row>
    <row r="103" spans="1:35" x14ac:dyDescent="0.3">
      <c r="A103" t="s">
        <v>111</v>
      </c>
      <c r="B103">
        <v>2</v>
      </c>
      <c r="C103" s="1">
        <v>45367</v>
      </c>
      <c r="D103" s="1">
        <v>45368</v>
      </c>
      <c r="E103" t="s">
        <v>1044</v>
      </c>
      <c r="F103" t="s">
        <v>1816</v>
      </c>
      <c r="G103" t="s">
        <v>1396</v>
      </c>
      <c r="H103" t="s">
        <v>2711</v>
      </c>
      <c r="I103" t="s">
        <v>2741</v>
      </c>
      <c r="J103" t="s">
        <v>2766</v>
      </c>
      <c r="K103" t="s">
        <v>1480</v>
      </c>
      <c r="L103" t="s">
        <v>2789</v>
      </c>
      <c r="M103" t="s">
        <v>2550</v>
      </c>
      <c r="N103" t="s">
        <v>2573</v>
      </c>
      <c r="O103" t="s">
        <v>2601</v>
      </c>
      <c r="R103" t="s">
        <v>2790</v>
      </c>
      <c r="S103" t="s">
        <v>2608</v>
      </c>
      <c r="T103">
        <v>1</v>
      </c>
      <c r="U103" s="2">
        <v>1866.05</v>
      </c>
      <c r="V103" s="3">
        <v>0</v>
      </c>
      <c r="W103" s="2">
        <v>1866.05</v>
      </c>
      <c r="X103" s="2">
        <v>608.34</v>
      </c>
      <c r="Y103" s="3">
        <v>0.32600412636317361</v>
      </c>
      <c r="Z103" t="s">
        <v>1497</v>
      </c>
      <c r="AA103" t="s">
        <v>1498</v>
      </c>
      <c r="AB103" t="s">
        <v>1501</v>
      </c>
      <c r="AC103">
        <v>1</v>
      </c>
      <c r="AD103">
        <v>2024</v>
      </c>
      <c r="AE103" t="s">
        <v>2810</v>
      </c>
      <c r="AF103" t="s">
        <v>2822</v>
      </c>
      <c r="AG103" t="s">
        <v>2844</v>
      </c>
      <c r="AH103" t="s">
        <v>2848</v>
      </c>
      <c r="AI103">
        <v>1</v>
      </c>
    </row>
    <row r="104" spans="1:35" x14ac:dyDescent="0.3">
      <c r="A104" t="s">
        <v>112</v>
      </c>
      <c r="B104">
        <v>1</v>
      </c>
      <c r="C104" s="1">
        <v>45367</v>
      </c>
      <c r="D104" s="1">
        <v>45368</v>
      </c>
      <c r="E104" t="s">
        <v>965</v>
      </c>
      <c r="F104" t="s">
        <v>1685</v>
      </c>
      <c r="G104" t="s">
        <v>1399</v>
      </c>
      <c r="H104" t="s">
        <v>2691</v>
      </c>
      <c r="I104" t="s">
        <v>2740</v>
      </c>
      <c r="J104" t="s">
        <v>2761</v>
      </c>
      <c r="K104" t="s">
        <v>1480</v>
      </c>
      <c r="L104" t="s">
        <v>2789</v>
      </c>
      <c r="M104" t="s">
        <v>2569</v>
      </c>
      <c r="N104" t="s">
        <v>2587</v>
      </c>
      <c r="O104" t="s">
        <v>2604</v>
      </c>
      <c r="R104" t="s">
        <v>2790</v>
      </c>
      <c r="S104" t="s">
        <v>2608</v>
      </c>
      <c r="T104">
        <v>1</v>
      </c>
      <c r="U104" s="2">
        <v>711.86</v>
      </c>
      <c r="V104" s="3">
        <v>0.25</v>
      </c>
      <c r="W104" s="2">
        <v>533.89</v>
      </c>
      <c r="X104" s="2">
        <v>-105.17</v>
      </c>
      <c r="Y104" s="3">
        <v>-0.19698814362509129</v>
      </c>
      <c r="Z104" t="s">
        <v>1495</v>
      </c>
      <c r="AA104" t="s">
        <v>1498</v>
      </c>
      <c r="AB104" t="s">
        <v>1501</v>
      </c>
      <c r="AC104">
        <v>1</v>
      </c>
      <c r="AD104">
        <v>2024</v>
      </c>
      <c r="AE104" t="s">
        <v>2810</v>
      </c>
      <c r="AF104" t="s">
        <v>2822</v>
      </c>
      <c r="AG104" t="s">
        <v>2844</v>
      </c>
      <c r="AH104" t="s">
        <v>2848</v>
      </c>
      <c r="AI104">
        <v>1</v>
      </c>
    </row>
    <row r="105" spans="1:35" x14ac:dyDescent="0.3">
      <c r="A105" t="s">
        <v>113</v>
      </c>
      <c r="B105">
        <v>1</v>
      </c>
      <c r="C105" s="1">
        <v>45368</v>
      </c>
      <c r="D105" s="1">
        <v>45368</v>
      </c>
      <c r="E105" t="s">
        <v>1045</v>
      </c>
      <c r="F105" t="s">
        <v>1686</v>
      </c>
      <c r="G105" t="s">
        <v>1400</v>
      </c>
      <c r="H105" t="s">
        <v>2642</v>
      </c>
      <c r="I105" t="s">
        <v>2738</v>
      </c>
      <c r="J105" t="s">
        <v>2750</v>
      </c>
      <c r="K105" t="s">
        <v>1487</v>
      </c>
      <c r="L105" t="s">
        <v>2785</v>
      </c>
      <c r="M105" t="s">
        <v>2550</v>
      </c>
      <c r="N105" t="s">
        <v>2573</v>
      </c>
      <c r="O105" t="s">
        <v>2601</v>
      </c>
      <c r="P105" t="s">
        <v>2550</v>
      </c>
      <c r="Q105" t="s">
        <v>2573</v>
      </c>
      <c r="R105" t="s">
        <v>2601</v>
      </c>
      <c r="S105" t="s">
        <v>2606</v>
      </c>
      <c r="T105">
        <v>1</v>
      </c>
      <c r="U105" s="2">
        <v>36178.629999999997</v>
      </c>
      <c r="V105" s="3">
        <v>0</v>
      </c>
      <c r="W105" s="2">
        <v>36178.629999999997</v>
      </c>
      <c r="X105" s="2">
        <v>5875.75</v>
      </c>
      <c r="Y105" s="3">
        <v>0.1624094113016441</v>
      </c>
      <c r="Z105" t="s">
        <v>1496</v>
      </c>
      <c r="AA105" t="s">
        <v>1498</v>
      </c>
      <c r="AB105" t="s">
        <v>1501</v>
      </c>
      <c r="AC105">
        <v>0</v>
      </c>
      <c r="AD105">
        <v>2024</v>
      </c>
      <c r="AE105" t="s">
        <v>2810</v>
      </c>
      <c r="AF105" t="s">
        <v>2822</v>
      </c>
      <c r="AG105" t="s">
        <v>2844</v>
      </c>
      <c r="AH105" t="s">
        <v>2848</v>
      </c>
      <c r="AI105">
        <v>1</v>
      </c>
    </row>
    <row r="106" spans="1:35" x14ac:dyDescent="0.3">
      <c r="A106" t="s">
        <v>114</v>
      </c>
      <c r="B106">
        <v>1</v>
      </c>
      <c r="C106" s="1">
        <v>45369</v>
      </c>
      <c r="D106" s="1">
        <v>45370</v>
      </c>
      <c r="E106" t="s">
        <v>1046</v>
      </c>
      <c r="F106" t="s">
        <v>1843</v>
      </c>
      <c r="G106" t="s">
        <v>1401</v>
      </c>
      <c r="H106" t="s">
        <v>2618</v>
      </c>
      <c r="I106" t="s">
        <v>2737</v>
      </c>
      <c r="J106" t="s">
        <v>2744</v>
      </c>
      <c r="K106" t="s">
        <v>1480</v>
      </c>
      <c r="L106" t="s">
        <v>2789</v>
      </c>
      <c r="M106" t="s">
        <v>2555</v>
      </c>
      <c r="N106" t="s">
        <v>2578</v>
      </c>
      <c r="O106" t="s">
        <v>2603</v>
      </c>
      <c r="R106" t="s">
        <v>2790</v>
      </c>
      <c r="S106" t="s">
        <v>2606</v>
      </c>
      <c r="T106">
        <v>1</v>
      </c>
      <c r="U106" s="2">
        <v>50900.49</v>
      </c>
      <c r="V106" s="3">
        <v>0</v>
      </c>
      <c r="W106" s="2">
        <v>50900.49</v>
      </c>
      <c r="X106" s="2">
        <v>7930.74</v>
      </c>
      <c r="Y106" s="3">
        <v>0.15580871618328229</v>
      </c>
      <c r="Z106" t="s">
        <v>1496</v>
      </c>
      <c r="AA106" t="s">
        <v>1498</v>
      </c>
      <c r="AB106" t="s">
        <v>1501</v>
      </c>
      <c r="AC106">
        <v>1</v>
      </c>
      <c r="AD106">
        <v>2024</v>
      </c>
      <c r="AE106" t="s">
        <v>2810</v>
      </c>
      <c r="AF106" t="s">
        <v>2822</v>
      </c>
      <c r="AG106" t="s">
        <v>2844</v>
      </c>
      <c r="AH106" t="s">
        <v>2848</v>
      </c>
      <c r="AI106">
        <v>1</v>
      </c>
    </row>
    <row r="107" spans="1:35" x14ac:dyDescent="0.3">
      <c r="A107" t="s">
        <v>115</v>
      </c>
      <c r="B107">
        <v>1</v>
      </c>
      <c r="C107" s="1">
        <v>45369</v>
      </c>
      <c r="D107" s="1">
        <v>45370</v>
      </c>
      <c r="E107" t="s">
        <v>987</v>
      </c>
      <c r="F107" t="s">
        <v>2005</v>
      </c>
      <c r="G107" t="s">
        <v>1375</v>
      </c>
      <c r="H107" t="s">
        <v>2622</v>
      </c>
      <c r="I107" t="s">
        <v>2737</v>
      </c>
      <c r="J107" t="s">
        <v>2745</v>
      </c>
      <c r="K107" t="s">
        <v>1480</v>
      </c>
      <c r="L107" t="s">
        <v>2789</v>
      </c>
      <c r="M107" t="s">
        <v>2550</v>
      </c>
      <c r="N107" t="s">
        <v>2573</v>
      </c>
      <c r="O107" t="s">
        <v>2601</v>
      </c>
      <c r="R107" t="s">
        <v>2790</v>
      </c>
      <c r="S107" t="s">
        <v>2608</v>
      </c>
      <c r="T107">
        <v>1</v>
      </c>
      <c r="U107" s="2">
        <v>35534</v>
      </c>
      <c r="V107" s="3">
        <v>0.2</v>
      </c>
      <c r="W107" s="2">
        <v>28427.200000000001</v>
      </c>
      <c r="X107" s="2">
        <v>-1305.24</v>
      </c>
      <c r="Y107" s="3">
        <v>-4.5915179827770582E-2</v>
      </c>
      <c r="Z107" t="s">
        <v>1495</v>
      </c>
      <c r="AA107" t="s">
        <v>1498</v>
      </c>
      <c r="AB107" t="s">
        <v>1501</v>
      </c>
      <c r="AC107">
        <v>1</v>
      </c>
      <c r="AD107">
        <v>2024</v>
      </c>
      <c r="AE107" t="s">
        <v>2810</v>
      </c>
      <c r="AF107" t="s">
        <v>2822</v>
      </c>
      <c r="AG107" t="s">
        <v>2844</v>
      </c>
      <c r="AH107" t="s">
        <v>2848</v>
      </c>
      <c r="AI107">
        <v>1</v>
      </c>
    </row>
    <row r="108" spans="1:35" x14ac:dyDescent="0.3">
      <c r="A108" t="s">
        <v>116</v>
      </c>
      <c r="B108">
        <v>1</v>
      </c>
      <c r="C108" s="1">
        <v>45369</v>
      </c>
      <c r="D108" s="1">
        <v>45372</v>
      </c>
      <c r="E108" t="s">
        <v>1047</v>
      </c>
      <c r="F108" t="s">
        <v>1763</v>
      </c>
      <c r="G108" t="s">
        <v>1402</v>
      </c>
      <c r="H108" t="s">
        <v>2690</v>
      </c>
      <c r="I108" t="s">
        <v>2740</v>
      </c>
      <c r="J108" t="s">
        <v>2761</v>
      </c>
      <c r="K108" t="s">
        <v>1480</v>
      </c>
      <c r="L108" t="s">
        <v>2789</v>
      </c>
      <c r="M108" t="s">
        <v>2550</v>
      </c>
      <c r="N108" t="s">
        <v>2573</v>
      </c>
      <c r="O108" t="s">
        <v>2601</v>
      </c>
      <c r="R108" t="s">
        <v>2790</v>
      </c>
      <c r="S108" t="s">
        <v>2608</v>
      </c>
      <c r="T108">
        <v>2</v>
      </c>
      <c r="U108" s="2">
        <v>1419.44</v>
      </c>
      <c r="V108" s="3">
        <v>0</v>
      </c>
      <c r="W108" s="2">
        <v>2838.88</v>
      </c>
      <c r="X108" s="2">
        <v>213.88</v>
      </c>
      <c r="Y108" s="3">
        <v>7.5339570534858818E-2</v>
      </c>
      <c r="Z108" t="s">
        <v>1493</v>
      </c>
      <c r="AA108" t="s">
        <v>1499</v>
      </c>
      <c r="AB108" t="s">
        <v>1502</v>
      </c>
      <c r="AC108">
        <v>3</v>
      </c>
      <c r="AD108">
        <v>2024</v>
      </c>
      <c r="AE108" t="s">
        <v>2810</v>
      </c>
      <c r="AF108" t="s">
        <v>2822</v>
      </c>
      <c r="AG108" t="s">
        <v>2844</v>
      </c>
      <c r="AH108" t="s">
        <v>2848</v>
      </c>
      <c r="AI108">
        <v>1</v>
      </c>
    </row>
    <row r="109" spans="1:35" x14ac:dyDescent="0.3">
      <c r="A109" t="s">
        <v>117</v>
      </c>
      <c r="B109">
        <v>1</v>
      </c>
      <c r="C109" s="1">
        <v>45370</v>
      </c>
      <c r="D109" s="1">
        <v>45371</v>
      </c>
      <c r="E109" t="s">
        <v>1048</v>
      </c>
      <c r="F109" t="s">
        <v>1875</v>
      </c>
      <c r="G109" t="s">
        <v>1396</v>
      </c>
      <c r="H109" t="s">
        <v>2711</v>
      </c>
      <c r="I109" t="s">
        <v>2741</v>
      </c>
      <c r="J109" t="s">
        <v>2766</v>
      </c>
      <c r="K109" t="s">
        <v>1480</v>
      </c>
      <c r="L109" t="s">
        <v>2789</v>
      </c>
      <c r="M109" t="s">
        <v>2555</v>
      </c>
      <c r="N109" t="s">
        <v>2578</v>
      </c>
      <c r="O109" t="s">
        <v>2603</v>
      </c>
      <c r="R109" t="s">
        <v>2790</v>
      </c>
      <c r="S109" t="s">
        <v>2608</v>
      </c>
      <c r="T109">
        <v>1</v>
      </c>
      <c r="U109" s="2">
        <v>1866.05</v>
      </c>
      <c r="V109" s="3">
        <v>0</v>
      </c>
      <c r="W109" s="2">
        <v>1866.05</v>
      </c>
      <c r="X109" s="2">
        <v>608.34</v>
      </c>
      <c r="Y109" s="3">
        <v>0.32600412636317361</v>
      </c>
      <c r="Z109" t="s">
        <v>1497</v>
      </c>
      <c r="AA109" t="s">
        <v>1498</v>
      </c>
      <c r="AB109" t="s">
        <v>1501</v>
      </c>
      <c r="AC109">
        <v>1</v>
      </c>
      <c r="AD109">
        <v>2024</v>
      </c>
      <c r="AE109" t="s">
        <v>2810</v>
      </c>
      <c r="AF109" t="s">
        <v>2822</v>
      </c>
      <c r="AG109" t="s">
        <v>2844</v>
      </c>
      <c r="AH109" t="s">
        <v>2848</v>
      </c>
      <c r="AI109">
        <v>1</v>
      </c>
    </row>
    <row r="110" spans="1:35" x14ac:dyDescent="0.3">
      <c r="A110" t="s">
        <v>118</v>
      </c>
      <c r="B110">
        <v>1</v>
      </c>
      <c r="C110" s="1">
        <v>45370</v>
      </c>
      <c r="D110" s="1">
        <v>45372</v>
      </c>
      <c r="E110" t="s">
        <v>1049</v>
      </c>
      <c r="F110" t="s">
        <v>1784</v>
      </c>
      <c r="G110" t="s">
        <v>1403</v>
      </c>
      <c r="H110" t="s">
        <v>2729</v>
      </c>
      <c r="I110" t="s">
        <v>2742</v>
      </c>
      <c r="J110" t="s">
        <v>2771</v>
      </c>
      <c r="K110" t="s">
        <v>1480</v>
      </c>
      <c r="L110" t="s">
        <v>2789</v>
      </c>
      <c r="M110" t="s">
        <v>2551</v>
      </c>
      <c r="N110" t="s">
        <v>2574</v>
      </c>
      <c r="O110" t="s">
        <v>2602</v>
      </c>
      <c r="R110" t="s">
        <v>2790</v>
      </c>
      <c r="S110" t="s">
        <v>2606</v>
      </c>
      <c r="T110">
        <v>3</v>
      </c>
      <c r="U110" s="2">
        <v>24758.98</v>
      </c>
      <c r="V110" s="3">
        <v>0.2</v>
      </c>
      <c r="W110" s="2">
        <v>59421.55</v>
      </c>
      <c r="X110" s="2">
        <v>-2346.59</v>
      </c>
      <c r="Y110" s="3">
        <v>-3.9490555194201429E-2</v>
      </c>
      <c r="Z110" t="s">
        <v>1496</v>
      </c>
      <c r="AA110" t="s">
        <v>1498</v>
      </c>
      <c r="AB110" t="s">
        <v>1501</v>
      </c>
      <c r="AC110">
        <v>2</v>
      </c>
      <c r="AD110">
        <v>2024</v>
      </c>
      <c r="AE110" t="s">
        <v>2810</v>
      </c>
      <c r="AF110" t="s">
        <v>2822</v>
      </c>
      <c r="AG110" t="s">
        <v>2844</v>
      </c>
      <c r="AH110" t="s">
        <v>2848</v>
      </c>
      <c r="AI110">
        <v>1</v>
      </c>
    </row>
    <row r="111" spans="1:35" x14ac:dyDescent="0.3">
      <c r="A111" t="s">
        <v>119</v>
      </c>
      <c r="B111">
        <v>1</v>
      </c>
      <c r="C111" s="1">
        <v>45372</v>
      </c>
      <c r="D111" s="1">
        <v>45372</v>
      </c>
      <c r="E111" t="s">
        <v>1050</v>
      </c>
      <c r="F111" t="s">
        <v>1753</v>
      </c>
      <c r="G111" t="s">
        <v>1404</v>
      </c>
      <c r="H111" t="s">
        <v>2643</v>
      </c>
      <c r="I111" t="s">
        <v>2738</v>
      </c>
      <c r="J111" t="s">
        <v>2750</v>
      </c>
      <c r="K111" t="s">
        <v>1481</v>
      </c>
      <c r="L111" t="s">
        <v>2777</v>
      </c>
      <c r="M111" t="s">
        <v>2556</v>
      </c>
      <c r="N111" t="s">
        <v>2574</v>
      </c>
      <c r="O111" t="s">
        <v>2602</v>
      </c>
      <c r="P111" t="s">
        <v>2557</v>
      </c>
      <c r="Q111" t="s">
        <v>2576</v>
      </c>
      <c r="R111" t="s">
        <v>2602</v>
      </c>
      <c r="S111" t="s">
        <v>2608</v>
      </c>
      <c r="T111">
        <v>1</v>
      </c>
      <c r="U111" s="2">
        <v>44125.88</v>
      </c>
      <c r="V111" s="3">
        <v>0.2</v>
      </c>
      <c r="W111" s="2">
        <v>35300.699999999997</v>
      </c>
      <c r="X111" s="2">
        <v>986.01</v>
      </c>
      <c r="Y111" s="3">
        <v>2.7931740730353791E-2</v>
      </c>
      <c r="Z111" t="s">
        <v>1496</v>
      </c>
      <c r="AA111" t="s">
        <v>1499</v>
      </c>
      <c r="AB111" t="s">
        <v>1501</v>
      </c>
      <c r="AC111">
        <v>0</v>
      </c>
      <c r="AD111">
        <v>2024</v>
      </c>
      <c r="AE111" t="s">
        <v>2810</v>
      </c>
      <c r="AF111" t="s">
        <v>2822</v>
      </c>
      <c r="AG111" t="s">
        <v>2844</v>
      </c>
      <c r="AH111" t="s">
        <v>2848</v>
      </c>
      <c r="AI111">
        <v>1</v>
      </c>
    </row>
    <row r="112" spans="1:35" x14ac:dyDescent="0.3">
      <c r="A112" t="s">
        <v>120</v>
      </c>
      <c r="B112">
        <v>2</v>
      </c>
      <c r="C112" s="1">
        <v>45373</v>
      </c>
      <c r="D112" s="1">
        <v>45375</v>
      </c>
      <c r="E112" t="s">
        <v>984</v>
      </c>
      <c r="F112" t="s">
        <v>1836</v>
      </c>
      <c r="G112" t="s">
        <v>1372</v>
      </c>
      <c r="H112" t="s">
        <v>2732</v>
      </c>
      <c r="I112" t="s">
        <v>2742</v>
      </c>
      <c r="J112" t="s">
        <v>2772</v>
      </c>
      <c r="K112" t="s">
        <v>1480</v>
      </c>
      <c r="L112" t="s">
        <v>2789</v>
      </c>
      <c r="M112" t="s">
        <v>2564</v>
      </c>
      <c r="N112" t="s">
        <v>2582</v>
      </c>
      <c r="O112" t="s">
        <v>2601</v>
      </c>
      <c r="R112" t="s">
        <v>2790</v>
      </c>
      <c r="S112" t="s">
        <v>2608</v>
      </c>
      <c r="T112">
        <v>1</v>
      </c>
      <c r="U112" s="2">
        <v>22695.17</v>
      </c>
      <c r="V112" s="3">
        <v>0</v>
      </c>
      <c r="W112" s="2">
        <v>22695.17</v>
      </c>
      <c r="X112" s="2">
        <v>3536.01</v>
      </c>
      <c r="Y112" s="3">
        <v>0.1558045169963477</v>
      </c>
      <c r="Z112" t="s">
        <v>1496</v>
      </c>
      <c r="AA112" t="s">
        <v>1498</v>
      </c>
      <c r="AB112" t="s">
        <v>1501</v>
      </c>
      <c r="AC112">
        <v>2</v>
      </c>
      <c r="AD112">
        <v>2024</v>
      </c>
      <c r="AE112" t="s">
        <v>2810</v>
      </c>
      <c r="AF112" t="s">
        <v>2822</v>
      </c>
      <c r="AG112" t="s">
        <v>2844</v>
      </c>
      <c r="AH112" t="s">
        <v>2848</v>
      </c>
      <c r="AI112">
        <v>1</v>
      </c>
    </row>
    <row r="113" spans="1:35" x14ac:dyDescent="0.3">
      <c r="A113" t="s">
        <v>121</v>
      </c>
      <c r="B113">
        <v>1</v>
      </c>
      <c r="C113" s="1">
        <v>45373</v>
      </c>
      <c r="D113" s="1">
        <v>45375</v>
      </c>
      <c r="E113" t="s">
        <v>1023</v>
      </c>
      <c r="F113" t="s">
        <v>1680</v>
      </c>
      <c r="G113" t="s">
        <v>1405</v>
      </c>
      <c r="H113" t="s">
        <v>2639</v>
      </c>
      <c r="I113" t="s">
        <v>2737</v>
      </c>
      <c r="J113" t="s">
        <v>2748</v>
      </c>
      <c r="K113" t="s">
        <v>1480</v>
      </c>
      <c r="L113" t="s">
        <v>2789</v>
      </c>
      <c r="M113" t="s">
        <v>2552</v>
      </c>
      <c r="N113" t="s">
        <v>2575</v>
      </c>
      <c r="O113" t="s">
        <v>2603</v>
      </c>
      <c r="R113" t="s">
        <v>2790</v>
      </c>
      <c r="S113" t="s">
        <v>2608</v>
      </c>
      <c r="T113">
        <v>2</v>
      </c>
      <c r="U113" s="2">
        <v>57633.32</v>
      </c>
      <c r="V113" s="3">
        <v>0.05</v>
      </c>
      <c r="W113" s="2">
        <v>109503.31</v>
      </c>
      <c r="X113" s="2">
        <v>8637.65</v>
      </c>
      <c r="Y113" s="3">
        <v>7.8880263984714247E-2</v>
      </c>
      <c r="Z113" t="s">
        <v>1496</v>
      </c>
      <c r="AA113" t="s">
        <v>1499</v>
      </c>
      <c r="AB113" t="s">
        <v>1501</v>
      </c>
      <c r="AC113">
        <v>2</v>
      </c>
      <c r="AD113">
        <v>2024</v>
      </c>
      <c r="AE113" t="s">
        <v>2810</v>
      </c>
      <c r="AF113" t="s">
        <v>2822</v>
      </c>
      <c r="AG113" t="s">
        <v>2844</v>
      </c>
      <c r="AH113" t="s">
        <v>2848</v>
      </c>
      <c r="AI113">
        <v>1</v>
      </c>
    </row>
    <row r="114" spans="1:35" x14ac:dyDescent="0.3">
      <c r="A114" t="s">
        <v>122</v>
      </c>
      <c r="B114">
        <v>2</v>
      </c>
      <c r="C114" s="1">
        <v>45374</v>
      </c>
      <c r="D114" s="1">
        <v>45374</v>
      </c>
      <c r="E114" t="s">
        <v>1051</v>
      </c>
      <c r="F114" t="s">
        <v>1941</v>
      </c>
      <c r="G114" t="s">
        <v>1406</v>
      </c>
      <c r="H114" t="s">
        <v>2712</v>
      </c>
      <c r="I114" t="s">
        <v>2741</v>
      </c>
      <c r="J114" t="s">
        <v>2766</v>
      </c>
      <c r="K114" t="s">
        <v>1479</v>
      </c>
      <c r="L114" t="s">
        <v>2786</v>
      </c>
      <c r="M114" t="s">
        <v>2564</v>
      </c>
      <c r="N114" t="s">
        <v>2582</v>
      </c>
      <c r="O114" t="s">
        <v>2601</v>
      </c>
      <c r="P114" t="s">
        <v>2564</v>
      </c>
      <c r="Q114" t="s">
        <v>2582</v>
      </c>
      <c r="R114" t="s">
        <v>2601</v>
      </c>
      <c r="S114" t="s">
        <v>2608</v>
      </c>
      <c r="T114">
        <v>1</v>
      </c>
      <c r="U114" s="2">
        <v>150.38</v>
      </c>
      <c r="V114" s="3">
        <v>0</v>
      </c>
      <c r="W114" s="2">
        <v>150.38</v>
      </c>
      <c r="X114" s="2">
        <v>48.61</v>
      </c>
      <c r="Y114" s="3">
        <v>0.32324777231014762</v>
      </c>
      <c r="Z114" t="s">
        <v>1496</v>
      </c>
      <c r="AA114" t="s">
        <v>1500</v>
      </c>
      <c r="AB114" t="s">
        <v>1501</v>
      </c>
      <c r="AC114">
        <v>0</v>
      </c>
      <c r="AD114">
        <v>2024</v>
      </c>
      <c r="AE114" t="s">
        <v>2810</v>
      </c>
      <c r="AF114" t="s">
        <v>2822</v>
      </c>
      <c r="AG114" t="s">
        <v>2844</v>
      </c>
      <c r="AH114" t="s">
        <v>2848</v>
      </c>
      <c r="AI114">
        <v>1</v>
      </c>
    </row>
    <row r="115" spans="1:35" x14ac:dyDescent="0.3">
      <c r="A115" t="s">
        <v>123</v>
      </c>
      <c r="B115">
        <v>2</v>
      </c>
      <c r="C115" s="1">
        <v>45374</v>
      </c>
      <c r="D115" s="1">
        <v>45374</v>
      </c>
      <c r="E115" t="s">
        <v>1052</v>
      </c>
      <c r="F115" t="s">
        <v>1896</v>
      </c>
      <c r="G115" t="s">
        <v>1407</v>
      </c>
      <c r="H115" t="s">
        <v>2687</v>
      </c>
      <c r="I115" t="s">
        <v>2740</v>
      </c>
      <c r="J115" t="s">
        <v>2760</v>
      </c>
      <c r="K115" t="s">
        <v>1481</v>
      </c>
      <c r="L115" t="s">
        <v>2777</v>
      </c>
      <c r="M115" t="s">
        <v>2551</v>
      </c>
      <c r="N115" t="s">
        <v>2574</v>
      </c>
      <c r="O115" t="s">
        <v>2602</v>
      </c>
      <c r="P115" t="s">
        <v>2557</v>
      </c>
      <c r="Q115" t="s">
        <v>2576</v>
      </c>
      <c r="R115" t="s">
        <v>2602</v>
      </c>
      <c r="S115" t="s">
        <v>2606</v>
      </c>
      <c r="T115">
        <v>1</v>
      </c>
      <c r="U115" s="2">
        <v>810.23</v>
      </c>
      <c r="V115" s="3">
        <v>0</v>
      </c>
      <c r="W115" s="2">
        <v>810.23</v>
      </c>
      <c r="X115" s="2">
        <v>91.79</v>
      </c>
      <c r="Y115" s="3">
        <v>0.1132888192241709</v>
      </c>
      <c r="Z115" t="s">
        <v>1496</v>
      </c>
      <c r="AA115" t="s">
        <v>1498</v>
      </c>
      <c r="AB115" t="s">
        <v>1501</v>
      </c>
      <c r="AC115">
        <v>0</v>
      </c>
      <c r="AD115">
        <v>2024</v>
      </c>
      <c r="AE115" t="s">
        <v>2810</v>
      </c>
      <c r="AF115" t="s">
        <v>2822</v>
      </c>
      <c r="AG115" t="s">
        <v>2844</v>
      </c>
      <c r="AH115" t="s">
        <v>2848</v>
      </c>
      <c r="AI115">
        <v>1</v>
      </c>
    </row>
    <row r="116" spans="1:35" x14ac:dyDescent="0.3">
      <c r="A116" t="s">
        <v>124</v>
      </c>
      <c r="B116">
        <v>1</v>
      </c>
      <c r="C116" s="1">
        <v>45374</v>
      </c>
      <c r="E116" t="s">
        <v>972</v>
      </c>
      <c r="F116" t="s">
        <v>1806</v>
      </c>
      <c r="G116" t="s">
        <v>1408</v>
      </c>
      <c r="H116" t="s">
        <v>2680</v>
      </c>
      <c r="I116" t="s">
        <v>2739</v>
      </c>
      <c r="J116" t="s">
        <v>2758</v>
      </c>
      <c r="K116" t="s">
        <v>1484</v>
      </c>
      <c r="L116" t="s">
        <v>2778</v>
      </c>
      <c r="M116" t="s">
        <v>2555</v>
      </c>
      <c r="N116" t="s">
        <v>2578</v>
      </c>
      <c r="O116" t="s">
        <v>2603</v>
      </c>
      <c r="P116" t="s">
        <v>2559</v>
      </c>
      <c r="Q116" t="s">
        <v>2559</v>
      </c>
      <c r="R116" t="s">
        <v>2603</v>
      </c>
      <c r="S116" t="s">
        <v>2606</v>
      </c>
      <c r="T116">
        <v>1</v>
      </c>
      <c r="U116" s="2">
        <v>3284.39</v>
      </c>
      <c r="V116" s="3">
        <v>0</v>
      </c>
      <c r="W116" s="2">
        <v>3284.39</v>
      </c>
      <c r="X116" s="2">
        <v>887.88</v>
      </c>
      <c r="Y116" s="3">
        <v>0.27033330390118099</v>
      </c>
      <c r="Z116" t="s">
        <v>1494</v>
      </c>
      <c r="AA116" t="s">
        <v>1498</v>
      </c>
      <c r="AB116" t="s">
        <v>1503</v>
      </c>
      <c r="AD116">
        <v>2024</v>
      </c>
      <c r="AE116" t="s">
        <v>2810</v>
      </c>
      <c r="AF116" t="s">
        <v>2822</v>
      </c>
      <c r="AG116" t="s">
        <v>2844</v>
      </c>
      <c r="AH116" t="s">
        <v>2848</v>
      </c>
      <c r="AI116">
        <v>1</v>
      </c>
    </row>
    <row r="117" spans="1:35" x14ac:dyDescent="0.3">
      <c r="A117" t="s">
        <v>125</v>
      </c>
      <c r="B117">
        <v>2</v>
      </c>
      <c r="C117" s="1">
        <v>45374</v>
      </c>
      <c r="E117" t="s">
        <v>1053</v>
      </c>
      <c r="F117" t="s">
        <v>1737</v>
      </c>
      <c r="G117" t="s">
        <v>1409</v>
      </c>
      <c r="H117" t="s">
        <v>2731</v>
      </c>
      <c r="I117" t="s">
        <v>2742</v>
      </c>
      <c r="J117" t="s">
        <v>2771</v>
      </c>
      <c r="K117" t="s">
        <v>1485</v>
      </c>
      <c r="L117" t="s">
        <v>2775</v>
      </c>
      <c r="M117" t="s">
        <v>2562</v>
      </c>
      <c r="N117" t="s">
        <v>2574</v>
      </c>
      <c r="O117" t="s">
        <v>2602</v>
      </c>
      <c r="P117" t="s">
        <v>2562</v>
      </c>
      <c r="Q117" t="s">
        <v>2574</v>
      </c>
      <c r="R117" t="s">
        <v>2602</v>
      </c>
      <c r="S117" t="s">
        <v>2606</v>
      </c>
      <c r="T117">
        <v>1</v>
      </c>
      <c r="U117" s="2">
        <v>10956.72</v>
      </c>
      <c r="V117" s="3">
        <v>0</v>
      </c>
      <c r="W117" s="2">
        <v>10956.72</v>
      </c>
      <c r="X117" s="2">
        <v>2312</v>
      </c>
      <c r="Y117" s="3">
        <v>0.2110120547025022</v>
      </c>
      <c r="Z117" t="s">
        <v>1493</v>
      </c>
      <c r="AA117" t="s">
        <v>1498</v>
      </c>
      <c r="AB117" t="s">
        <v>1503</v>
      </c>
      <c r="AD117">
        <v>2024</v>
      </c>
      <c r="AE117" t="s">
        <v>2810</v>
      </c>
      <c r="AF117" t="s">
        <v>2822</v>
      </c>
      <c r="AG117" t="s">
        <v>2844</v>
      </c>
      <c r="AH117" t="s">
        <v>2848</v>
      </c>
      <c r="AI117">
        <v>1</v>
      </c>
    </row>
    <row r="118" spans="1:35" x14ac:dyDescent="0.3">
      <c r="A118" t="s">
        <v>126</v>
      </c>
      <c r="B118">
        <v>1</v>
      </c>
      <c r="C118" s="1">
        <v>45375</v>
      </c>
      <c r="D118" s="1">
        <v>45375</v>
      </c>
      <c r="E118" t="s">
        <v>1054</v>
      </c>
      <c r="F118" t="s">
        <v>1866</v>
      </c>
      <c r="G118" t="s">
        <v>1410</v>
      </c>
      <c r="H118" t="s">
        <v>2715</v>
      </c>
      <c r="I118" t="s">
        <v>2741</v>
      </c>
      <c r="J118" t="s">
        <v>2767</v>
      </c>
      <c r="K118" t="s">
        <v>1491</v>
      </c>
      <c r="L118" t="s">
        <v>2779</v>
      </c>
      <c r="M118" t="s">
        <v>2568</v>
      </c>
      <c r="N118" t="s">
        <v>2586</v>
      </c>
      <c r="O118" t="s">
        <v>2603</v>
      </c>
      <c r="P118" t="s">
        <v>2555</v>
      </c>
      <c r="Q118" t="s">
        <v>2578</v>
      </c>
      <c r="R118" t="s">
        <v>2603</v>
      </c>
      <c r="S118" t="s">
        <v>2606</v>
      </c>
      <c r="T118">
        <v>3</v>
      </c>
      <c r="U118" s="2">
        <v>1753.24</v>
      </c>
      <c r="V118" s="3">
        <v>0</v>
      </c>
      <c r="W118" s="2">
        <v>5259.72</v>
      </c>
      <c r="X118" s="2">
        <v>1734.9</v>
      </c>
      <c r="Y118" s="3">
        <v>0.32984645570486643</v>
      </c>
      <c r="Z118" t="s">
        <v>1496</v>
      </c>
      <c r="AA118" t="s">
        <v>1500</v>
      </c>
      <c r="AB118" t="s">
        <v>1501</v>
      </c>
      <c r="AC118">
        <v>0</v>
      </c>
      <c r="AD118">
        <v>2024</v>
      </c>
      <c r="AE118" t="s">
        <v>2810</v>
      </c>
      <c r="AF118" t="s">
        <v>2822</v>
      </c>
      <c r="AG118" t="s">
        <v>2844</v>
      </c>
      <c r="AH118" t="s">
        <v>2848</v>
      </c>
      <c r="AI118">
        <v>1</v>
      </c>
    </row>
    <row r="119" spans="1:35" x14ac:dyDescent="0.3">
      <c r="A119" t="s">
        <v>127</v>
      </c>
      <c r="B119">
        <v>1</v>
      </c>
      <c r="C119" s="1">
        <v>45377</v>
      </c>
      <c r="D119" s="1">
        <v>45377</v>
      </c>
      <c r="E119" t="s">
        <v>1051</v>
      </c>
      <c r="F119" t="s">
        <v>1941</v>
      </c>
      <c r="G119" t="s">
        <v>1411</v>
      </c>
      <c r="H119" t="s">
        <v>2617</v>
      </c>
      <c r="I119" t="s">
        <v>2737</v>
      </c>
      <c r="J119" t="s">
        <v>2744</v>
      </c>
      <c r="K119" t="s">
        <v>1487</v>
      </c>
      <c r="L119" t="s">
        <v>2785</v>
      </c>
      <c r="M119" t="s">
        <v>2564</v>
      </c>
      <c r="N119" t="s">
        <v>2582</v>
      </c>
      <c r="O119" t="s">
        <v>2601</v>
      </c>
      <c r="P119" t="s">
        <v>2550</v>
      </c>
      <c r="Q119" t="s">
        <v>2573</v>
      </c>
      <c r="R119" t="s">
        <v>2601</v>
      </c>
      <c r="S119" t="s">
        <v>2608</v>
      </c>
      <c r="T119">
        <v>2</v>
      </c>
      <c r="U119" s="2">
        <v>65997.17</v>
      </c>
      <c r="V119" s="3">
        <v>0.1</v>
      </c>
      <c r="W119" s="2">
        <v>118794.91</v>
      </c>
      <c r="X119" s="2">
        <v>3212.93</v>
      </c>
      <c r="Y119" s="3">
        <v>2.704602410995555E-2</v>
      </c>
      <c r="Z119" t="s">
        <v>1496</v>
      </c>
      <c r="AA119" t="s">
        <v>1498</v>
      </c>
      <c r="AB119" t="s">
        <v>1501</v>
      </c>
      <c r="AC119">
        <v>0</v>
      </c>
      <c r="AD119">
        <v>2024</v>
      </c>
      <c r="AE119" t="s">
        <v>2810</v>
      </c>
      <c r="AF119" t="s">
        <v>2822</v>
      </c>
      <c r="AG119" t="s">
        <v>2844</v>
      </c>
      <c r="AH119" t="s">
        <v>2848</v>
      </c>
      <c r="AI119">
        <v>1</v>
      </c>
    </row>
    <row r="120" spans="1:35" x14ac:dyDescent="0.3">
      <c r="A120" t="s">
        <v>128</v>
      </c>
      <c r="B120">
        <v>1</v>
      </c>
      <c r="C120" s="1">
        <v>45378</v>
      </c>
      <c r="D120" s="1">
        <v>45381</v>
      </c>
      <c r="E120" t="s">
        <v>1051</v>
      </c>
      <c r="F120" t="s">
        <v>1941</v>
      </c>
      <c r="G120" t="s">
        <v>1395</v>
      </c>
      <c r="H120" t="s">
        <v>2727</v>
      </c>
      <c r="I120" t="s">
        <v>2742</v>
      </c>
      <c r="J120" t="s">
        <v>2771</v>
      </c>
      <c r="K120" t="s">
        <v>1480</v>
      </c>
      <c r="L120" t="s">
        <v>2789</v>
      </c>
      <c r="M120" t="s">
        <v>2564</v>
      </c>
      <c r="N120" t="s">
        <v>2582</v>
      </c>
      <c r="O120" t="s">
        <v>2601</v>
      </c>
      <c r="R120" t="s">
        <v>2790</v>
      </c>
      <c r="S120" t="s">
        <v>2608</v>
      </c>
      <c r="T120">
        <v>1</v>
      </c>
      <c r="U120" s="2">
        <v>5383.63</v>
      </c>
      <c r="V120" s="3">
        <v>0</v>
      </c>
      <c r="W120" s="2">
        <v>5383.63</v>
      </c>
      <c r="X120" s="2">
        <v>1175.04</v>
      </c>
      <c r="Y120" s="3">
        <v>0.2182616561687932</v>
      </c>
      <c r="Z120" t="s">
        <v>1496</v>
      </c>
      <c r="AA120" t="s">
        <v>1498</v>
      </c>
      <c r="AB120" t="s">
        <v>1501</v>
      </c>
      <c r="AC120">
        <v>3</v>
      </c>
      <c r="AD120">
        <v>2024</v>
      </c>
      <c r="AE120" t="s">
        <v>2810</v>
      </c>
      <c r="AF120" t="s">
        <v>2822</v>
      </c>
      <c r="AG120" t="s">
        <v>2844</v>
      </c>
      <c r="AH120" t="s">
        <v>2848</v>
      </c>
      <c r="AI120">
        <v>1</v>
      </c>
    </row>
    <row r="121" spans="1:35" x14ac:dyDescent="0.3">
      <c r="A121" t="s">
        <v>129</v>
      </c>
      <c r="B121">
        <v>1</v>
      </c>
      <c r="C121" s="1">
        <v>45381</v>
      </c>
      <c r="E121" t="s">
        <v>1055</v>
      </c>
      <c r="F121" t="s">
        <v>2024</v>
      </c>
      <c r="G121" t="s">
        <v>1412</v>
      </c>
      <c r="H121" t="s">
        <v>2615</v>
      </c>
      <c r="I121" t="s">
        <v>2737</v>
      </c>
      <c r="J121" t="s">
        <v>2743</v>
      </c>
      <c r="K121" t="s">
        <v>1479</v>
      </c>
      <c r="L121" t="s">
        <v>2786</v>
      </c>
      <c r="M121" t="s">
        <v>2554</v>
      </c>
      <c r="N121" t="s">
        <v>2577</v>
      </c>
      <c r="O121" t="s">
        <v>2601</v>
      </c>
      <c r="P121" t="s">
        <v>2564</v>
      </c>
      <c r="Q121" t="s">
        <v>2582</v>
      </c>
      <c r="R121" t="s">
        <v>2601</v>
      </c>
      <c r="S121" t="s">
        <v>2606</v>
      </c>
      <c r="T121">
        <v>1</v>
      </c>
      <c r="U121" s="2">
        <v>78073.17</v>
      </c>
      <c r="V121" s="3">
        <v>0</v>
      </c>
      <c r="W121" s="2">
        <v>78073.17</v>
      </c>
      <c r="X121" s="2">
        <v>12188.31</v>
      </c>
      <c r="Y121" s="3">
        <v>0.15611393773302659</v>
      </c>
      <c r="Z121" t="s">
        <v>1494</v>
      </c>
      <c r="AA121" t="s">
        <v>1500</v>
      </c>
      <c r="AB121" t="s">
        <v>1503</v>
      </c>
      <c r="AD121">
        <v>2024</v>
      </c>
      <c r="AE121" t="s">
        <v>2810</v>
      </c>
      <c r="AF121" t="s">
        <v>2822</v>
      </c>
      <c r="AG121" t="s">
        <v>2844</v>
      </c>
      <c r="AH121" t="s">
        <v>2848</v>
      </c>
      <c r="AI121">
        <v>1</v>
      </c>
    </row>
    <row r="122" spans="1:35" x14ac:dyDescent="0.3">
      <c r="A122" t="s">
        <v>130</v>
      </c>
      <c r="B122">
        <v>3</v>
      </c>
      <c r="C122" s="1">
        <v>45382</v>
      </c>
      <c r="D122" s="1">
        <v>45384</v>
      </c>
      <c r="E122" t="s">
        <v>1056</v>
      </c>
      <c r="F122" t="s">
        <v>1795</v>
      </c>
      <c r="G122" t="s">
        <v>1395</v>
      </c>
      <c r="H122" t="s">
        <v>2727</v>
      </c>
      <c r="I122" t="s">
        <v>2742</v>
      </c>
      <c r="J122" t="s">
        <v>2771</v>
      </c>
      <c r="K122" t="s">
        <v>1480</v>
      </c>
      <c r="L122" t="s">
        <v>2789</v>
      </c>
      <c r="M122" t="s">
        <v>2551</v>
      </c>
      <c r="N122" t="s">
        <v>2574</v>
      </c>
      <c r="O122" t="s">
        <v>2602</v>
      </c>
      <c r="R122" t="s">
        <v>2790</v>
      </c>
      <c r="S122" t="s">
        <v>2606</v>
      </c>
      <c r="T122">
        <v>1</v>
      </c>
      <c r="U122" s="2">
        <v>5383.63</v>
      </c>
      <c r="V122" s="3">
        <v>0.1</v>
      </c>
      <c r="W122" s="2">
        <v>4845.2700000000004</v>
      </c>
      <c r="X122" s="2">
        <v>636.67999999999995</v>
      </c>
      <c r="Y122" s="3">
        <v>0.1314023779892555</v>
      </c>
      <c r="Z122" t="s">
        <v>1496</v>
      </c>
      <c r="AA122" t="s">
        <v>1498</v>
      </c>
      <c r="AB122" t="s">
        <v>1501</v>
      </c>
      <c r="AC122">
        <v>2</v>
      </c>
      <c r="AD122">
        <v>2024</v>
      </c>
      <c r="AE122" t="s">
        <v>2810</v>
      </c>
      <c r="AF122" t="s">
        <v>2822</v>
      </c>
      <c r="AG122" t="s">
        <v>2844</v>
      </c>
      <c r="AH122" t="s">
        <v>2848</v>
      </c>
      <c r="AI122">
        <v>1</v>
      </c>
    </row>
    <row r="123" spans="1:35" x14ac:dyDescent="0.3">
      <c r="A123" t="s">
        <v>131</v>
      </c>
      <c r="B123">
        <v>2</v>
      </c>
      <c r="C123" s="1">
        <v>45382</v>
      </c>
      <c r="D123" s="1">
        <v>45384</v>
      </c>
      <c r="E123" t="s">
        <v>1019</v>
      </c>
      <c r="F123" t="s">
        <v>1799</v>
      </c>
      <c r="G123" t="s">
        <v>1413</v>
      </c>
      <c r="H123" t="s">
        <v>2716</v>
      </c>
      <c r="I123" t="s">
        <v>2741</v>
      </c>
      <c r="J123" t="s">
        <v>2768</v>
      </c>
      <c r="K123" t="s">
        <v>1480</v>
      </c>
      <c r="L123" t="s">
        <v>2789</v>
      </c>
      <c r="M123" t="s">
        <v>2569</v>
      </c>
      <c r="N123" t="s">
        <v>2587</v>
      </c>
      <c r="O123" t="s">
        <v>2604</v>
      </c>
      <c r="R123" t="s">
        <v>2790</v>
      </c>
      <c r="S123" t="s">
        <v>2607</v>
      </c>
      <c r="T123">
        <v>2</v>
      </c>
      <c r="U123" s="2">
        <v>771.89</v>
      </c>
      <c r="V123" s="3">
        <v>0</v>
      </c>
      <c r="W123" s="2">
        <v>1543.78</v>
      </c>
      <c r="X123" s="2">
        <v>440.88</v>
      </c>
      <c r="Y123" s="3">
        <v>0.28558473357602759</v>
      </c>
      <c r="Z123" t="s">
        <v>1494</v>
      </c>
      <c r="AA123" t="s">
        <v>1498</v>
      </c>
      <c r="AB123" t="s">
        <v>1501</v>
      </c>
      <c r="AC123">
        <v>2</v>
      </c>
      <c r="AD123">
        <v>2024</v>
      </c>
      <c r="AE123" t="s">
        <v>2810</v>
      </c>
      <c r="AF123" t="s">
        <v>2822</v>
      </c>
      <c r="AG123" t="s">
        <v>2844</v>
      </c>
      <c r="AH123" t="s">
        <v>2848</v>
      </c>
      <c r="AI123">
        <v>1</v>
      </c>
    </row>
    <row r="124" spans="1:35" x14ac:dyDescent="0.3">
      <c r="A124" t="s">
        <v>132</v>
      </c>
      <c r="B124">
        <v>1</v>
      </c>
      <c r="C124" s="1">
        <v>45383</v>
      </c>
      <c r="D124" s="1">
        <v>45386</v>
      </c>
      <c r="E124" t="s">
        <v>1057</v>
      </c>
      <c r="F124" t="s">
        <v>1793</v>
      </c>
      <c r="G124" t="s">
        <v>1414</v>
      </c>
      <c r="H124" t="s">
        <v>2641</v>
      </c>
      <c r="I124" t="s">
        <v>2738</v>
      </c>
      <c r="J124" t="s">
        <v>2749</v>
      </c>
      <c r="K124" t="s">
        <v>1480</v>
      </c>
      <c r="L124" t="s">
        <v>2789</v>
      </c>
      <c r="M124" t="s">
        <v>2552</v>
      </c>
      <c r="N124" t="s">
        <v>2575</v>
      </c>
      <c r="O124" t="s">
        <v>2603</v>
      </c>
      <c r="R124" t="s">
        <v>2790</v>
      </c>
      <c r="S124" t="s">
        <v>2606</v>
      </c>
      <c r="T124">
        <v>1</v>
      </c>
      <c r="U124" s="2">
        <v>20329.61</v>
      </c>
      <c r="V124" s="3">
        <v>0</v>
      </c>
      <c r="W124" s="2">
        <v>20329.61</v>
      </c>
      <c r="X124" s="2">
        <v>4962.38</v>
      </c>
      <c r="Y124" s="3">
        <v>0.2440961730205351</v>
      </c>
      <c r="Z124" t="s">
        <v>1496</v>
      </c>
      <c r="AA124" t="s">
        <v>1498</v>
      </c>
      <c r="AB124" t="s">
        <v>1502</v>
      </c>
      <c r="AC124">
        <v>3</v>
      </c>
      <c r="AD124">
        <v>2024</v>
      </c>
      <c r="AE124" t="s">
        <v>2811</v>
      </c>
      <c r="AF124" t="s">
        <v>2823</v>
      </c>
      <c r="AG124" t="s">
        <v>2845</v>
      </c>
      <c r="AH124" t="s">
        <v>2848</v>
      </c>
      <c r="AI124">
        <v>1</v>
      </c>
    </row>
    <row r="125" spans="1:35" x14ac:dyDescent="0.3">
      <c r="A125" t="s">
        <v>133</v>
      </c>
      <c r="B125">
        <v>2</v>
      </c>
      <c r="C125" s="1">
        <v>45384</v>
      </c>
      <c r="D125" s="1">
        <v>45387</v>
      </c>
      <c r="E125" t="s">
        <v>1058</v>
      </c>
      <c r="F125" t="s">
        <v>2044</v>
      </c>
      <c r="G125" t="s">
        <v>1373</v>
      </c>
      <c r="H125" t="s">
        <v>2696</v>
      </c>
      <c r="I125" t="s">
        <v>2740</v>
      </c>
      <c r="J125" t="s">
        <v>2762</v>
      </c>
      <c r="K125" t="s">
        <v>1480</v>
      </c>
      <c r="L125" t="s">
        <v>2789</v>
      </c>
      <c r="M125" t="s">
        <v>2570</v>
      </c>
      <c r="N125" t="s">
        <v>2590</v>
      </c>
      <c r="O125" t="s">
        <v>2605</v>
      </c>
      <c r="R125" t="s">
        <v>2790</v>
      </c>
      <c r="S125" t="s">
        <v>2607</v>
      </c>
      <c r="T125">
        <v>1</v>
      </c>
      <c r="U125" s="2">
        <v>1404.85</v>
      </c>
      <c r="V125" s="3">
        <v>0</v>
      </c>
      <c r="W125" s="2">
        <v>1404.85</v>
      </c>
      <c r="X125" s="2">
        <v>131.76</v>
      </c>
      <c r="Y125" s="3">
        <v>9.3789372530875187E-2</v>
      </c>
      <c r="Z125" t="s">
        <v>1495</v>
      </c>
      <c r="AA125" t="s">
        <v>1498</v>
      </c>
      <c r="AB125" t="s">
        <v>1501</v>
      </c>
      <c r="AC125">
        <v>3</v>
      </c>
      <c r="AD125">
        <v>2024</v>
      </c>
      <c r="AE125" t="s">
        <v>2811</v>
      </c>
      <c r="AF125" t="s">
        <v>2823</v>
      </c>
      <c r="AG125" t="s">
        <v>2845</v>
      </c>
      <c r="AH125" t="s">
        <v>2848</v>
      </c>
      <c r="AI125">
        <v>1</v>
      </c>
    </row>
    <row r="126" spans="1:35" x14ac:dyDescent="0.3">
      <c r="A126" t="s">
        <v>134</v>
      </c>
      <c r="B126">
        <v>1</v>
      </c>
      <c r="C126" s="1">
        <v>45385</v>
      </c>
      <c r="D126" s="1">
        <v>45386</v>
      </c>
      <c r="E126" t="s">
        <v>1059</v>
      </c>
      <c r="F126" t="s">
        <v>1805</v>
      </c>
      <c r="G126" t="s">
        <v>1415</v>
      </c>
      <c r="H126" t="s">
        <v>2668</v>
      </c>
      <c r="I126" t="s">
        <v>2739</v>
      </c>
      <c r="J126" t="s">
        <v>2756</v>
      </c>
      <c r="K126" t="s">
        <v>1490</v>
      </c>
      <c r="L126" t="s">
        <v>2784</v>
      </c>
      <c r="M126" t="s">
        <v>2560</v>
      </c>
      <c r="N126" t="s">
        <v>2579</v>
      </c>
      <c r="O126" t="s">
        <v>2604</v>
      </c>
      <c r="P126" t="s">
        <v>2567</v>
      </c>
      <c r="Q126" t="s">
        <v>2585</v>
      </c>
      <c r="R126" t="s">
        <v>2604</v>
      </c>
      <c r="S126" t="s">
        <v>2606</v>
      </c>
      <c r="T126">
        <v>2</v>
      </c>
      <c r="U126" s="2">
        <v>4772.1499999999996</v>
      </c>
      <c r="V126" s="3">
        <v>0</v>
      </c>
      <c r="W126" s="2">
        <v>9544.2999999999993</v>
      </c>
      <c r="X126" s="2">
        <v>2420.12</v>
      </c>
      <c r="Y126" s="3">
        <v>0.25356705049086892</v>
      </c>
      <c r="Z126" t="s">
        <v>1494</v>
      </c>
      <c r="AA126" t="s">
        <v>1498</v>
      </c>
      <c r="AB126" t="s">
        <v>1501</v>
      </c>
      <c r="AC126">
        <v>1</v>
      </c>
      <c r="AD126">
        <v>2024</v>
      </c>
      <c r="AE126" t="s">
        <v>2811</v>
      </c>
      <c r="AF126" t="s">
        <v>2823</v>
      </c>
      <c r="AG126" t="s">
        <v>2845</v>
      </c>
      <c r="AH126" t="s">
        <v>2848</v>
      </c>
      <c r="AI126">
        <v>1</v>
      </c>
    </row>
    <row r="127" spans="1:35" x14ac:dyDescent="0.3">
      <c r="A127" t="s">
        <v>135</v>
      </c>
      <c r="B127">
        <v>1</v>
      </c>
      <c r="C127" s="1">
        <v>45385</v>
      </c>
      <c r="D127" s="1">
        <v>45386</v>
      </c>
      <c r="E127" t="s">
        <v>1041</v>
      </c>
      <c r="F127" t="s">
        <v>1793</v>
      </c>
      <c r="G127" t="s">
        <v>1416</v>
      </c>
      <c r="H127" t="s">
        <v>2700</v>
      </c>
      <c r="I127" t="s">
        <v>2740</v>
      </c>
      <c r="J127" t="s">
        <v>2763</v>
      </c>
      <c r="K127" t="s">
        <v>1484</v>
      </c>
      <c r="L127" t="s">
        <v>2778</v>
      </c>
      <c r="M127" t="s">
        <v>2555</v>
      </c>
      <c r="N127" t="s">
        <v>2578</v>
      </c>
      <c r="O127" t="s">
        <v>2603</v>
      </c>
      <c r="P127" t="s">
        <v>2559</v>
      </c>
      <c r="Q127" t="s">
        <v>2559</v>
      </c>
      <c r="R127" t="s">
        <v>2603</v>
      </c>
      <c r="S127" t="s">
        <v>2608</v>
      </c>
      <c r="T127">
        <v>1</v>
      </c>
      <c r="U127" s="2">
        <v>1404.87</v>
      </c>
      <c r="V127" s="3">
        <v>0</v>
      </c>
      <c r="W127" s="2">
        <v>1404.87</v>
      </c>
      <c r="X127" s="2">
        <v>179.87</v>
      </c>
      <c r="Y127" s="3">
        <v>0.12803319880131259</v>
      </c>
      <c r="Z127" t="s">
        <v>1495</v>
      </c>
      <c r="AA127" t="s">
        <v>1498</v>
      </c>
      <c r="AB127" t="s">
        <v>1501</v>
      </c>
      <c r="AC127">
        <v>1</v>
      </c>
      <c r="AD127">
        <v>2024</v>
      </c>
      <c r="AE127" t="s">
        <v>2811</v>
      </c>
      <c r="AF127" t="s">
        <v>2823</v>
      </c>
      <c r="AG127" t="s">
        <v>2845</v>
      </c>
      <c r="AH127" t="s">
        <v>2848</v>
      </c>
      <c r="AI127">
        <v>1</v>
      </c>
    </row>
    <row r="128" spans="1:35" x14ac:dyDescent="0.3">
      <c r="A128" t="s">
        <v>136</v>
      </c>
      <c r="B128">
        <v>1</v>
      </c>
      <c r="C128" s="1">
        <v>45386</v>
      </c>
      <c r="D128" s="1">
        <v>45387</v>
      </c>
      <c r="E128" t="s">
        <v>1060</v>
      </c>
      <c r="F128" t="s">
        <v>1820</v>
      </c>
      <c r="G128" t="s">
        <v>1417</v>
      </c>
      <c r="H128" t="s">
        <v>2702</v>
      </c>
      <c r="I128" t="s">
        <v>2740</v>
      </c>
      <c r="J128" t="s">
        <v>2764</v>
      </c>
      <c r="K128" t="s">
        <v>1491</v>
      </c>
      <c r="L128" t="s">
        <v>2779</v>
      </c>
      <c r="M128" t="s">
        <v>2555</v>
      </c>
      <c r="N128" t="s">
        <v>2578</v>
      </c>
      <c r="O128" t="s">
        <v>2603</v>
      </c>
      <c r="P128" t="s">
        <v>2555</v>
      </c>
      <c r="Q128" t="s">
        <v>2578</v>
      </c>
      <c r="R128" t="s">
        <v>2603</v>
      </c>
      <c r="S128" t="s">
        <v>2606</v>
      </c>
      <c r="T128">
        <v>1</v>
      </c>
      <c r="U128" s="2">
        <v>1497.68</v>
      </c>
      <c r="V128" s="3">
        <v>0</v>
      </c>
      <c r="W128" s="2">
        <v>1497.68</v>
      </c>
      <c r="X128" s="2">
        <v>174.58</v>
      </c>
      <c r="Y128" s="3">
        <v>0.1165669568933284</v>
      </c>
      <c r="Z128" t="s">
        <v>1496</v>
      </c>
      <c r="AA128" t="s">
        <v>1500</v>
      </c>
      <c r="AB128" t="s">
        <v>1501</v>
      </c>
      <c r="AC128">
        <v>1</v>
      </c>
      <c r="AD128">
        <v>2024</v>
      </c>
      <c r="AE128" t="s">
        <v>2811</v>
      </c>
      <c r="AF128" t="s">
        <v>2823</v>
      </c>
      <c r="AG128" t="s">
        <v>2845</v>
      </c>
      <c r="AH128" t="s">
        <v>2848</v>
      </c>
      <c r="AI128">
        <v>1</v>
      </c>
    </row>
    <row r="129" spans="1:35" x14ac:dyDescent="0.3">
      <c r="A129" t="s">
        <v>137</v>
      </c>
      <c r="B129">
        <v>2</v>
      </c>
      <c r="C129" s="1">
        <v>45387</v>
      </c>
      <c r="D129" s="1">
        <v>45388</v>
      </c>
      <c r="E129" t="s">
        <v>1061</v>
      </c>
      <c r="F129" t="s">
        <v>1695</v>
      </c>
      <c r="G129" t="s">
        <v>1338</v>
      </c>
      <c r="H129" t="s">
        <v>2693</v>
      </c>
      <c r="I129" t="s">
        <v>2740</v>
      </c>
      <c r="J129" t="s">
        <v>2761</v>
      </c>
      <c r="K129" t="s">
        <v>1484</v>
      </c>
      <c r="L129" t="s">
        <v>2778</v>
      </c>
      <c r="M129" t="s">
        <v>2552</v>
      </c>
      <c r="N129" t="s">
        <v>2575</v>
      </c>
      <c r="O129" t="s">
        <v>2603</v>
      </c>
      <c r="P129" t="s">
        <v>2559</v>
      </c>
      <c r="Q129" t="s">
        <v>2559</v>
      </c>
      <c r="R129" t="s">
        <v>2603</v>
      </c>
      <c r="S129" t="s">
        <v>2608</v>
      </c>
      <c r="T129">
        <v>1</v>
      </c>
      <c r="U129" s="2">
        <v>1151.02</v>
      </c>
      <c r="V129" s="3">
        <v>0.2</v>
      </c>
      <c r="W129" s="2">
        <v>920.82</v>
      </c>
      <c r="X129" s="2">
        <v>-80.650000000000006</v>
      </c>
      <c r="Y129" s="3">
        <v>-8.7584978606025071E-2</v>
      </c>
      <c r="Z129" t="s">
        <v>1496</v>
      </c>
      <c r="AA129" t="s">
        <v>1498</v>
      </c>
      <c r="AB129" t="s">
        <v>1501</v>
      </c>
      <c r="AC129">
        <v>1</v>
      </c>
      <c r="AD129">
        <v>2024</v>
      </c>
      <c r="AE129" t="s">
        <v>2811</v>
      </c>
      <c r="AF129" t="s">
        <v>2823</v>
      </c>
      <c r="AG129" t="s">
        <v>2845</v>
      </c>
      <c r="AH129" t="s">
        <v>2848</v>
      </c>
      <c r="AI129">
        <v>1</v>
      </c>
    </row>
    <row r="130" spans="1:35" x14ac:dyDescent="0.3">
      <c r="A130" t="s">
        <v>137</v>
      </c>
      <c r="B130">
        <v>3</v>
      </c>
      <c r="C130" s="1">
        <v>45387</v>
      </c>
      <c r="D130" s="1">
        <v>45388</v>
      </c>
      <c r="E130" t="s">
        <v>1061</v>
      </c>
      <c r="F130" t="s">
        <v>1695</v>
      </c>
      <c r="G130" t="s">
        <v>1418</v>
      </c>
      <c r="H130" t="s">
        <v>2648</v>
      </c>
      <c r="I130" t="s">
        <v>2738</v>
      </c>
      <c r="J130" t="s">
        <v>2751</v>
      </c>
      <c r="K130" t="s">
        <v>1484</v>
      </c>
      <c r="L130" t="s">
        <v>2778</v>
      </c>
      <c r="M130" t="s">
        <v>2552</v>
      </c>
      <c r="N130" t="s">
        <v>2575</v>
      </c>
      <c r="O130" t="s">
        <v>2603</v>
      </c>
      <c r="P130" t="s">
        <v>2559</v>
      </c>
      <c r="Q130" t="s">
        <v>2559</v>
      </c>
      <c r="R130" t="s">
        <v>2603</v>
      </c>
      <c r="S130" t="s">
        <v>2608</v>
      </c>
      <c r="T130">
        <v>1</v>
      </c>
      <c r="U130" s="2">
        <v>30604.9</v>
      </c>
      <c r="V130" s="3">
        <v>0</v>
      </c>
      <c r="W130" s="2">
        <v>30604.9</v>
      </c>
      <c r="X130" s="2">
        <v>7928.17</v>
      </c>
      <c r="Y130" s="3">
        <v>0.25904904116661048</v>
      </c>
      <c r="Z130" t="s">
        <v>1496</v>
      </c>
      <c r="AA130" t="s">
        <v>1498</v>
      </c>
      <c r="AB130" t="s">
        <v>1501</v>
      </c>
      <c r="AC130">
        <v>1</v>
      </c>
      <c r="AD130">
        <v>2024</v>
      </c>
      <c r="AE130" t="s">
        <v>2811</v>
      </c>
      <c r="AF130" t="s">
        <v>2823</v>
      </c>
      <c r="AG130" t="s">
        <v>2845</v>
      </c>
      <c r="AH130" t="s">
        <v>2848</v>
      </c>
      <c r="AI130">
        <v>0</v>
      </c>
    </row>
    <row r="131" spans="1:35" x14ac:dyDescent="0.3">
      <c r="A131" t="s">
        <v>138</v>
      </c>
      <c r="B131">
        <v>1</v>
      </c>
      <c r="C131" s="1">
        <v>45388</v>
      </c>
      <c r="D131" s="1">
        <v>45388</v>
      </c>
      <c r="E131" t="s">
        <v>991</v>
      </c>
      <c r="F131" t="s">
        <v>1930</v>
      </c>
      <c r="G131" t="s">
        <v>1419</v>
      </c>
      <c r="H131" t="s">
        <v>2619</v>
      </c>
      <c r="I131" t="s">
        <v>2737</v>
      </c>
      <c r="J131" t="s">
        <v>2744</v>
      </c>
      <c r="K131" t="s">
        <v>1490</v>
      </c>
      <c r="L131" t="s">
        <v>2784</v>
      </c>
      <c r="M131" t="s">
        <v>2569</v>
      </c>
      <c r="N131" t="s">
        <v>2594</v>
      </c>
      <c r="O131" t="s">
        <v>2604</v>
      </c>
      <c r="P131" t="s">
        <v>2567</v>
      </c>
      <c r="Q131" t="s">
        <v>2585</v>
      </c>
      <c r="R131" t="s">
        <v>2604</v>
      </c>
      <c r="S131" t="s">
        <v>2608</v>
      </c>
      <c r="T131">
        <v>1</v>
      </c>
      <c r="U131" s="2">
        <v>29006.55</v>
      </c>
      <c r="V131" s="3">
        <v>0</v>
      </c>
      <c r="W131" s="2">
        <v>29006.55</v>
      </c>
      <c r="X131" s="2">
        <v>5136.18</v>
      </c>
      <c r="Y131" s="3">
        <v>0.1770696618522368</v>
      </c>
      <c r="Z131" t="s">
        <v>1497</v>
      </c>
      <c r="AA131" t="s">
        <v>1498</v>
      </c>
      <c r="AB131" t="s">
        <v>1501</v>
      </c>
      <c r="AC131">
        <v>0</v>
      </c>
      <c r="AD131">
        <v>2024</v>
      </c>
      <c r="AE131" t="s">
        <v>2811</v>
      </c>
      <c r="AF131" t="s">
        <v>2823</v>
      </c>
      <c r="AG131" t="s">
        <v>2845</v>
      </c>
      <c r="AH131" t="s">
        <v>2848</v>
      </c>
      <c r="AI131">
        <v>1</v>
      </c>
    </row>
    <row r="132" spans="1:35" x14ac:dyDescent="0.3">
      <c r="A132" t="s">
        <v>139</v>
      </c>
      <c r="B132">
        <v>2</v>
      </c>
      <c r="C132" s="1">
        <v>45388</v>
      </c>
      <c r="E132" t="s">
        <v>1062</v>
      </c>
      <c r="F132" t="s">
        <v>1836</v>
      </c>
      <c r="G132" t="s">
        <v>1342</v>
      </c>
      <c r="H132" t="s">
        <v>2623</v>
      </c>
      <c r="I132" t="s">
        <v>2737</v>
      </c>
      <c r="J132" t="s">
        <v>2745</v>
      </c>
      <c r="K132" t="s">
        <v>1480</v>
      </c>
      <c r="L132" t="s">
        <v>2789</v>
      </c>
      <c r="M132" t="s">
        <v>2555</v>
      </c>
      <c r="N132" t="s">
        <v>2578</v>
      </c>
      <c r="O132" t="s">
        <v>2603</v>
      </c>
      <c r="R132" t="s">
        <v>2790</v>
      </c>
      <c r="S132" t="s">
        <v>2606</v>
      </c>
      <c r="T132">
        <v>2</v>
      </c>
      <c r="U132" s="2">
        <v>18924.84</v>
      </c>
      <c r="V132" s="3">
        <v>0</v>
      </c>
      <c r="W132" s="2">
        <v>37849.68</v>
      </c>
      <c r="X132" s="2">
        <v>5563.2</v>
      </c>
      <c r="Y132" s="3">
        <v>0.1469814275840641</v>
      </c>
      <c r="Z132" t="s">
        <v>1495</v>
      </c>
      <c r="AA132" t="s">
        <v>1498</v>
      </c>
      <c r="AB132" t="s">
        <v>1503</v>
      </c>
      <c r="AD132">
        <v>2024</v>
      </c>
      <c r="AE132" t="s">
        <v>2811</v>
      </c>
      <c r="AF132" t="s">
        <v>2823</v>
      </c>
      <c r="AG132" t="s">
        <v>2845</v>
      </c>
      <c r="AH132" t="s">
        <v>2848</v>
      </c>
      <c r="AI132">
        <v>1</v>
      </c>
    </row>
    <row r="133" spans="1:35" x14ac:dyDescent="0.3">
      <c r="A133" t="s">
        <v>140</v>
      </c>
      <c r="B133">
        <v>1</v>
      </c>
      <c r="C133" s="1">
        <v>45390</v>
      </c>
      <c r="D133" s="1">
        <v>45390</v>
      </c>
      <c r="E133" t="s">
        <v>1008</v>
      </c>
      <c r="F133" t="s">
        <v>1884</v>
      </c>
      <c r="G133" t="s">
        <v>1360</v>
      </c>
      <c r="H133" t="s">
        <v>2696</v>
      </c>
      <c r="I133" t="s">
        <v>2740</v>
      </c>
      <c r="J133" t="s">
        <v>2762</v>
      </c>
      <c r="K133" t="s">
        <v>1492</v>
      </c>
      <c r="L133" t="s">
        <v>2788</v>
      </c>
      <c r="M133" t="s">
        <v>2564</v>
      </c>
      <c r="N133" t="s">
        <v>2582</v>
      </c>
      <c r="O133" t="s">
        <v>2601</v>
      </c>
      <c r="P133" t="s">
        <v>2554</v>
      </c>
      <c r="Q133" t="s">
        <v>2577</v>
      </c>
      <c r="R133" t="s">
        <v>2601</v>
      </c>
      <c r="S133" t="s">
        <v>2606</v>
      </c>
      <c r="T133">
        <v>1</v>
      </c>
      <c r="U133" s="2">
        <v>1166.3499999999999</v>
      </c>
      <c r="V133" s="3">
        <v>0</v>
      </c>
      <c r="W133" s="2">
        <v>1166.3499999999999</v>
      </c>
      <c r="X133" s="2">
        <v>136.61000000000001</v>
      </c>
      <c r="Y133" s="3">
        <v>0.11712607707806411</v>
      </c>
      <c r="Z133" t="s">
        <v>1496</v>
      </c>
      <c r="AA133" t="s">
        <v>1498</v>
      </c>
      <c r="AB133" t="s">
        <v>1501</v>
      </c>
      <c r="AC133">
        <v>0</v>
      </c>
      <c r="AD133">
        <v>2024</v>
      </c>
      <c r="AE133" t="s">
        <v>2811</v>
      </c>
      <c r="AF133" t="s">
        <v>2823</v>
      </c>
      <c r="AG133" t="s">
        <v>2845</v>
      </c>
      <c r="AH133" t="s">
        <v>2848</v>
      </c>
      <c r="AI133">
        <v>1</v>
      </c>
    </row>
    <row r="134" spans="1:35" x14ac:dyDescent="0.3">
      <c r="A134" t="s">
        <v>141</v>
      </c>
      <c r="B134">
        <v>1</v>
      </c>
      <c r="C134" s="1">
        <v>45393</v>
      </c>
      <c r="D134" s="1">
        <v>45394</v>
      </c>
      <c r="E134" t="s">
        <v>1063</v>
      </c>
      <c r="F134" t="s">
        <v>1801</v>
      </c>
      <c r="G134" t="s">
        <v>1420</v>
      </c>
      <c r="H134" t="s">
        <v>2694</v>
      </c>
      <c r="I134" t="s">
        <v>2740</v>
      </c>
      <c r="J134" t="s">
        <v>2762</v>
      </c>
      <c r="K134" t="s">
        <v>1480</v>
      </c>
      <c r="L134" t="s">
        <v>2789</v>
      </c>
      <c r="M134" t="s">
        <v>2567</v>
      </c>
      <c r="N134" t="s">
        <v>2585</v>
      </c>
      <c r="O134" t="s">
        <v>2604</v>
      </c>
      <c r="R134" t="s">
        <v>2790</v>
      </c>
      <c r="S134" t="s">
        <v>2606</v>
      </c>
      <c r="T134">
        <v>1</v>
      </c>
      <c r="U134" s="2">
        <v>257.32</v>
      </c>
      <c r="V134" s="3">
        <v>0</v>
      </c>
      <c r="W134" s="2">
        <v>257.32</v>
      </c>
      <c r="X134" s="2">
        <v>16.670000000000002</v>
      </c>
      <c r="Y134" s="3">
        <v>6.4783149385978553E-2</v>
      </c>
      <c r="Z134" t="s">
        <v>1496</v>
      </c>
      <c r="AA134" t="s">
        <v>1499</v>
      </c>
      <c r="AB134" t="s">
        <v>1502</v>
      </c>
      <c r="AC134">
        <v>1</v>
      </c>
      <c r="AD134">
        <v>2024</v>
      </c>
      <c r="AE134" t="s">
        <v>2811</v>
      </c>
      <c r="AF134" t="s">
        <v>2823</v>
      </c>
      <c r="AG134" t="s">
        <v>2845</v>
      </c>
      <c r="AH134" t="s">
        <v>2848</v>
      </c>
      <c r="AI134">
        <v>1</v>
      </c>
    </row>
    <row r="135" spans="1:35" x14ac:dyDescent="0.3">
      <c r="A135" t="s">
        <v>142</v>
      </c>
      <c r="B135">
        <v>1</v>
      </c>
      <c r="C135" s="1">
        <v>45394</v>
      </c>
      <c r="D135" s="1">
        <v>45396</v>
      </c>
      <c r="E135" t="s">
        <v>1064</v>
      </c>
      <c r="F135" t="s">
        <v>1722</v>
      </c>
      <c r="G135" t="s">
        <v>1337</v>
      </c>
      <c r="H135" t="s">
        <v>2628</v>
      </c>
      <c r="I135" t="s">
        <v>2737</v>
      </c>
      <c r="J135" t="s">
        <v>2746</v>
      </c>
      <c r="K135" t="s">
        <v>1480</v>
      </c>
      <c r="L135" t="s">
        <v>2789</v>
      </c>
      <c r="M135" t="s">
        <v>2570</v>
      </c>
      <c r="N135" t="s">
        <v>2590</v>
      </c>
      <c r="O135" t="s">
        <v>2605</v>
      </c>
      <c r="R135" t="s">
        <v>2790</v>
      </c>
      <c r="S135" t="s">
        <v>2606</v>
      </c>
      <c r="T135">
        <v>1</v>
      </c>
      <c r="U135" s="2">
        <v>12042.96</v>
      </c>
      <c r="V135" s="3">
        <v>0</v>
      </c>
      <c r="W135" s="2">
        <v>12042.96</v>
      </c>
      <c r="X135" s="2">
        <v>1101.3599999999999</v>
      </c>
      <c r="Y135" s="3">
        <v>9.1452599693098699E-2</v>
      </c>
      <c r="Z135" t="s">
        <v>1497</v>
      </c>
      <c r="AA135" t="s">
        <v>1500</v>
      </c>
      <c r="AB135" t="s">
        <v>1501</v>
      </c>
      <c r="AC135">
        <v>2</v>
      </c>
      <c r="AD135">
        <v>2024</v>
      </c>
      <c r="AE135" t="s">
        <v>2811</v>
      </c>
      <c r="AF135" t="s">
        <v>2823</v>
      </c>
      <c r="AG135" t="s">
        <v>2845</v>
      </c>
      <c r="AH135" t="s">
        <v>2848</v>
      </c>
      <c r="AI135">
        <v>1</v>
      </c>
    </row>
    <row r="136" spans="1:35" x14ac:dyDescent="0.3">
      <c r="A136" t="s">
        <v>143</v>
      </c>
      <c r="B136">
        <v>1</v>
      </c>
      <c r="C136" s="1">
        <v>45397</v>
      </c>
      <c r="D136" s="1">
        <v>45398</v>
      </c>
      <c r="E136" t="s">
        <v>1065</v>
      </c>
      <c r="F136" t="s">
        <v>1881</v>
      </c>
      <c r="G136" t="s">
        <v>1408</v>
      </c>
      <c r="H136" t="s">
        <v>2680</v>
      </c>
      <c r="I136" t="s">
        <v>2739</v>
      </c>
      <c r="J136" t="s">
        <v>2758</v>
      </c>
      <c r="K136" t="s">
        <v>1490</v>
      </c>
      <c r="L136" t="s">
        <v>2784</v>
      </c>
      <c r="M136" t="s">
        <v>2563</v>
      </c>
      <c r="N136" t="s">
        <v>2581</v>
      </c>
      <c r="O136" t="s">
        <v>2604</v>
      </c>
      <c r="P136" t="s">
        <v>2567</v>
      </c>
      <c r="Q136" t="s">
        <v>2585</v>
      </c>
      <c r="R136" t="s">
        <v>2604</v>
      </c>
      <c r="S136" t="s">
        <v>2607</v>
      </c>
      <c r="T136">
        <v>2</v>
      </c>
      <c r="U136" s="2">
        <v>3284.39</v>
      </c>
      <c r="V136" s="3">
        <v>0.2</v>
      </c>
      <c r="W136" s="2">
        <v>5255.02</v>
      </c>
      <c r="X136" s="2">
        <v>462</v>
      </c>
      <c r="Y136" s="3">
        <v>8.7915935619655106E-2</v>
      </c>
      <c r="Z136" t="s">
        <v>1497</v>
      </c>
      <c r="AA136" t="s">
        <v>1499</v>
      </c>
      <c r="AB136" t="s">
        <v>1501</v>
      </c>
      <c r="AC136">
        <v>1</v>
      </c>
      <c r="AD136">
        <v>2024</v>
      </c>
      <c r="AE136" t="s">
        <v>2811</v>
      </c>
      <c r="AF136" t="s">
        <v>2823</v>
      </c>
      <c r="AG136" t="s">
        <v>2845</v>
      </c>
      <c r="AH136" t="s">
        <v>2848</v>
      </c>
      <c r="AI136">
        <v>1</v>
      </c>
    </row>
    <row r="137" spans="1:35" x14ac:dyDescent="0.3">
      <c r="A137" t="s">
        <v>144</v>
      </c>
      <c r="B137">
        <v>1</v>
      </c>
      <c r="C137" s="1">
        <v>45399</v>
      </c>
      <c r="D137" s="1">
        <v>45399</v>
      </c>
      <c r="E137" t="s">
        <v>965</v>
      </c>
      <c r="F137" t="s">
        <v>1685</v>
      </c>
      <c r="G137" t="s">
        <v>1421</v>
      </c>
      <c r="H137" t="s">
        <v>2690</v>
      </c>
      <c r="I137" t="s">
        <v>2740</v>
      </c>
      <c r="J137" t="s">
        <v>2761</v>
      </c>
      <c r="K137" t="s">
        <v>1482</v>
      </c>
      <c r="L137" t="s">
        <v>2783</v>
      </c>
      <c r="M137" t="s">
        <v>2569</v>
      </c>
      <c r="N137" t="s">
        <v>2587</v>
      </c>
      <c r="O137" t="s">
        <v>2604</v>
      </c>
      <c r="P137" t="s">
        <v>2560</v>
      </c>
      <c r="Q137" t="s">
        <v>2579</v>
      </c>
      <c r="R137" t="s">
        <v>2604</v>
      </c>
      <c r="S137" t="s">
        <v>2608</v>
      </c>
      <c r="T137">
        <v>1</v>
      </c>
      <c r="U137" s="2">
        <v>227.54</v>
      </c>
      <c r="V137" s="3">
        <v>0.05</v>
      </c>
      <c r="W137" s="2">
        <v>216.16</v>
      </c>
      <c r="X137" s="2">
        <v>21.82</v>
      </c>
      <c r="Y137" s="3">
        <v>0.1009437453737972</v>
      </c>
      <c r="Z137" t="s">
        <v>1496</v>
      </c>
      <c r="AA137" t="s">
        <v>1498</v>
      </c>
      <c r="AB137" t="s">
        <v>1501</v>
      </c>
      <c r="AC137">
        <v>0</v>
      </c>
      <c r="AD137">
        <v>2024</v>
      </c>
      <c r="AE137" t="s">
        <v>2811</v>
      </c>
      <c r="AF137" t="s">
        <v>2823</v>
      </c>
      <c r="AG137" t="s">
        <v>2845</v>
      </c>
      <c r="AH137" t="s">
        <v>2848</v>
      </c>
      <c r="AI137">
        <v>1</v>
      </c>
    </row>
    <row r="138" spans="1:35" x14ac:dyDescent="0.3">
      <c r="A138" t="s">
        <v>144</v>
      </c>
      <c r="B138">
        <v>2</v>
      </c>
      <c r="C138" s="1">
        <v>45399</v>
      </c>
      <c r="D138" s="1">
        <v>45399</v>
      </c>
      <c r="E138" t="s">
        <v>965</v>
      </c>
      <c r="F138" t="s">
        <v>1685</v>
      </c>
      <c r="G138" t="s">
        <v>1344</v>
      </c>
      <c r="H138" t="s">
        <v>2717</v>
      </c>
      <c r="I138" t="s">
        <v>2741</v>
      </c>
      <c r="J138" t="s">
        <v>2768</v>
      </c>
      <c r="K138" t="s">
        <v>1482</v>
      </c>
      <c r="L138" t="s">
        <v>2783</v>
      </c>
      <c r="M138" t="s">
        <v>2569</v>
      </c>
      <c r="N138" t="s">
        <v>2587</v>
      </c>
      <c r="O138" t="s">
        <v>2604</v>
      </c>
      <c r="P138" t="s">
        <v>2560</v>
      </c>
      <c r="Q138" t="s">
        <v>2579</v>
      </c>
      <c r="R138" t="s">
        <v>2604</v>
      </c>
      <c r="S138" t="s">
        <v>2608</v>
      </c>
      <c r="T138">
        <v>1</v>
      </c>
      <c r="U138" s="2">
        <v>555.59</v>
      </c>
      <c r="V138" s="3">
        <v>0</v>
      </c>
      <c r="W138" s="2">
        <v>555.59</v>
      </c>
      <c r="X138" s="2">
        <v>176.49</v>
      </c>
      <c r="Y138" s="3">
        <v>0.31766230493709391</v>
      </c>
      <c r="Z138" t="s">
        <v>1496</v>
      </c>
      <c r="AA138" t="s">
        <v>1498</v>
      </c>
      <c r="AB138" t="s">
        <v>1501</v>
      </c>
      <c r="AC138">
        <v>0</v>
      </c>
      <c r="AD138">
        <v>2024</v>
      </c>
      <c r="AE138" t="s">
        <v>2811</v>
      </c>
      <c r="AF138" t="s">
        <v>2823</v>
      </c>
      <c r="AG138" t="s">
        <v>2845</v>
      </c>
      <c r="AH138" t="s">
        <v>2848</v>
      </c>
      <c r="AI138">
        <v>0</v>
      </c>
    </row>
    <row r="139" spans="1:35" x14ac:dyDescent="0.3">
      <c r="A139" t="s">
        <v>145</v>
      </c>
      <c r="B139">
        <v>1</v>
      </c>
      <c r="C139" s="1">
        <v>45399</v>
      </c>
      <c r="D139" s="1">
        <v>45401</v>
      </c>
      <c r="E139" t="s">
        <v>1066</v>
      </c>
      <c r="F139" t="s">
        <v>1808</v>
      </c>
      <c r="G139" t="s">
        <v>1422</v>
      </c>
      <c r="H139" t="s">
        <v>2642</v>
      </c>
      <c r="I139" t="s">
        <v>2738</v>
      </c>
      <c r="J139" t="s">
        <v>2750</v>
      </c>
      <c r="K139" t="s">
        <v>1480</v>
      </c>
      <c r="L139" t="s">
        <v>2789</v>
      </c>
      <c r="M139" t="s">
        <v>2551</v>
      </c>
      <c r="N139" t="s">
        <v>2574</v>
      </c>
      <c r="O139" t="s">
        <v>2602</v>
      </c>
      <c r="R139" t="s">
        <v>2790</v>
      </c>
      <c r="S139" t="s">
        <v>2607</v>
      </c>
      <c r="T139">
        <v>2</v>
      </c>
      <c r="U139" s="2">
        <v>27508.38</v>
      </c>
      <c r="V139" s="3">
        <v>0.1</v>
      </c>
      <c r="W139" s="2">
        <v>49515.08</v>
      </c>
      <c r="X139" s="2">
        <v>2939.02</v>
      </c>
      <c r="Y139" s="3">
        <v>5.9356058800672441E-2</v>
      </c>
      <c r="Z139" t="s">
        <v>1496</v>
      </c>
      <c r="AA139" t="s">
        <v>1498</v>
      </c>
      <c r="AB139" t="s">
        <v>1501</v>
      </c>
      <c r="AC139">
        <v>2</v>
      </c>
      <c r="AD139">
        <v>2024</v>
      </c>
      <c r="AE139" t="s">
        <v>2811</v>
      </c>
      <c r="AF139" t="s">
        <v>2823</v>
      </c>
      <c r="AG139" t="s">
        <v>2845</v>
      </c>
      <c r="AH139" t="s">
        <v>2848</v>
      </c>
      <c r="AI139">
        <v>1</v>
      </c>
    </row>
    <row r="140" spans="1:35" x14ac:dyDescent="0.3">
      <c r="A140" t="s">
        <v>146</v>
      </c>
      <c r="B140">
        <v>1</v>
      </c>
      <c r="C140" s="1">
        <v>45399</v>
      </c>
      <c r="D140" s="1">
        <v>45401</v>
      </c>
      <c r="E140" t="s">
        <v>1067</v>
      </c>
      <c r="F140" t="s">
        <v>1734</v>
      </c>
      <c r="G140" t="s">
        <v>1381</v>
      </c>
      <c r="H140" t="s">
        <v>2682</v>
      </c>
      <c r="I140" t="s">
        <v>2739</v>
      </c>
      <c r="J140" t="s">
        <v>2759</v>
      </c>
      <c r="K140" t="s">
        <v>1480</v>
      </c>
      <c r="L140" t="s">
        <v>2789</v>
      </c>
      <c r="M140" t="s">
        <v>2570</v>
      </c>
      <c r="N140" t="s">
        <v>2590</v>
      </c>
      <c r="O140" t="s">
        <v>2605</v>
      </c>
      <c r="R140" t="s">
        <v>2790</v>
      </c>
      <c r="S140" t="s">
        <v>2606</v>
      </c>
      <c r="T140">
        <v>1</v>
      </c>
      <c r="U140" s="2">
        <v>4870.55</v>
      </c>
      <c r="V140" s="3">
        <v>0</v>
      </c>
      <c r="W140" s="2">
        <v>4870.55</v>
      </c>
      <c r="X140" s="2">
        <v>1976.93</v>
      </c>
      <c r="Y140" s="3">
        <v>0.40589461149151529</v>
      </c>
      <c r="Z140" t="s">
        <v>1497</v>
      </c>
      <c r="AA140" t="s">
        <v>1498</v>
      </c>
      <c r="AB140" t="s">
        <v>1502</v>
      </c>
      <c r="AC140">
        <v>2</v>
      </c>
      <c r="AD140">
        <v>2024</v>
      </c>
      <c r="AE140" t="s">
        <v>2811</v>
      </c>
      <c r="AF140" t="s">
        <v>2823</v>
      </c>
      <c r="AG140" t="s">
        <v>2845</v>
      </c>
      <c r="AH140" t="s">
        <v>2848</v>
      </c>
      <c r="AI140">
        <v>1</v>
      </c>
    </row>
    <row r="141" spans="1:35" x14ac:dyDescent="0.3">
      <c r="A141" t="s">
        <v>147</v>
      </c>
      <c r="B141">
        <v>1</v>
      </c>
      <c r="C141" s="1">
        <v>45401</v>
      </c>
      <c r="D141" s="1">
        <v>45402</v>
      </c>
      <c r="E141" t="s">
        <v>967</v>
      </c>
      <c r="F141" t="s">
        <v>1849</v>
      </c>
      <c r="G141" t="s">
        <v>1423</v>
      </c>
      <c r="H141" t="s">
        <v>2708</v>
      </c>
      <c r="I141" t="s">
        <v>2741</v>
      </c>
      <c r="J141" t="s">
        <v>2765</v>
      </c>
      <c r="K141" t="s">
        <v>1487</v>
      </c>
      <c r="L141" t="s">
        <v>2785</v>
      </c>
      <c r="M141" t="s">
        <v>2550</v>
      </c>
      <c r="N141" t="s">
        <v>2573</v>
      </c>
      <c r="O141" t="s">
        <v>2601</v>
      </c>
      <c r="P141" t="s">
        <v>2550</v>
      </c>
      <c r="Q141" t="s">
        <v>2573</v>
      </c>
      <c r="R141" t="s">
        <v>2601</v>
      </c>
      <c r="S141" t="s">
        <v>2607</v>
      </c>
      <c r="T141">
        <v>1</v>
      </c>
      <c r="U141" s="2">
        <v>2319.64</v>
      </c>
      <c r="V141" s="3">
        <v>0.05</v>
      </c>
      <c r="W141" s="2">
        <v>2203.66</v>
      </c>
      <c r="X141" s="2">
        <v>706.15</v>
      </c>
      <c r="Y141" s="3">
        <v>0.32044417015329052</v>
      </c>
      <c r="Z141" t="s">
        <v>1495</v>
      </c>
      <c r="AA141" t="s">
        <v>1499</v>
      </c>
      <c r="AB141" t="s">
        <v>1501</v>
      </c>
      <c r="AC141">
        <v>1</v>
      </c>
      <c r="AD141">
        <v>2024</v>
      </c>
      <c r="AE141" t="s">
        <v>2811</v>
      </c>
      <c r="AF141" t="s">
        <v>2823</v>
      </c>
      <c r="AG141" t="s">
        <v>2845</v>
      </c>
      <c r="AH141" t="s">
        <v>2848</v>
      </c>
      <c r="AI141">
        <v>1</v>
      </c>
    </row>
    <row r="142" spans="1:35" x14ac:dyDescent="0.3">
      <c r="A142" t="s">
        <v>148</v>
      </c>
      <c r="B142">
        <v>1</v>
      </c>
      <c r="C142" s="1">
        <v>45401</v>
      </c>
      <c r="D142" s="1">
        <v>45402</v>
      </c>
      <c r="E142" t="s">
        <v>1065</v>
      </c>
      <c r="F142" t="s">
        <v>1881</v>
      </c>
      <c r="G142" t="s">
        <v>1393</v>
      </c>
      <c r="H142" t="s">
        <v>2683</v>
      </c>
      <c r="I142" t="s">
        <v>2739</v>
      </c>
      <c r="J142" t="s">
        <v>2759</v>
      </c>
      <c r="K142" t="s">
        <v>1478</v>
      </c>
      <c r="L142" t="s">
        <v>2782</v>
      </c>
      <c r="M142" t="s">
        <v>2563</v>
      </c>
      <c r="N142" t="s">
        <v>2581</v>
      </c>
      <c r="O142" t="s">
        <v>2604</v>
      </c>
      <c r="P142" t="s">
        <v>2565</v>
      </c>
      <c r="Q142" t="s">
        <v>2583</v>
      </c>
      <c r="R142" t="s">
        <v>2604</v>
      </c>
      <c r="S142" t="s">
        <v>2607</v>
      </c>
      <c r="T142">
        <v>1</v>
      </c>
      <c r="U142" s="2">
        <v>3230.07</v>
      </c>
      <c r="V142" s="3">
        <v>0</v>
      </c>
      <c r="W142" s="2">
        <v>3230.07</v>
      </c>
      <c r="X142" s="2">
        <v>1361.52</v>
      </c>
      <c r="Y142" s="3">
        <v>0.42151408483407482</v>
      </c>
      <c r="Z142" t="s">
        <v>1494</v>
      </c>
      <c r="AA142" t="s">
        <v>1498</v>
      </c>
      <c r="AB142" t="s">
        <v>1501</v>
      </c>
      <c r="AC142">
        <v>1</v>
      </c>
      <c r="AD142">
        <v>2024</v>
      </c>
      <c r="AE142" t="s">
        <v>2811</v>
      </c>
      <c r="AF142" t="s">
        <v>2823</v>
      </c>
      <c r="AG142" t="s">
        <v>2845</v>
      </c>
      <c r="AH142" t="s">
        <v>2848</v>
      </c>
      <c r="AI142">
        <v>1</v>
      </c>
    </row>
    <row r="143" spans="1:35" x14ac:dyDescent="0.3">
      <c r="A143" t="s">
        <v>149</v>
      </c>
      <c r="B143">
        <v>1</v>
      </c>
      <c r="C143" s="1">
        <v>45402</v>
      </c>
      <c r="D143" s="1">
        <v>45403</v>
      </c>
      <c r="E143" t="s">
        <v>1059</v>
      </c>
      <c r="F143" t="s">
        <v>1805</v>
      </c>
      <c r="G143" t="s">
        <v>1386</v>
      </c>
      <c r="H143" t="s">
        <v>2686</v>
      </c>
      <c r="I143" t="s">
        <v>2740</v>
      </c>
      <c r="J143" t="s">
        <v>2760</v>
      </c>
      <c r="K143" t="s">
        <v>1490</v>
      </c>
      <c r="L143" t="s">
        <v>2784</v>
      </c>
      <c r="M143" t="s">
        <v>2560</v>
      </c>
      <c r="N143" t="s">
        <v>2579</v>
      </c>
      <c r="O143" t="s">
        <v>2604</v>
      </c>
      <c r="P143" t="s">
        <v>2567</v>
      </c>
      <c r="Q143" t="s">
        <v>2585</v>
      </c>
      <c r="R143" t="s">
        <v>2604</v>
      </c>
      <c r="S143" t="s">
        <v>2606</v>
      </c>
      <c r="T143">
        <v>1</v>
      </c>
      <c r="U143" s="2">
        <v>1094.7</v>
      </c>
      <c r="V143" s="3">
        <v>0</v>
      </c>
      <c r="W143" s="2">
        <v>1094.7</v>
      </c>
      <c r="X143" s="2">
        <v>63.98</v>
      </c>
      <c r="Y143" s="3">
        <v>5.8445236137754632E-2</v>
      </c>
      <c r="Z143" t="s">
        <v>1493</v>
      </c>
      <c r="AA143" t="s">
        <v>1498</v>
      </c>
      <c r="AB143" t="s">
        <v>1501</v>
      </c>
      <c r="AC143">
        <v>1</v>
      </c>
      <c r="AD143">
        <v>2024</v>
      </c>
      <c r="AE143" t="s">
        <v>2811</v>
      </c>
      <c r="AF143" t="s">
        <v>2823</v>
      </c>
      <c r="AG143" t="s">
        <v>2845</v>
      </c>
      <c r="AH143" t="s">
        <v>2848</v>
      </c>
      <c r="AI143">
        <v>1</v>
      </c>
    </row>
    <row r="144" spans="1:35" x14ac:dyDescent="0.3">
      <c r="A144" t="s">
        <v>150</v>
      </c>
      <c r="B144">
        <v>1</v>
      </c>
      <c r="C144" s="1">
        <v>45403</v>
      </c>
      <c r="D144" s="1">
        <v>45404</v>
      </c>
      <c r="E144" t="s">
        <v>1068</v>
      </c>
      <c r="F144" t="s">
        <v>1744</v>
      </c>
      <c r="G144" t="s">
        <v>1424</v>
      </c>
      <c r="H144" t="s">
        <v>2624</v>
      </c>
      <c r="I144" t="s">
        <v>2737</v>
      </c>
      <c r="J144" t="s">
        <v>2745</v>
      </c>
      <c r="K144" t="s">
        <v>1480</v>
      </c>
      <c r="L144" t="s">
        <v>2789</v>
      </c>
      <c r="M144" t="s">
        <v>2560</v>
      </c>
      <c r="N144" t="s">
        <v>2579</v>
      </c>
      <c r="O144" t="s">
        <v>2604</v>
      </c>
      <c r="R144" t="s">
        <v>2790</v>
      </c>
      <c r="S144" t="s">
        <v>2606</v>
      </c>
      <c r="T144">
        <v>1</v>
      </c>
      <c r="U144" s="2">
        <v>31609.79</v>
      </c>
      <c r="V144" s="3">
        <v>0</v>
      </c>
      <c r="W144" s="2">
        <v>31609.79</v>
      </c>
      <c r="X144" s="2">
        <v>3440.18</v>
      </c>
      <c r="Y144" s="3">
        <v>0.1088327382118008</v>
      </c>
      <c r="Z144" t="s">
        <v>1495</v>
      </c>
      <c r="AA144" t="s">
        <v>1499</v>
      </c>
      <c r="AB144" t="s">
        <v>1501</v>
      </c>
      <c r="AC144">
        <v>1</v>
      </c>
      <c r="AD144">
        <v>2024</v>
      </c>
      <c r="AE144" t="s">
        <v>2811</v>
      </c>
      <c r="AF144" t="s">
        <v>2823</v>
      </c>
      <c r="AG144" t="s">
        <v>2845</v>
      </c>
      <c r="AH144" t="s">
        <v>2848</v>
      </c>
      <c r="AI144">
        <v>1</v>
      </c>
    </row>
    <row r="145" spans="1:35" x14ac:dyDescent="0.3">
      <c r="A145" t="s">
        <v>151</v>
      </c>
      <c r="B145">
        <v>1</v>
      </c>
      <c r="C145" s="1">
        <v>45403</v>
      </c>
      <c r="E145" t="s">
        <v>1015</v>
      </c>
      <c r="F145" t="s">
        <v>1692</v>
      </c>
      <c r="G145" t="s">
        <v>1422</v>
      </c>
      <c r="H145" t="s">
        <v>2642</v>
      </c>
      <c r="I145" t="s">
        <v>2738</v>
      </c>
      <c r="J145" t="s">
        <v>2750</v>
      </c>
      <c r="K145" t="s">
        <v>1480</v>
      </c>
      <c r="L145" t="s">
        <v>2789</v>
      </c>
      <c r="M145" t="s">
        <v>2565</v>
      </c>
      <c r="N145" t="s">
        <v>2583</v>
      </c>
      <c r="O145" t="s">
        <v>2604</v>
      </c>
      <c r="R145" t="s">
        <v>2790</v>
      </c>
      <c r="S145" t="s">
        <v>2607</v>
      </c>
      <c r="T145">
        <v>1</v>
      </c>
      <c r="U145" s="2">
        <v>27508.38</v>
      </c>
      <c r="V145" s="3">
        <v>0</v>
      </c>
      <c r="W145" s="2">
        <v>27508.38</v>
      </c>
      <c r="X145" s="2">
        <v>4220.3500000000004</v>
      </c>
      <c r="Y145" s="3">
        <v>0.15342052131023351</v>
      </c>
      <c r="Z145" t="s">
        <v>1497</v>
      </c>
      <c r="AA145" t="s">
        <v>1499</v>
      </c>
      <c r="AB145" t="s">
        <v>1503</v>
      </c>
      <c r="AD145">
        <v>2024</v>
      </c>
      <c r="AE145" t="s">
        <v>2811</v>
      </c>
      <c r="AF145" t="s">
        <v>2823</v>
      </c>
      <c r="AG145" t="s">
        <v>2845</v>
      </c>
      <c r="AH145" t="s">
        <v>2848</v>
      </c>
      <c r="AI145">
        <v>1</v>
      </c>
    </row>
    <row r="146" spans="1:35" x14ac:dyDescent="0.3">
      <c r="A146" t="s">
        <v>152</v>
      </c>
      <c r="B146">
        <v>1</v>
      </c>
      <c r="C146" s="1">
        <v>45404</v>
      </c>
      <c r="D146" s="1">
        <v>45404</v>
      </c>
      <c r="E146" t="s">
        <v>1069</v>
      </c>
      <c r="F146" t="s">
        <v>1880</v>
      </c>
      <c r="G146" t="s">
        <v>1425</v>
      </c>
      <c r="H146" t="s">
        <v>2655</v>
      </c>
      <c r="I146" t="s">
        <v>2738</v>
      </c>
      <c r="J146" t="s">
        <v>2753</v>
      </c>
      <c r="K146" t="s">
        <v>1482</v>
      </c>
      <c r="L146" t="s">
        <v>2783</v>
      </c>
      <c r="M146" t="s">
        <v>2567</v>
      </c>
      <c r="N146" t="s">
        <v>2585</v>
      </c>
      <c r="O146" t="s">
        <v>2604</v>
      </c>
      <c r="P146" t="s">
        <v>2560</v>
      </c>
      <c r="Q146" t="s">
        <v>2579</v>
      </c>
      <c r="R146" t="s">
        <v>2604</v>
      </c>
      <c r="S146" t="s">
        <v>2607</v>
      </c>
      <c r="T146">
        <v>1</v>
      </c>
      <c r="U146" s="2">
        <v>6347.66</v>
      </c>
      <c r="V146" s="3">
        <v>0.15</v>
      </c>
      <c r="W146" s="2">
        <v>5395.51</v>
      </c>
      <c r="X146" s="2">
        <v>791.34</v>
      </c>
      <c r="Y146" s="3">
        <v>0.14666639483570601</v>
      </c>
      <c r="Z146" t="s">
        <v>1496</v>
      </c>
      <c r="AA146" t="s">
        <v>1499</v>
      </c>
      <c r="AB146" t="s">
        <v>1501</v>
      </c>
      <c r="AC146">
        <v>0</v>
      </c>
      <c r="AD146">
        <v>2024</v>
      </c>
      <c r="AE146" t="s">
        <v>2811</v>
      </c>
      <c r="AF146" t="s">
        <v>2823</v>
      </c>
      <c r="AG146" t="s">
        <v>2845</v>
      </c>
      <c r="AH146" t="s">
        <v>2848</v>
      </c>
      <c r="AI146">
        <v>1</v>
      </c>
    </row>
    <row r="147" spans="1:35" x14ac:dyDescent="0.3">
      <c r="A147" t="s">
        <v>153</v>
      </c>
      <c r="B147">
        <v>1</v>
      </c>
      <c r="C147" s="1">
        <v>45405</v>
      </c>
      <c r="D147" s="1">
        <v>45406</v>
      </c>
      <c r="E147" t="s">
        <v>1070</v>
      </c>
      <c r="F147" t="s">
        <v>1846</v>
      </c>
      <c r="G147" t="s">
        <v>1389</v>
      </c>
      <c r="H147" t="s">
        <v>2703</v>
      </c>
      <c r="I147" t="s">
        <v>2740</v>
      </c>
      <c r="J147" t="s">
        <v>2764</v>
      </c>
      <c r="K147" t="s">
        <v>1491</v>
      </c>
      <c r="L147" t="s">
        <v>2779</v>
      </c>
      <c r="M147" t="s">
        <v>2555</v>
      </c>
      <c r="N147" t="s">
        <v>2578</v>
      </c>
      <c r="O147" t="s">
        <v>2603</v>
      </c>
      <c r="P147" t="s">
        <v>2555</v>
      </c>
      <c r="Q147" t="s">
        <v>2578</v>
      </c>
      <c r="R147" t="s">
        <v>2603</v>
      </c>
      <c r="S147" t="s">
        <v>2608</v>
      </c>
      <c r="T147">
        <v>2</v>
      </c>
      <c r="U147" s="2">
        <v>676.97</v>
      </c>
      <c r="V147" s="3">
        <v>0</v>
      </c>
      <c r="W147" s="2">
        <v>1353.94</v>
      </c>
      <c r="X147" s="2">
        <v>108.58</v>
      </c>
      <c r="Y147" s="3">
        <v>8.0195577352024455E-2</v>
      </c>
      <c r="Z147" t="s">
        <v>1493</v>
      </c>
      <c r="AA147" t="s">
        <v>1499</v>
      </c>
      <c r="AB147" t="s">
        <v>1501</v>
      </c>
      <c r="AC147">
        <v>1</v>
      </c>
      <c r="AD147">
        <v>2024</v>
      </c>
      <c r="AE147" t="s">
        <v>2811</v>
      </c>
      <c r="AF147" t="s">
        <v>2823</v>
      </c>
      <c r="AG147" t="s">
        <v>2845</v>
      </c>
      <c r="AH147" t="s">
        <v>2848</v>
      </c>
      <c r="AI147">
        <v>1</v>
      </c>
    </row>
    <row r="148" spans="1:35" x14ac:dyDescent="0.3">
      <c r="A148" t="s">
        <v>154</v>
      </c>
      <c r="B148">
        <v>2</v>
      </c>
      <c r="C148" s="1">
        <v>45406</v>
      </c>
      <c r="D148" s="1">
        <v>45406</v>
      </c>
      <c r="E148" t="s">
        <v>1071</v>
      </c>
      <c r="F148" t="s">
        <v>1663</v>
      </c>
      <c r="G148" t="s">
        <v>1426</v>
      </c>
      <c r="H148" t="s">
        <v>2661</v>
      </c>
      <c r="I148" t="s">
        <v>2738</v>
      </c>
      <c r="J148" t="s">
        <v>2754</v>
      </c>
      <c r="K148" t="s">
        <v>1486</v>
      </c>
      <c r="L148" t="s">
        <v>2776</v>
      </c>
      <c r="M148" t="s">
        <v>2562</v>
      </c>
      <c r="N148" t="s">
        <v>2574</v>
      </c>
      <c r="O148" t="s">
        <v>2602</v>
      </c>
      <c r="P148" t="s">
        <v>2551</v>
      </c>
      <c r="Q148" t="s">
        <v>2574</v>
      </c>
      <c r="R148" t="s">
        <v>2602</v>
      </c>
      <c r="S148" t="s">
        <v>2606</v>
      </c>
      <c r="T148">
        <v>1</v>
      </c>
      <c r="U148" s="2">
        <v>33135.4</v>
      </c>
      <c r="V148" s="3">
        <v>0</v>
      </c>
      <c r="W148" s="2">
        <v>33135.4</v>
      </c>
      <c r="X148" s="2">
        <v>8643.2900000000009</v>
      </c>
      <c r="Y148" s="3">
        <v>0.26084761312674659</v>
      </c>
      <c r="Z148" t="s">
        <v>2807</v>
      </c>
      <c r="AA148" t="s">
        <v>1499</v>
      </c>
      <c r="AB148" t="s">
        <v>1501</v>
      </c>
      <c r="AC148">
        <v>0</v>
      </c>
      <c r="AD148">
        <v>2024</v>
      </c>
      <c r="AE148" t="s">
        <v>2811</v>
      </c>
      <c r="AF148" t="s">
        <v>2823</v>
      </c>
      <c r="AG148" t="s">
        <v>2845</v>
      </c>
      <c r="AH148" t="s">
        <v>2848</v>
      </c>
      <c r="AI148">
        <v>1</v>
      </c>
    </row>
    <row r="149" spans="1:35" x14ac:dyDescent="0.3">
      <c r="A149" t="s">
        <v>154</v>
      </c>
      <c r="B149">
        <v>3</v>
      </c>
      <c r="C149" s="1">
        <v>45406</v>
      </c>
      <c r="D149" s="1">
        <v>45406</v>
      </c>
      <c r="E149" t="s">
        <v>1071</v>
      </c>
      <c r="F149" t="s">
        <v>1663</v>
      </c>
      <c r="G149" t="s">
        <v>1381</v>
      </c>
      <c r="H149" t="s">
        <v>2682</v>
      </c>
      <c r="I149" t="s">
        <v>2739</v>
      </c>
      <c r="J149" t="s">
        <v>2759</v>
      </c>
      <c r="K149" t="s">
        <v>1486</v>
      </c>
      <c r="L149" t="s">
        <v>2776</v>
      </c>
      <c r="M149" t="s">
        <v>2562</v>
      </c>
      <c r="N149" t="s">
        <v>2574</v>
      </c>
      <c r="O149" t="s">
        <v>2602</v>
      </c>
      <c r="P149" t="s">
        <v>2551</v>
      </c>
      <c r="Q149" t="s">
        <v>2574</v>
      </c>
      <c r="R149" t="s">
        <v>2602</v>
      </c>
      <c r="S149" t="s">
        <v>2606</v>
      </c>
      <c r="T149">
        <v>1</v>
      </c>
      <c r="U149" s="2">
        <v>4870.55</v>
      </c>
      <c r="V149" s="3">
        <v>0</v>
      </c>
      <c r="W149" s="2">
        <v>4870.55</v>
      </c>
      <c r="X149" s="2">
        <v>1976.93</v>
      </c>
      <c r="Y149" s="3">
        <v>0.40589461149151529</v>
      </c>
      <c r="Z149" t="s">
        <v>1496</v>
      </c>
      <c r="AA149" t="s">
        <v>1499</v>
      </c>
      <c r="AB149" t="s">
        <v>1501</v>
      </c>
      <c r="AC149">
        <v>0</v>
      </c>
      <c r="AD149">
        <v>2024</v>
      </c>
      <c r="AE149" t="s">
        <v>2811</v>
      </c>
      <c r="AF149" t="s">
        <v>2823</v>
      </c>
      <c r="AG149" t="s">
        <v>2845</v>
      </c>
      <c r="AH149" t="s">
        <v>2848</v>
      </c>
      <c r="AI149">
        <v>0</v>
      </c>
    </row>
    <row r="150" spans="1:35" x14ac:dyDescent="0.3">
      <c r="A150" t="s">
        <v>155</v>
      </c>
      <c r="B150">
        <v>2</v>
      </c>
      <c r="C150" s="1">
        <v>45406</v>
      </c>
      <c r="D150" s="1">
        <v>45409</v>
      </c>
      <c r="E150" t="s">
        <v>1072</v>
      </c>
      <c r="F150" t="s">
        <v>1695</v>
      </c>
      <c r="G150" t="s">
        <v>1414</v>
      </c>
      <c r="H150" t="s">
        <v>2641</v>
      </c>
      <c r="I150" t="s">
        <v>2738</v>
      </c>
      <c r="J150" t="s">
        <v>2749</v>
      </c>
      <c r="K150" t="s">
        <v>1480</v>
      </c>
      <c r="L150" t="s">
        <v>2789</v>
      </c>
      <c r="M150" t="s">
        <v>2569</v>
      </c>
      <c r="N150" t="s">
        <v>2587</v>
      </c>
      <c r="O150" t="s">
        <v>2604</v>
      </c>
      <c r="R150" t="s">
        <v>2790</v>
      </c>
      <c r="S150" t="s">
        <v>2608</v>
      </c>
      <c r="T150">
        <v>1</v>
      </c>
      <c r="U150" s="2">
        <v>20329.61</v>
      </c>
      <c r="V150" s="3">
        <v>0</v>
      </c>
      <c r="W150" s="2">
        <v>20329.61</v>
      </c>
      <c r="X150" s="2">
        <v>4962.38</v>
      </c>
      <c r="Y150" s="3">
        <v>0.2440961730205351</v>
      </c>
      <c r="Z150" t="s">
        <v>1496</v>
      </c>
      <c r="AA150" t="s">
        <v>1498</v>
      </c>
      <c r="AB150" t="s">
        <v>1501</v>
      </c>
      <c r="AC150">
        <v>3</v>
      </c>
      <c r="AD150">
        <v>2024</v>
      </c>
      <c r="AE150" t="s">
        <v>2811</v>
      </c>
      <c r="AF150" t="s">
        <v>2823</v>
      </c>
      <c r="AG150" t="s">
        <v>2845</v>
      </c>
      <c r="AH150" t="s">
        <v>2848</v>
      </c>
      <c r="AI150">
        <v>1</v>
      </c>
    </row>
    <row r="151" spans="1:35" x14ac:dyDescent="0.3">
      <c r="A151" t="s">
        <v>156</v>
      </c>
      <c r="B151">
        <v>1</v>
      </c>
      <c r="C151" s="1">
        <v>45406</v>
      </c>
      <c r="D151" s="1">
        <v>45406</v>
      </c>
      <c r="E151" t="s">
        <v>1050</v>
      </c>
      <c r="F151" t="s">
        <v>1753</v>
      </c>
      <c r="G151" t="s">
        <v>1390</v>
      </c>
      <c r="H151" t="s">
        <v>2645</v>
      </c>
      <c r="I151" t="s">
        <v>2738</v>
      </c>
      <c r="J151" t="s">
        <v>2750</v>
      </c>
      <c r="K151" t="s">
        <v>1486</v>
      </c>
      <c r="L151" t="s">
        <v>2776</v>
      </c>
      <c r="M151" t="s">
        <v>2556</v>
      </c>
      <c r="N151" t="s">
        <v>2574</v>
      </c>
      <c r="O151" t="s">
        <v>2602</v>
      </c>
      <c r="P151" t="s">
        <v>2551</v>
      </c>
      <c r="Q151" t="s">
        <v>2574</v>
      </c>
      <c r="R151" t="s">
        <v>2602</v>
      </c>
      <c r="S151" t="s">
        <v>2608</v>
      </c>
      <c r="T151">
        <v>1</v>
      </c>
      <c r="U151" s="2">
        <v>38147.39</v>
      </c>
      <c r="V151" s="3">
        <v>0.1</v>
      </c>
      <c r="W151" s="2">
        <v>34332.65</v>
      </c>
      <c r="X151" s="2">
        <v>7035.3</v>
      </c>
      <c r="Y151" s="3">
        <v>0.20491572890528401</v>
      </c>
      <c r="Z151" t="s">
        <v>1493</v>
      </c>
      <c r="AA151" t="s">
        <v>1498</v>
      </c>
      <c r="AB151" t="s">
        <v>1501</v>
      </c>
      <c r="AC151">
        <v>0</v>
      </c>
      <c r="AD151">
        <v>2024</v>
      </c>
      <c r="AE151" t="s">
        <v>2811</v>
      </c>
      <c r="AF151" t="s">
        <v>2823</v>
      </c>
      <c r="AG151" t="s">
        <v>2845</v>
      </c>
      <c r="AH151" t="s">
        <v>2848</v>
      </c>
      <c r="AI151">
        <v>1</v>
      </c>
    </row>
    <row r="152" spans="1:35" x14ac:dyDescent="0.3">
      <c r="A152" t="s">
        <v>157</v>
      </c>
      <c r="B152">
        <v>1</v>
      </c>
      <c r="C152" s="1">
        <v>45407</v>
      </c>
      <c r="E152" t="s">
        <v>1073</v>
      </c>
      <c r="F152" t="s">
        <v>1779</v>
      </c>
      <c r="G152" t="s">
        <v>1370</v>
      </c>
      <c r="H152" t="s">
        <v>2633</v>
      </c>
      <c r="I152" t="s">
        <v>2737</v>
      </c>
      <c r="J152" t="s">
        <v>2747</v>
      </c>
      <c r="K152" t="s">
        <v>1480</v>
      </c>
      <c r="L152" t="s">
        <v>2789</v>
      </c>
      <c r="M152" t="s">
        <v>2570</v>
      </c>
      <c r="N152" t="s">
        <v>2590</v>
      </c>
      <c r="O152" t="s">
        <v>2605</v>
      </c>
      <c r="R152" t="s">
        <v>2790</v>
      </c>
      <c r="S152" t="s">
        <v>2607</v>
      </c>
      <c r="T152">
        <v>1</v>
      </c>
      <c r="U152" s="2">
        <v>19480.22</v>
      </c>
      <c r="V152" s="3">
        <v>0</v>
      </c>
      <c r="W152" s="2">
        <v>19480.22</v>
      </c>
      <c r="X152" s="2">
        <v>1671.99</v>
      </c>
      <c r="Y152" s="3">
        <v>8.5830139495344501E-2</v>
      </c>
      <c r="Z152" t="s">
        <v>1495</v>
      </c>
      <c r="AA152" t="s">
        <v>1498</v>
      </c>
      <c r="AB152" t="s">
        <v>1503</v>
      </c>
      <c r="AD152">
        <v>2024</v>
      </c>
      <c r="AE152" t="s">
        <v>2811</v>
      </c>
      <c r="AF152" t="s">
        <v>2823</v>
      </c>
      <c r="AG152" t="s">
        <v>2845</v>
      </c>
      <c r="AH152" t="s">
        <v>2848</v>
      </c>
      <c r="AI152">
        <v>1</v>
      </c>
    </row>
    <row r="153" spans="1:35" x14ac:dyDescent="0.3">
      <c r="A153" t="s">
        <v>158</v>
      </c>
      <c r="B153">
        <v>1</v>
      </c>
      <c r="C153" s="1">
        <v>45408</v>
      </c>
      <c r="D153" s="1">
        <v>45408</v>
      </c>
      <c r="E153" t="s">
        <v>1028</v>
      </c>
      <c r="F153" t="s">
        <v>1657</v>
      </c>
      <c r="G153" t="s">
        <v>1410</v>
      </c>
      <c r="H153" t="s">
        <v>2715</v>
      </c>
      <c r="I153" t="s">
        <v>2741</v>
      </c>
      <c r="J153" t="s">
        <v>2767</v>
      </c>
      <c r="K153" t="s">
        <v>1481</v>
      </c>
      <c r="L153" t="s">
        <v>2777</v>
      </c>
      <c r="M153" t="s">
        <v>2553</v>
      </c>
      <c r="N153" t="s">
        <v>2576</v>
      </c>
      <c r="O153" t="s">
        <v>2602</v>
      </c>
      <c r="P153" t="s">
        <v>2557</v>
      </c>
      <c r="Q153" t="s">
        <v>2576</v>
      </c>
      <c r="R153" t="s">
        <v>2602</v>
      </c>
      <c r="S153" t="s">
        <v>2606</v>
      </c>
      <c r="T153">
        <v>1</v>
      </c>
      <c r="U153" s="2">
        <v>1753.24</v>
      </c>
      <c r="V153" s="3">
        <v>0</v>
      </c>
      <c r="W153" s="2">
        <v>1753.24</v>
      </c>
      <c r="X153" s="2">
        <v>578.29999999999995</v>
      </c>
      <c r="Y153" s="3">
        <v>0.32984645570486643</v>
      </c>
      <c r="Z153" t="s">
        <v>1495</v>
      </c>
      <c r="AA153" t="s">
        <v>1499</v>
      </c>
      <c r="AB153" t="s">
        <v>1501</v>
      </c>
      <c r="AC153">
        <v>0</v>
      </c>
      <c r="AD153">
        <v>2024</v>
      </c>
      <c r="AE153" t="s">
        <v>2811</v>
      </c>
      <c r="AF153" t="s">
        <v>2823</v>
      </c>
      <c r="AG153" t="s">
        <v>2845</v>
      </c>
      <c r="AH153" t="s">
        <v>2848</v>
      </c>
      <c r="AI153">
        <v>1</v>
      </c>
    </row>
    <row r="154" spans="1:35" x14ac:dyDescent="0.3">
      <c r="A154" t="s">
        <v>159</v>
      </c>
      <c r="B154">
        <v>1</v>
      </c>
      <c r="C154" s="1">
        <v>45410</v>
      </c>
      <c r="D154" s="1">
        <v>45410</v>
      </c>
      <c r="E154" t="s">
        <v>1074</v>
      </c>
      <c r="F154" t="s">
        <v>1961</v>
      </c>
      <c r="G154" t="s">
        <v>1343</v>
      </c>
      <c r="H154" t="s">
        <v>2646</v>
      </c>
      <c r="I154" t="s">
        <v>2738</v>
      </c>
      <c r="J154" t="s">
        <v>2750</v>
      </c>
      <c r="K154" t="s">
        <v>1483</v>
      </c>
      <c r="L154" t="s">
        <v>2781</v>
      </c>
      <c r="M154" t="s">
        <v>2555</v>
      </c>
      <c r="N154" t="s">
        <v>2578</v>
      </c>
      <c r="O154" t="s">
        <v>2603</v>
      </c>
      <c r="P154" t="s">
        <v>2568</v>
      </c>
      <c r="Q154" t="s">
        <v>2586</v>
      </c>
      <c r="R154" t="s">
        <v>2603</v>
      </c>
      <c r="S154" t="s">
        <v>2608</v>
      </c>
      <c r="T154">
        <v>2</v>
      </c>
      <c r="U154" s="2">
        <v>7138.26</v>
      </c>
      <c r="V154" s="3">
        <v>0</v>
      </c>
      <c r="W154" s="2">
        <v>14276.52</v>
      </c>
      <c r="X154" s="2">
        <v>3327.94</v>
      </c>
      <c r="Y154" s="3">
        <v>0.2331058269101994</v>
      </c>
      <c r="Z154" t="s">
        <v>1495</v>
      </c>
      <c r="AA154" t="s">
        <v>1499</v>
      </c>
      <c r="AB154" t="s">
        <v>1501</v>
      </c>
      <c r="AC154">
        <v>0</v>
      </c>
      <c r="AD154">
        <v>2024</v>
      </c>
      <c r="AE154" t="s">
        <v>2811</v>
      </c>
      <c r="AF154" t="s">
        <v>2823</v>
      </c>
      <c r="AG154" t="s">
        <v>2845</v>
      </c>
      <c r="AH154" t="s">
        <v>2848</v>
      </c>
      <c r="AI154">
        <v>1</v>
      </c>
    </row>
    <row r="155" spans="1:35" x14ac:dyDescent="0.3">
      <c r="A155" t="s">
        <v>160</v>
      </c>
      <c r="B155">
        <v>1</v>
      </c>
      <c r="C155" s="1">
        <v>45410</v>
      </c>
      <c r="D155" s="1">
        <v>45412</v>
      </c>
      <c r="E155" t="s">
        <v>965</v>
      </c>
      <c r="F155" t="s">
        <v>1685</v>
      </c>
      <c r="G155" t="s">
        <v>1359</v>
      </c>
      <c r="H155" t="s">
        <v>2663</v>
      </c>
      <c r="I155" t="s">
        <v>2739</v>
      </c>
      <c r="J155" t="s">
        <v>2755</v>
      </c>
      <c r="K155" t="s">
        <v>1480</v>
      </c>
      <c r="L155" t="s">
        <v>2789</v>
      </c>
      <c r="M155" t="s">
        <v>2569</v>
      </c>
      <c r="N155" t="s">
        <v>2587</v>
      </c>
      <c r="O155" t="s">
        <v>2604</v>
      </c>
      <c r="R155" t="s">
        <v>2790</v>
      </c>
      <c r="S155" t="s">
        <v>2608</v>
      </c>
      <c r="T155">
        <v>2</v>
      </c>
      <c r="U155" s="2">
        <v>5570.41</v>
      </c>
      <c r="V155" s="3">
        <v>0</v>
      </c>
      <c r="W155" s="2">
        <v>11140.82</v>
      </c>
      <c r="X155" s="2">
        <v>2840.6</v>
      </c>
      <c r="Y155" s="3">
        <v>0.25497225518408878</v>
      </c>
      <c r="Z155" t="s">
        <v>1494</v>
      </c>
      <c r="AA155" t="s">
        <v>1498</v>
      </c>
      <c r="AB155" t="s">
        <v>1501</v>
      </c>
      <c r="AC155">
        <v>2</v>
      </c>
      <c r="AD155">
        <v>2024</v>
      </c>
      <c r="AE155" t="s">
        <v>2811</v>
      </c>
      <c r="AF155" t="s">
        <v>2823</v>
      </c>
      <c r="AG155" t="s">
        <v>2845</v>
      </c>
      <c r="AH155" t="s">
        <v>2848</v>
      </c>
      <c r="AI155">
        <v>1</v>
      </c>
    </row>
    <row r="156" spans="1:35" x14ac:dyDescent="0.3">
      <c r="A156" t="s">
        <v>161</v>
      </c>
      <c r="B156">
        <v>1</v>
      </c>
      <c r="C156" s="1">
        <v>45411</v>
      </c>
      <c r="D156" s="1">
        <v>45413</v>
      </c>
      <c r="E156" t="s">
        <v>1075</v>
      </c>
      <c r="F156" t="s">
        <v>1664</v>
      </c>
      <c r="G156" t="s">
        <v>1427</v>
      </c>
      <c r="H156" t="s">
        <v>2712</v>
      </c>
      <c r="I156" t="s">
        <v>2741</v>
      </c>
      <c r="J156" t="s">
        <v>2766</v>
      </c>
      <c r="K156" t="s">
        <v>1480</v>
      </c>
      <c r="L156" t="s">
        <v>2789</v>
      </c>
      <c r="M156" t="s">
        <v>2570</v>
      </c>
      <c r="N156" t="s">
        <v>2590</v>
      </c>
      <c r="O156" t="s">
        <v>2605</v>
      </c>
      <c r="R156" t="s">
        <v>2790</v>
      </c>
      <c r="S156" t="s">
        <v>2606</v>
      </c>
      <c r="T156">
        <v>1</v>
      </c>
      <c r="U156" s="2">
        <v>687.56</v>
      </c>
      <c r="V156" s="3">
        <v>0.2</v>
      </c>
      <c r="W156" s="2">
        <v>550.04999999999995</v>
      </c>
      <c r="X156" s="2">
        <v>97.62</v>
      </c>
      <c r="Y156" s="3">
        <v>0.1774747750204527</v>
      </c>
      <c r="Z156" t="s">
        <v>1496</v>
      </c>
      <c r="AA156" t="s">
        <v>1498</v>
      </c>
      <c r="AB156" t="s">
        <v>1501</v>
      </c>
      <c r="AC156">
        <v>2</v>
      </c>
      <c r="AD156">
        <v>2024</v>
      </c>
      <c r="AE156" t="s">
        <v>2811</v>
      </c>
      <c r="AF156" t="s">
        <v>2823</v>
      </c>
      <c r="AG156" t="s">
        <v>2845</v>
      </c>
      <c r="AH156" t="s">
        <v>2848</v>
      </c>
      <c r="AI156">
        <v>1</v>
      </c>
    </row>
    <row r="157" spans="1:35" x14ac:dyDescent="0.3">
      <c r="A157" t="s">
        <v>162</v>
      </c>
      <c r="B157">
        <v>1</v>
      </c>
      <c r="C157" s="1">
        <v>45412</v>
      </c>
      <c r="D157" s="1">
        <v>45413</v>
      </c>
      <c r="E157" t="s">
        <v>1000</v>
      </c>
      <c r="F157" t="s">
        <v>1730</v>
      </c>
      <c r="G157" t="s">
        <v>1329</v>
      </c>
      <c r="H157" t="s">
        <v>2659</v>
      </c>
      <c r="I157" t="s">
        <v>2739</v>
      </c>
      <c r="J157" t="s">
        <v>2759</v>
      </c>
      <c r="K157" t="s">
        <v>1480</v>
      </c>
      <c r="L157" t="s">
        <v>2789</v>
      </c>
      <c r="M157" t="s">
        <v>2571</v>
      </c>
      <c r="N157" t="s">
        <v>2590</v>
      </c>
      <c r="O157" t="s">
        <v>2605</v>
      </c>
      <c r="R157" t="s">
        <v>2790</v>
      </c>
      <c r="S157" t="s">
        <v>2606</v>
      </c>
      <c r="T157">
        <v>1</v>
      </c>
      <c r="U157" s="2">
        <v>1065.95</v>
      </c>
      <c r="V157" s="3">
        <v>0.15</v>
      </c>
      <c r="W157" s="2">
        <v>906.06</v>
      </c>
      <c r="X157" s="2">
        <v>220.88</v>
      </c>
      <c r="Y157" s="3">
        <v>0.24378076507074589</v>
      </c>
      <c r="Z157" t="s">
        <v>1494</v>
      </c>
      <c r="AA157" t="s">
        <v>1498</v>
      </c>
      <c r="AB157" t="s">
        <v>1501</v>
      </c>
      <c r="AC157">
        <v>1</v>
      </c>
      <c r="AD157">
        <v>2024</v>
      </c>
      <c r="AE157" t="s">
        <v>2811</v>
      </c>
      <c r="AF157" t="s">
        <v>2823</v>
      </c>
      <c r="AG157" t="s">
        <v>2845</v>
      </c>
      <c r="AH157" t="s">
        <v>2848</v>
      </c>
      <c r="AI157">
        <v>1</v>
      </c>
    </row>
    <row r="158" spans="1:35" x14ac:dyDescent="0.3">
      <c r="A158" t="s">
        <v>163</v>
      </c>
      <c r="B158">
        <v>1</v>
      </c>
      <c r="C158" s="1">
        <v>45413</v>
      </c>
      <c r="E158" t="s">
        <v>1076</v>
      </c>
      <c r="F158" t="s">
        <v>1773</v>
      </c>
      <c r="G158" t="s">
        <v>1401</v>
      </c>
      <c r="H158" t="s">
        <v>2618</v>
      </c>
      <c r="I158" t="s">
        <v>2737</v>
      </c>
      <c r="J158" t="s">
        <v>2744</v>
      </c>
      <c r="K158" t="s">
        <v>1480</v>
      </c>
      <c r="L158" t="s">
        <v>2789</v>
      </c>
      <c r="M158" t="s">
        <v>2567</v>
      </c>
      <c r="N158" t="s">
        <v>2585</v>
      </c>
      <c r="O158" t="s">
        <v>2604</v>
      </c>
      <c r="R158" t="s">
        <v>2790</v>
      </c>
      <c r="S158" t="s">
        <v>2606</v>
      </c>
      <c r="T158">
        <v>1</v>
      </c>
      <c r="U158" s="2">
        <v>50900.49</v>
      </c>
      <c r="V158" s="3">
        <v>0.05</v>
      </c>
      <c r="W158" s="2">
        <v>48355.47</v>
      </c>
      <c r="X158" s="2">
        <v>5385.72</v>
      </c>
      <c r="Y158" s="3">
        <v>0.1113776786783377</v>
      </c>
      <c r="Z158" t="s">
        <v>1497</v>
      </c>
      <c r="AA158" t="s">
        <v>1498</v>
      </c>
      <c r="AB158" t="s">
        <v>1503</v>
      </c>
      <c r="AD158">
        <v>2024</v>
      </c>
      <c r="AE158" t="s">
        <v>2812</v>
      </c>
      <c r="AF158" t="s">
        <v>2824</v>
      </c>
      <c r="AG158" t="s">
        <v>2845</v>
      </c>
      <c r="AH158" t="s">
        <v>2848</v>
      </c>
      <c r="AI158">
        <v>1</v>
      </c>
    </row>
    <row r="159" spans="1:35" x14ac:dyDescent="0.3">
      <c r="A159" t="s">
        <v>164</v>
      </c>
      <c r="B159">
        <v>1</v>
      </c>
      <c r="C159" s="1">
        <v>45413</v>
      </c>
      <c r="D159" s="1">
        <v>45414</v>
      </c>
      <c r="E159" t="s">
        <v>1077</v>
      </c>
      <c r="F159" t="s">
        <v>1802</v>
      </c>
      <c r="G159" t="s">
        <v>1424</v>
      </c>
      <c r="H159" t="s">
        <v>2624</v>
      </c>
      <c r="I159" t="s">
        <v>2737</v>
      </c>
      <c r="J159" t="s">
        <v>2745</v>
      </c>
      <c r="K159" t="s">
        <v>1480</v>
      </c>
      <c r="L159" t="s">
        <v>2789</v>
      </c>
      <c r="M159" t="s">
        <v>2559</v>
      </c>
      <c r="N159" t="s">
        <v>2559</v>
      </c>
      <c r="O159" t="s">
        <v>2603</v>
      </c>
      <c r="R159" t="s">
        <v>2790</v>
      </c>
      <c r="S159" t="s">
        <v>2608</v>
      </c>
      <c r="T159">
        <v>1</v>
      </c>
      <c r="U159" s="2">
        <v>31609.79</v>
      </c>
      <c r="V159" s="3">
        <v>0</v>
      </c>
      <c r="W159" s="2">
        <v>31609.79</v>
      </c>
      <c r="X159" s="2">
        <v>3440.18</v>
      </c>
      <c r="Y159" s="3">
        <v>0.1088327382118008</v>
      </c>
      <c r="Z159" t="s">
        <v>1494</v>
      </c>
      <c r="AA159" t="s">
        <v>1498</v>
      </c>
      <c r="AB159" t="s">
        <v>1501</v>
      </c>
      <c r="AC159">
        <v>1</v>
      </c>
      <c r="AD159">
        <v>2024</v>
      </c>
      <c r="AE159" t="s">
        <v>2812</v>
      </c>
      <c r="AF159" t="s">
        <v>2824</v>
      </c>
      <c r="AG159" t="s">
        <v>2845</v>
      </c>
      <c r="AH159" t="s">
        <v>2848</v>
      </c>
      <c r="AI159">
        <v>1</v>
      </c>
    </row>
    <row r="160" spans="1:35" x14ac:dyDescent="0.3">
      <c r="A160" t="s">
        <v>165</v>
      </c>
      <c r="B160">
        <v>1</v>
      </c>
      <c r="C160" s="1">
        <v>45414</v>
      </c>
      <c r="D160" s="1">
        <v>45416</v>
      </c>
      <c r="E160" t="s">
        <v>1026</v>
      </c>
      <c r="F160" t="s">
        <v>1736</v>
      </c>
      <c r="G160" t="s">
        <v>1415</v>
      </c>
      <c r="H160" t="s">
        <v>2668</v>
      </c>
      <c r="I160" t="s">
        <v>2739</v>
      </c>
      <c r="J160" t="s">
        <v>2756</v>
      </c>
      <c r="K160" t="s">
        <v>1480</v>
      </c>
      <c r="L160" t="s">
        <v>2789</v>
      </c>
      <c r="M160" t="s">
        <v>2571</v>
      </c>
      <c r="N160" t="s">
        <v>2590</v>
      </c>
      <c r="O160" t="s">
        <v>2605</v>
      </c>
      <c r="R160" t="s">
        <v>2790</v>
      </c>
      <c r="S160" t="s">
        <v>2607</v>
      </c>
      <c r="T160">
        <v>1</v>
      </c>
      <c r="U160" s="2">
        <v>4772.1499999999996</v>
      </c>
      <c r="V160" s="3">
        <v>0</v>
      </c>
      <c r="W160" s="2">
        <v>4772.1499999999996</v>
      </c>
      <c r="X160" s="2">
        <v>1210.06</v>
      </c>
      <c r="Y160" s="3">
        <v>0.25356705049086892</v>
      </c>
      <c r="Z160" t="s">
        <v>1494</v>
      </c>
      <c r="AA160" t="s">
        <v>1498</v>
      </c>
      <c r="AB160" t="s">
        <v>1501</v>
      </c>
      <c r="AC160">
        <v>2</v>
      </c>
      <c r="AD160">
        <v>2024</v>
      </c>
      <c r="AE160" t="s">
        <v>2812</v>
      </c>
      <c r="AF160" t="s">
        <v>2824</v>
      </c>
      <c r="AG160" t="s">
        <v>2845</v>
      </c>
      <c r="AH160" t="s">
        <v>2848</v>
      </c>
      <c r="AI160">
        <v>1</v>
      </c>
    </row>
    <row r="161" spans="1:35" x14ac:dyDescent="0.3">
      <c r="A161" t="s">
        <v>166</v>
      </c>
      <c r="B161">
        <v>2</v>
      </c>
      <c r="C161" s="1">
        <v>45414</v>
      </c>
      <c r="D161" s="1">
        <v>45415</v>
      </c>
      <c r="E161" t="s">
        <v>1078</v>
      </c>
      <c r="F161" t="s">
        <v>1895</v>
      </c>
      <c r="G161" t="s">
        <v>1428</v>
      </c>
      <c r="H161" t="s">
        <v>2702</v>
      </c>
      <c r="I161" t="s">
        <v>2740</v>
      </c>
      <c r="J161" t="s">
        <v>2764</v>
      </c>
      <c r="K161" t="s">
        <v>1480</v>
      </c>
      <c r="L161" t="s">
        <v>2789</v>
      </c>
      <c r="M161" t="s">
        <v>2556</v>
      </c>
      <c r="N161" t="s">
        <v>2574</v>
      </c>
      <c r="O161" t="s">
        <v>2602</v>
      </c>
      <c r="R161" t="s">
        <v>2790</v>
      </c>
      <c r="S161" t="s">
        <v>2606</v>
      </c>
      <c r="T161">
        <v>2</v>
      </c>
      <c r="U161" s="2">
        <v>460.36</v>
      </c>
      <c r="V161" s="3">
        <v>0</v>
      </c>
      <c r="W161" s="2">
        <v>920.72</v>
      </c>
      <c r="X161" s="2">
        <v>88.26</v>
      </c>
      <c r="Y161" s="3">
        <v>9.5859761925449649E-2</v>
      </c>
      <c r="Z161" t="s">
        <v>1497</v>
      </c>
      <c r="AA161" t="s">
        <v>1500</v>
      </c>
      <c r="AB161" t="s">
        <v>1501</v>
      </c>
      <c r="AC161">
        <v>1</v>
      </c>
      <c r="AD161">
        <v>2024</v>
      </c>
      <c r="AE161" t="s">
        <v>2812</v>
      </c>
      <c r="AF161" t="s">
        <v>2824</v>
      </c>
      <c r="AG161" t="s">
        <v>2845</v>
      </c>
      <c r="AH161" t="s">
        <v>2848</v>
      </c>
      <c r="AI161">
        <v>1</v>
      </c>
    </row>
    <row r="162" spans="1:35" x14ac:dyDescent="0.3">
      <c r="A162" t="s">
        <v>167</v>
      </c>
      <c r="B162">
        <v>1</v>
      </c>
      <c r="C162" s="1">
        <v>45414</v>
      </c>
      <c r="D162" s="1">
        <v>45416</v>
      </c>
      <c r="E162" t="s">
        <v>1075</v>
      </c>
      <c r="F162" t="s">
        <v>1664</v>
      </c>
      <c r="G162" t="s">
        <v>1388</v>
      </c>
      <c r="H162" t="s">
        <v>2662</v>
      </c>
      <c r="I162" t="s">
        <v>2739</v>
      </c>
      <c r="J162" t="s">
        <v>2755</v>
      </c>
      <c r="K162" t="s">
        <v>1480</v>
      </c>
      <c r="L162" t="s">
        <v>2789</v>
      </c>
      <c r="M162" t="s">
        <v>2570</v>
      </c>
      <c r="N162" t="s">
        <v>2590</v>
      </c>
      <c r="O162" t="s">
        <v>2605</v>
      </c>
      <c r="R162" t="s">
        <v>2790</v>
      </c>
      <c r="S162" t="s">
        <v>2606</v>
      </c>
      <c r="T162">
        <v>1</v>
      </c>
      <c r="U162" s="2">
        <v>5746.05</v>
      </c>
      <c r="V162" s="3">
        <v>0</v>
      </c>
      <c r="W162" s="2">
        <v>5746.05</v>
      </c>
      <c r="X162" s="2">
        <v>1765.7</v>
      </c>
      <c r="Y162" s="3">
        <v>0.30728935529624701</v>
      </c>
      <c r="Z162" t="s">
        <v>1496</v>
      </c>
      <c r="AA162" t="s">
        <v>1498</v>
      </c>
      <c r="AB162" t="s">
        <v>1501</v>
      </c>
      <c r="AC162">
        <v>2</v>
      </c>
      <c r="AD162">
        <v>2024</v>
      </c>
      <c r="AE162" t="s">
        <v>2812</v>
      </c>
      <c r="AF162" t="s">
        <v>2824</v>
      </c>
      <c r="AG162" t="s">
        <v>2845</v>
      </c>
      <c r="AH162" t="s">
        <v>2848</v>
      </c>
      <c r="AI162">
        <v>1</v>
      </c>
    </row>
    <row r="163" spans="1:35" x14ac:dyDescent="0.3">
      <c r="A163" t="s">
        <v>168</v>
      </c>
      <c r="B163">
        <v>1</v>
      </c>
      <c r="C163" s="1">
        <v>45414</v>
      </c>
      <c r="D163" s="1">
        <v>45415</v>
      </c>
      <c r="E163" t="s">
        <v>1079</v>
      </c>
      <c r="F163" t="s">
        <v>1930</v>
      </c>
      <c r="G163" t="s">
        <v>1429</v>
      </c>
      <c r="H163" t="s">
        <v>2626</v>
      </c>
      <c r="I163" t="s">
        <v>2737</v>
      </c>
      <c r="J163" t="s">
        <v>2745</v>
      </c>
      <c r="K163" t="s">
        <v>1482</v>
      </c>
      <c r="L163" t="s">
        <v>2783</v>
      </c>
      <c r="M163" t="s">
        <v>2560</v>
      </c>
      <c r="N163" t="s">
        <v>2579</v>
      </c>
      <c r="O163" t="s">
        <v>2604</v>
      </c>
      <c r="P163" t="s">
        <v>2560</v>
      </c>
      <c r="Q163" t="s">
        <v>2579</v>
      </c>
      <c r="R163" t="s">
        <v>2604</v>
      </c>
      <c r="S163" t="s">
        <v>2608</v>
      </c>
      <c r="T163">
        <v>1</v>
      </c>
      <c r="U163" s="2">
        <v>63166.03</v>
      </c>
      <c r="V163" s="3">
        <v>0</v>
      </c>
      <c r="W163" s="2">
        <v>63166.03</v>
      </c>
      <c r="X163" s="2">
        <v>9252.8799999999992</v>
      </c>
      <c r="Y163" s="3">
        <v>0.14648506483627349</v>
      </c>
      <c r="Z163" t="s">
        <v>1496</v>
      </c>
      <c r="AA163" t="s">
        <v>1499</v>
      </c>
      <c r="AB163" t="s">
        <v>1501</v>
      </c>
      <c r="AC163">
        <v>1</v>
      </c>
      <c r="AD163">
        <v>2024</v>
      </c>
      <c r="AE163" t="s">
        <v>2812</v>
      </c>
      <c r="AF163" t="s">
        <v>2824</v>
      </c>
      <c r="AG163" t="s">
        <v>2845</v>
      </c>
      <c r="AH163" t="s">
        <v>2848</v>
      </c>
      <c r="AI163">
        <v>1</v>
      </c>
    </row>
    <row r="164" spans="1:35" x14ac:dyDescent="0.3">
      <c r="A164" t="s">
        <v>169</v>
      </c>
      <c r="B164">
        <v>1</v>
      </c>
      <c r="C164" s="1">
        <v>45416</v>
      </c>
      <c r="D164" s="1">
        <v>45418</v>
      </c>
      <c r="E164" t="s">
        <v>1080</v>
      </c>
      <c r="F164" t="s">
        <v>1978</v>
      </c>
      <c r="G164" t="s">
        <v>1357</v>
      </c>
      <c r="H164" t="s">
        <v>2689</v>
      </c>
      <c r="I164" t="s">
        <v>2740</v>
      </c>
      <c r="J164" t="s">
        <v>2760</v>
      </c>
      <c r="K164" t="s">
        <v>1480</v>
      </c>
      <c r="L164" t="s">
        <v>2789</v>
      </c>
      <c r="M164" t="s">
        <v>2562</v>
      </c>
      <c r="N164" t="s">
        <v>2574</v>
      </c>
      <c r="O164" t="s">
        <v>2602</v>
      </c>
      <c r="R164" t="s">
        <v>2790</v>
      </c>
      <c r="S164" t="s">
        <v>2607</v>
      </c>
      <c r="T164">
        <v>1</v>
      </c>
      <c r="U164" s="2">
        <v>986.91</v>
      </c>
      <c r="V164" s="3">
        <v>0</v>
      </c>
      <c r="W164" s="2">
        <v>986.91</v>
      </c>
      <c r="X164" s="2">
        <v>128.72999999999999</v>
      </c>
      <c r="Y164" s="3">
        <v>0.13043742590509769</v>
      </c>
      <c r="Z164" t="s">
        <v>1496</v>
      </c>
      <c r="AA164" t="s">
        <v>1498</v>
      </c>
      <c r="AB164" t="s">
        <v>1501</v>
      </c>
      <c r="AC164">
        <v>2</v>
      </c>
      <c r="AD164">
        <v>2024</v>
      </c>
      <c r="AE164" t="s">
        <v>2812</v>
      </c>
      <c r="AF164" t="s">
        <v>2824</v>
      </c>
      <c r="AG164" t="s">
        <v>2845</v>
      </c>
      <c r="AH164" t="s">
        <v>2848</v>
      </c>
      <c r="AI164">
        <v>1</v>
      </c>
    </row>
    <row r="165" spans="1:35" x14ac:dyDescent="0.3">
      <c r="A165" t="s">
        <v>170</v>
      </c>
      <c r="B165">
        <v>1</v>
      </c>
      <c r="C165" s="1">
        <v>45416</v>
      </c>
      <c r="D165" s="1">
        <v>45417</v>
      </c>
      <c r="E165" t="s">
        <v>1081</v>
      </c>
      <c r="F165" t="s">
        <v>1772</v>
      </c>
      <c r="G165" t="s">
        <v>1371</v>
      </c>
      <c r="H165" t="s">
        <v>2671</v>
      </c>
      <c r="I165" t="s">
        <v>2739</v>
      </c>
      <c r="J165" t="s">
        <v>2756</v>
      </c>
      <c r="K165" t="s">
        <v>1480</v>
      </c>
      <c r="L165" t="s">
        <v>2789</v>
      </c>
      <c r="M165" t="s">
        <v>2567</v>
      </c>
      <c r="N165" t="s">
        <v>2585</v>
      </c>
      <c r="O165" t="s">
        <v>2604</v>
      </c>
      <c r="R165" t="s">
        <v>2790</v>
      </c>
      <c r="S165" t="s">
        <v>2606</v>
      </c>
      <c r="T165">
        <v>1</v>
      </c>
      <c r="U165" s="2">
        <v>5245.11</v>
      </c>
      <c r="V165" s="3">
        <v>0.1</v>
      </c>
      <c r="W165" s="2">
        <v>4720.6000000000004</v>
      </c>
      <c r="X165" s="2">
        <v>1419.44</v>
      </c>
      <c r="Y165" s="3">
        <v>0.30069059017921451</v>
      </c>
      <c r="Z165" t="s">
        <v>1497</v>
      </c>
      <c r="AA165" t="s">
        <v>1499</v>
      </c>
      <c r="AB165" t="s">
        <v>1501</v>
      </c>
      <c r="AC165">
        <v>1</v>
      </c>
      <c r="AD165">
        <v>2024</v>
      </c>
      <c r="AE165" t="s">
        <v>2812</v>
      </c>
      <c r="AF165" t="s">
        <v>2824</v>
      </c>
      <c r="AG165" t="s">
        <v>2845</v>
      </c>
      <c r="AH165" t="s">
        <v>2848</v>
      </c>
      <c r="AI165">
        <v>1</v>
      </c>
    </row>
    <row r="166" spans="1:35" x14ac:dyDescent="0.3">
      <c r="A166" t="s">
        <v>170</v>
      </c>
      <c r="B166">
        <v>2</v>
      </c>
      <c r="C166" s="1">
        <v>45416</v>
      </c>
      <c r="D166" s="1">
        <v>45417</v>
      </c>
      <c r="E166" t="s">
        <v>1081</v>
      </c>
      <c r="F166" t="s">
        <v>1772</v>
      </c>
      <c r="G166" t="s">
        <v>1406</v>
      </c>
      <c r="H166" t="s">
        <v>2712</v>
      </c>
      <c r="I166" t="s">
        <v>2741</v>
      </c>
      <c r="J166" t="s">
        <v>2766</v>
      </c>
      <c r="K166" t="s">
        <v>1480</v>
      </c>
      <c r="L166" t="s">
        <v>2789</v>
      </c>
      <c r="M166" t="s">
        <v>2567</v>
      </c>
      <c r="N166" t="s">
        <v>2585</v>
      </c>
      <c r="O166" t="s">
        <v>2604</v>
      </c>
      <c r="R166" t="s">
        <v>2790</v>
      </c>
      <c r="S166" t="s">
        <v>2606</v>
      </c>
      <c r="T166">
        <v>3</v>
      </c>
      <c r="U166" s="2">
        <v>150.38</v>
      </c>
      <c r="V166" s="3">
        <v>0.1</v>
      </c>
      <c r="W166" s="2">
        <v>406.03</v>
      </c>
      <c r="X166" s="2">
        <v>100.72</v>
      </c>
      <c r="Y166" s="3">
        <v>0.24806048814127041</v>
      </c>
      <c r="Z166" t="s">
        <v>1497</v>
      </c>
      <c r="AA166" t="s">
        <v>1499</v>
      </c>
      <c r="AB166" t="s">
        <v>1501</v>
      </c>
      <c r="AC166">
        <v>1</v>
      </c>
      <c r="AD166">
        <v>2024</v>
      </c>
      <c r="AE166" t="s">
        <v>2812</v>
      </c>
      <c r="AF166" t="s">
        <v>2824</v>
      </c>
      <c r="AG166" t="s">
        <v>2845</v>
      </c>
      <c r="AH166" t="s">
        <v>2848</v>
      </c>
      <c r="AI166">
        <v>0</v>
      </c>
    </row>
    <row r="167" spans="1:35" x14ac:dyDescent="0.3">
      <c r="A167" t="s">
        <v>171</v>
      </c>
      <c r="B167">
        <v>1</v>
      </c>
      <c r="C167" s="1">
        <v>45417</v>
      </c>
      <c r="D167" s="1">
        <v>45418</v>
      </c>
      <c r="E167" t="s">
        <v>998</v>
      </c>
      <c r="F167" t="s">
        <v>1999</v>
      </c>
      <c r="G167" t="s">
        <v>1430</v>
      </c>
      <c r="H167" t="s">
        <v>2698</v>
      </c>
      <c r="I167" t="s">
        <v>2740</v>
      </c>
      <c r="J167" t="s">
        <v>2762</v>
      </c>
      <c r="K167" t="s">
        <v>1484</v>
      </c>
      <c r="L167" t="s">
        <v>2778</v>
      </c>
      <c r="M167" t="s">
        <v>2555</v>
      </c>
      <c r="N167" t="s">
        <v>2578</v>
      </c>
      <c r="O167" t="s">
        <v>2603</v>
      </c>
      <c r="P167" t="s">
        <v>2559</v>
      </c>
      <c r="Q167" t="s">
        <v>2559</v>
      </c>
      <c r="R167" t="s">
        <v>2603</v>
      </c>
      <c r="S167" t="s">
        <v>2606</v>
      </c>
      <c r="T167">
        <v>1</v>
      </c>
      <c r="U167" s="2">
        <v>1148.97</v>
      </c>
      <c r="V167" s="3">
        <v>0</v>
      </c>
      <c r="W167" s="2">
        <v>1148.97</v>
      </c>
      <c r="X167" s="2">
        <v>88.53</v>
      </c>
      <c r="Y167" s="3">
        <v>7.7051620146740121E-2</v>
      </c>
      <c r="Z167" t="s">
        <v>1496</v>
      </c>
      <c r="AA167" t="s">
        <v>1498</v>
      </c>
      <c r="AB167" t="s">
        <v>1501</v>
      </c>
      <c r="AC167">
        <v>1</v>
      </c>
      <c r="AD167">
        <v>2024</v>
      </c>
      <c r="AE167" t="s">
        <v>2812</v>
      </c>
      <c r="AF167" t="s">
        <v>2824</v>
      </c>
      <c r="AG167" t="s">
        <v>2845</v>
      </c>
      <c r="AH167" t="s">
        <v>2848</v>
      </c>
      <c r="AI167">
        <v>1</v>
      </c>
    </row>
    <row r="168" spans="1:35" x14ac:dyDescent="0.3">
      <c r="A168" t="s">
        <v>171</v>
      </c>
      <c r="B168">
        <v>2</v>
      </c>
      <c r="C168" s="1">
        <v>45417</v>
      </c>
      <c r="D168" s="1">
        <v>45418</v>
      </c>
      <c r="E168" t="s">
        <v>998</v>
      </c>
      <c r="F168" t="s">
        <v>1999</v>
      </c>
      <c r="G168" t="s">
        <v>1427</v>
      </c>
      <c r="H168" t="s">
        <v>2712</v>
      </c>
      <c r="I168" t="s">
        <v>2741</v>
      </c>
      <c r="J168" t="s">
        <v>2766</v>
      </c>
      <c r="K168" t="s">
        <v>1484</v>
      </c>
      <c r="L168" t="s">
        <v>2778</v>
      </c>
      <c r="M168" t="s">
        <v>2555</v>
      </c>
      <c r="N168" t="s">
        <v>2578</v>
      </c>
      <c r="O168" t="s">
        <v>2603</v>
      </c>
      <c r="P168" t="s">
        <v>2559</v>
      </c>
      <c r="Q168" t="s">
        <v>2559</v>
      </c>
      <c r="R168" t="s">
        <v>2603</v>
      </c>
      <c r="S168" t="s">
        <v>2606</v>
      </c>
      <c r="T168">
        <v>2</v>
      </c>
      <c r="U168" s="2">
        <v>687.56</v>
      </c>
      <c r="V168" s="3">
        <v>0</v>
      </c>
      <c r="W168" s="2">
        <v>1375.12</v>
      </c>
      <c r="X168" s="2">
        <v>470.26</v>
      </c>
      <c r="Y168" s="3">
        <v>0.3419774274245157</v>
      </c>
      <c r="Z168" t="s">
        <v>1496</v>
      </c>
      <c r="AA168" t="s">
        <v>1498</v>
      </c>
      <c r="AB168" t="s">
        <v>1501</v>
      </c>
      <c r="AC168">
        <v>1</v>
      </c>
      <c r="AD168">
        <v>2024</v>
      </c>
      <c r="AE168" t="s">
        <v>2812</v>
      </c>
      <c r="AF168" t="s">
        <v>2824</v>
      </c>
      <c r="AG168" t="s">
        <v>2845</v>
      </c>
      <c r="AH168" t="s">
        <v>2848</v>
      </c>
      <c r="AI168">
        <v>0</v>
      </c>
    </row>
    <row r="169" spans="1:35" x14ac:dyDescent="0.3">
      <c r="A169" t="s">
        <v>172</v>
      </c>
      <c r="B169">
        <v>1</v>
      </c>
      <c r="C169" s="1">
        <v>45419</v>
      </c>
      <c r="D169" s="1">
        <v>45420</v>
      </c>
      <c r="E169" t="s">
        <v>1082</v>
      </c>
      <c r="F169" t="s">
        <v>1857</v>
      </c>
      <c r="G169" t="s">
        <v>1392</v>
      </c>
      <c r="H169" t="s">
        <v>2655</v>
      </c>
      <c r="I169" t="s">
        <v>2738</v>
      </c>
      <c r="J169" t="s">
        <v>2753</v>
      </c>
      <c r="K169" t="s">
        <v>1480</v>
      </c>
      <c r="L169" t="s">
        <v>2789</v>
      </c>
      <c r="M169" t="s">
        <v>2554</v>
      </c>
      <c r="N169" t="s">
        <v>2577</v>
      </c>
      <c r="O169" t="s">
        <v>2601</v>
      </c>
      <c r="R169" t="s">
        <v>2790</v>
      </c>
      <c r="S169" t="s">
        <v>2606</v>
      </c>
      <c r="T169">
        <v>3</v>
      </c>
      <c r="U169" s="2">
        <v>17688.330000000002</v>
      </c>
      <c r="V169" s="3">
        <v>0</v>
      </c>
      <c r="W169" s="2">
        <v>53064.99</v>
      </c>
      <c r="X169" s="2">
        <v>8711.67</v>
      </c>
      <c r="Y169" s="3">
        <v>0.16416982270231281</v>
      </c>
      <c r="Z169" t="s">
        <v>1493</v>
      </c>
      <c r="AA169" t="s">
        <v>1499</v>
      </c>
      <c r="AB169" t="s">
        <v>1501</v>
      </c>
      <c r="AC169">
        <v>1</v>
      </c>
      <c r="AD169">
        <v>2024</v>
      </c>
      <c r="AE169" t="s">
        <v>2812</v>
      </c>
      <c r="AF169" t="s">
        <v>2824</v>
      </c>
      <c r="AG169" t="s">
        <v>2845</v>
      </c>
      <c r="AH169" t="s">
        <v>2848</v>
      </c>
      <c r="AI169">
        <v>1</v>
      </c>
    </row>
    <row r="170" spans="1:35" x14ac:dyDescent="0.3">
      <c r="A170" t="s">
        <v>173</v>
      </c>
      <c r="B170">
        <v>1</v>
      </c>
      <c r="C170" s="1">
        <v>45419</v>
      </c>
      <c r="D170" s="1">
        <v>45420</v>
      </c>
      <c r="E170" t="s">
        <v>989</v>
      </c>
      <c r="F170" t="s">
        <v>1758</v>
      </c>
      <c r="G170" t="s">
        <v>1360</v>
      </c>
      <c r="H170" t="s">
        <v>2696</v>
      </c>
      <c r="I170" t="s">
        <v>2740</v>
      </c>
      <c r="J170" t="s">
        <v>2762</v>
      </c>
      <c r="K170" t="s">
        <v>1480</v>
      </c>
      <c r="L170" t="s">
        <v>2789</v>
      </c>
      <c r="M170" t="s">
        <v>2563</v>
      </c>
      <c r="N170" t="s">
        <v>2581</v>
      </c>
      <c r="O170" t="s">
        <v>2604</v>
      </c>
      <c r="R170" t="s">
        <v>2790</v>
      </c>
      <c r="S170" t="s">
        <v>2606</v>
      </c>
      <c r="T170">
        <v>1</v>
      </c>
      <c r="U170" s="2">
        <v>1166.3499999999999</v>
      </c>
      <c r="V170" s="3">
        <v>0</v>
      </c>
      <c r="W170" s="2">
        <v>1166.3499999999999</v>
      </c>
      <c r="X170" s="2">
        <v>136.61000000000001</v>
      </c>
      <c r="Y170" s="3">
        <v>0.11712607707806411</v>
      </c>
      <c r="Z170" t="s">
        <v>1496</v>
      </c>
      <c r="AA170" t="s">
        <v>1499</v>
      </c>
      <c r="AB170" t="s">
        <v>1501</v>
      </c>
      <c r="AC170">
        <v>1</v>
      </c>
      <c r="AD170">
        <v>2024</v>
      </c>
      <c r="AE170" t="s">
        <v>2812</v>
      </c>
      <c r="AF170" t="s">
        <v>2824</v>
      </c>
      <c r="AG170" t="s">
        <v>2845</v>
      </c>
      <c r="AH170" t="s">
        <v>2848</v>
      </c>
      <c r="AI170">
        <v>1</v>
      </c>
    </row>
    <row r="171" spans="1:35" x14ac:dyDescent="0.3">
      <c r="A171" t="s">
        <v>174</v>
      </c>
      <c r="B171">
        <v>2</v>
      </c>
      <c r="C171" s="1">
        <v>45420</v>
      </c>
      <c r="D171" s="1">
        <v>45421</v>
      </c>
      <c r="E171" t="s">
        <v>1083</v>
      </c>
      <c r="F171" t="s">
        <v>1719</v>
      </c>
      <c r="G171" t="s">
        <v>1431</v>
      </c>
      <c r="H171" t="s">
        <v>2658</v>
      </c>
      <c r="I171" t="s">
        <v>2738</v>
      </c>
      <c r="J171" t="s">
        <v>2754</v>
      </c>
      <c r="K171" t="s">
        <v>1479</v>
      </c>
      <c r="L171" t="s">
        <v>2786</v>
      </c>
      <c r="M171" t="s">
        <v>2564</v>
      </c>
      <c r="N171" t="s">
        <v>2582</v>
      </c>
      <c r="O171" t="s">
        <v>2601</v>
      </c>
      <c r="P171" t="s">
        <v>2564</v>
      </c>
      <c r="Q171" t="s">
        <v>2582</v>
      </c>
      <c r="R171" t="s">
        <v>2601</v>
      </c>
      <c r="S171" t="s">
        <v>2606</v>
      </c>
      <c r="T171">
        <v>1</v>
      </c>
      <c r="U171" s="2">
        <v>9677.85</v>
      </c>
      <c r="V171" s="3">
        <v>0</v>
      </c>
      <c r="W171" s="2">
        <v>9677.85</v>
      </c>
      <c r="X171" s="2">
        <v>1902.17</v>
      </c>
      <c r="Y171" s="3">
        <v>0.19654882024416581</v>
      </c>
      <c r="Z171" t="s">
        <v>1496</v>
      </c>
      <c r="AA171" t="s">
        <v>1498</v>
      </c>
      <c r="AB171" t="s">
        <v>1501</v>
      </c>
      <c r="AC171">
        <v>1</v>
      </c>
      <c r="AD171">
        <v>2024</v>
      </c>
      <c r="AE171" t="s">
        <v>2812</v>
      </c>
      <c r="AF171" t="s">
        <v>2824</v>
      </c>
      <c r="AG171" t="s">
        <v>2845</v>
      </c>
      <c r="AH171" t="s">
        <v>2848</v>
      </c>
      <c r="AI171">
        <v>1</v>
      </c>
    </row>
    <row r="172" spans="1:35" x14ac:dyDescent="0.3">
      <c r="A172" t="s">
        <v>175</v>
      </c>
      <c r="B172">
        <v>1</v>
      </c>
      <c r="C172" s="1">
        <v>45422</v>
      </c>
      <c r="D172" s="1">
        <v>45425</v>
      </c>
      <c r="E172" t="s">
        <v>1084</v>
      </c>
      <c r="F172" t="s">
        <v>1860</v>
      </c>
      <c r="G172" t="s">
        <v>1381</v>
      </c>
      <c r="H172" t="s">
        <v>2682</v>
      </c>
      <c r="I172" t="s">
        <v>2739</v>
      </c>
      <c r="J172" t="s">
        <v>2759</v>
      </c>
      <c r="K172" t="s">
        <v>1480</v>
      </c>
      <c r="L172" t="s">
        <v>2789</v>
      </c>
      <c r="M172" t="s">
        <v>2565</v>
      </c>
      <c r="N172" t="s">
        <v>2583</v>
      </c>
      <c r="O172" t="s">
        <v>2604</v>
      </c>
      <c r="R172" t="s">
        <v>2790</v>
      </c>
      <c r="S172" t="s">
        <v>2606</v>
      </c>
      <c r="T172">
        <v>1</v>
      </c>
      <c r="U172" s="2">
        <v>4870.55</v>
      </c>
      <c r="V172" s="3">
        <v>0.15</v>
      </c>
      <c r="W172" s="2">
        <v>4139.97</v>
      </c>
      <c r="X172" s="2">
        <v>1246.3499999999999</v>
      </c>
      <c r="Y172" s="3">
        <v>0.30105290618047947</v>
      </c>
      <c r="Z172" t="s">
        <v>1496</v>
      </c>
      <c r="AA172" t="s">
        <v>1499</v>
      </c>
      <c r="AB172" t="s">
        <v>1501</v>
      </c>
      <c r="AC172">
        <v>3</v>
      </c>
      <c r="AD172">
        <v>2024</v>
      </c>
      <c r="AE172" t="s">
        <v>2812</v>
      </c>
      <c r="AF172" t="s">
        <v>2824</v>
      </c>
      <c r="AG172" t="s">
        <v>2845</v>
      </c>
      <c r="AH172" t="s">
        <v>2848</v>
      </c>
      <c r="AI172">
        <v>1</v>
      </c>
    </row>
    <row r="173" spans="1:35" x14ac:dyDescent="0.3">
      <c r="A173" t="s">
        <v>176</v>
      </c>
      <c r="B173">
        <v>2</v>
      </c>
      <c r="C173" s="1">
        <v>45423</v>
      </c>
      <c r="E173" t="s">
        <v>1085</v>
      </c>
      <c r="F173" t="s">
        <v>1652</v>
      </c>
      <c r="G173" t="s">
        <v>1398</v>
      </c>
      <c r="H173" t="s">
        <v>2724</v>
      </c>
      <c r="I173" t="s">
        <v>2742</v>
      </c>
      <c r="J173" t="s">
        <v>2770</v>
      </c>
      <c r="K173" t="s">
        <v>1480</v>
      </c>
      <c r="L173" t="s">
        <v>2789</v>
      </c>
      <c r="M173" t="s">
        <v>2553</v>
      </c>
      <c r="N173" t="s">
        <v>2576</v>
      </c>
      <c r="O173" t="s">
        <v>2602</v>
      </c>
      <c r="R173" t="s">
        <v>2790</v>
      </c>
      <c r="S173" t="s">
        <v>2608</v>
      </c>
      <c r="T173">
        <v>1</v>
      </c>
      <c r="U173" s="2">
        <v>21441.39</v>
      </c>
      <c r="V173" s="3">
        <v>0</v>
      </c>
      <c r="W173" s="2">
        <v>21441.39</v>
      </c>
      <c r="X173" s="2">
        <v>4253.84</v>
      </c>
      <c r="Y173" s="3">
        <v>0.19839385412979291</v>
      </c>
      <c r="Z173" t="s">
        <v>1496</v>
      </c>
      <c r="AA173" t="s">
        <v>1498</v>
      </c>
      <c r="AB173" t="s">
        <v>1503</v>
      </c>
      <c r="AD173">
        <v>2024</v>
      </c>
      <c r="AE173" t="s">
        <v>2812</v>
      </c>
      <c r="AF173" t="s">
        <v>2824</v>
      </c>
      <c r="AG173" t="s">
        <v>2845</v>
      </c>
      <c r="AH173" t="s">
        <v>2848</v>
      </c>
      <c r="AI173">
        <v>1</v>
      </c>
    </row>
    <row r="174" spans="1:35" x14ac:dyDescent="0.3">
      <c r="A174" t="s">
        <v>177</v>
      </c>
      <c r="B174">
        <v>3</v>
      </c>
      <c r="C174" s="1">
        <v>45423</v>
      </c>
      <c r="D174" s="1">
        <v>45425</v>
      </c>
      <c r="E174" t="s">
        <v>1086</v>
      </c>
      <c r="F174" t="s">
        <v>1840</v>
      </c>
      <c r="G174" t="s">
        <v>1415</v>
      </c>
      <c r="H174" t="s">
        <v>2668</v>
      </c>
      <c r="I174" t="s">
        <v>2739</v>
      </c>
      <c r="J174" t="s">
        <v>2756</v>
      </c>
      <c r="K174" t="s">
        <v>1480</v>
      </c>
      <c r="L174" t="s">
        <v>2789</v>
      </c>
      <c r="M174" t="s">
        <v>2566</v>
      </c>
      <c r="N174" t="s">
        <v>2584</v>
      </c>
      <c r="O174" t="s">
        <v>2601</v>
      </c>
      <c r="R174" t="s">
        <v>2790</v>
      </c>
      <c r="S174" t="s">
        <v>2607</v>
      </c>
      <c r="T174">
        <v>3</v>
      </c>
      <c r="U174" s="2">
        <v>4772.1499999999996</v>
      </c>
      <c r="V174" s="3">
        <v>0</v>
      </c>
      <c r="W174" s="2">
        <v>14316.45</v>
      </c>
      <c r="X174" s="2">
        <v>3630.18</v>
      </c>
      <c r="Y174" s="3">
        <v>0.25356705049086892</v>
      </c>
      <c r="Z174" t="s">
        <v>1494</v>
      </c>
      <c r="AA174" t="s">
        <v>1499</v>
      </c>
      <c r="AB174" t="s">
        <v>1501</v>
      </c>
      <c r="AC174">
        <v>2</v>
      </c>
      <c r="AD174">
        <v>2024</v>
      </c>
      <c r="AE174" t="s">
        <v>2812</v>
      </c>
      <c r="AF174" t="s">
        <v>2824</v>
      </c>
      <c r="AG174" t="s">
        <v>2845</v>
      </c>
      <c r="AH174" t="s">
        <v>2848</v>
      </c>
      <c r="AI174">
        <v>1</v>
      </c>
    </row>
    <row r="175" spans="1:35" x14ac:dyDescent="0.3">
      <c r="A175" t="s">
        <v>178</v>
      </c>
      <c r="B175">
        <v>1</v>
      </c>
      <c r="C175" s="1">
        <v>45424</v>
      </c>
      <c r="E175" t="s">
        <v>975</v>
      </c>
      <c r="F175" t="s">
        <v>1956</v>
      </c>
      <c r="G175" t="s">
        <v>1432</v>
      </c>
      <c r="H175" t="s">
        <v>2651</v>
      </c>
      <c r="I175" t="s">
        <v>2738</v>
      </c>
      <c r="J175" t="s">
        <v>2751</v>
      </c>
      <c r="K175" t="s">
        <v>1483</v>
      </c>
      <c r="L175" t="s">
        <v>2781</v>
      </c>
      <c r="M175" t="s">
        <v>2559</v>
      </c>
      <c r="N175" t="s">
        <v>2559</v>
      </c>
      <c r="O175" t="s">
        <v>2603</v>
      </c>
      <c r="P175" t="s">
        <v>2568</v>
      </c>
      <c r="Q175" t="s">
        <v>2586</v>
      </c>
      <c r="R175" t="s">
        <v>2603</v>
      </c>
      <c r="S175" t="s">
        <v>2608</v>
      </c>
      <c r="T175">
        <v>2</v>
      </c>
      <c r="U175" s="2">
        <v>2490.0500000000002</v>
      </c>
      <c r="V175" s="3">
        <v>0.05</v>
      </c>
      <c r="W175" s="2">
        <v>4731.1000000000004</v>
      </c>
      <c r="X175" s="2">
        <v>912.5</v>
      </c>
      <c r="Y175" s="3">
        <v>0.19287269345395361</v>
      </c>
      <c r="Z175" t="s">
        <v>1497</v>
      </c>
      <c r="AA175" t="s">
        <v>1499</v>
      </c>
      <c r="AB175" t="s">
        <v>1503</v>
      </c>
      <c r="AD175">
        <v>2024</v>
      </c>
      <c r="AE175" t="s">
        <v>2812</v>
      </c>
      <c r="AF175" t="s">
        <v>2824</v>
      </c>
      <c r="AG175" t="s">
        <v>2845</v>
      </c>
      <c r="AH175" t="s">
        <v>2848</v>
      </c>
      <c r="AI175">
        <v>1</v>
      </c>
    </row>
    <row r="176" spans="1:35" x14ac:dyDescent="0.3">
      <c r="A176" t="s">
        <v>179</v>
      </c>
      <c r="B176">
        <v>1</v>
      </c>
      <c r="C176" s="1">
        <v>45424</v>
      </c>
      <c r="D176" s="1">
        <v>45426</v>
      </c>
      <c r="E176" t="s">
        <v>1052</v>
      </c>
      <c r="F176" t="s">
        <v>1896</v>
      </c>
      <c r="G176" t="s">
        <v>1391</v>
      </c>
      <c r="H176" t="s">
        <v>2719</v>
      </c>
      <c r="I176" t="s">
        <v>2741</v>
      </c>
      <c r="J176" t="s">
        <v>2768</v>
      </c>
      <c r="K176" t="s">
        <v>1480</v>
      </c>
      <c r="L176" t="s">
        <v>2789</v>
      </c>
      <c r="M176" t="s">
        <v>2551</v>
      </c>
      <c r="N176" t="s">
        <v>2574</v>
      </c>
      <c r="O176" t="s">
        <v>2602</v>
      </c>
      <c r="R176" t="s">
        <v>2790</v>
      </c>
      <c r="S176" t="s">
        <v>2606</v>
      </c>
      <c r="T176">
        <v>2</v>
      </c>
      <c r="U176" s="2">
        <v>1624.5</v>
      </c>
      <c r="V176" s="3">
        <v>0.1</v>
      </c>
      <c r="W176" s="2">
        <v>2924.1</v>
      </c>
      <c r="X176" s="2">
        <v>748.86</v>
      </c>
      <c r="Y176" s="3">
        <v>0.25609931260900792</v>
      </c>
      <c r="Z176" t="s">
        <v>1494</v>
      </c>
      <c r="AA176" t="s">
        <v>1500</v>
      </c>
      <c r="AB176" t="s">
        <v>1501</v>
      </c>
      <c r="AC176">
        <v>2</v>
      </c>
      <c r="AD176">
        <v>2024</v>
      </c>
      <c r="AE176" t="s">
        <v>2812</v>
      </c>
      <c r="AF176" t="s">
        <v>2824</v>
      </c>
      <c r="AG176" t="s">
        <v>2845</v>
      </c>
      <c r="AH176" t="s">
        <v>2848</v>
      </c>
      <c r="AI176">
        <v>1</v>
      </c>
    </row>
    <row r="177" spans="1:35" x14ac:dyDescent="0.3">
      <c r="A177" t="s">
        <v>180</v>
      </c>
      <c r="B177">
        <v>1</v>
      </c>
      <c r="C177" s="1">
        <v>45425</v>
      </c>
      <c r="D177" s="1">
        <v>45426</v>
      </c>
      <c r="E177" t="s">
        <v>1087</v>
      </c>
      <c r="F177" t="s">
        <v>1665</v>
      </c>
      <c r="G177" t="s">
        <v>1348</v>
      </c>
      <c r="H177" t="s">
        <v>2669</v>
      </c>
      <c r="I177" t="s">
        <v>2739</v>
      </c>
      <c r="J177" t="s">
        <v>2756</v>
      </c>
      <c r="K177" t="s">
        <v>1490</v>
      </c>
      <c r="L177" t="s">
        <v>2784</v>
      </c>
      <c r="M177" t="s">
        <v>2563</v>
      </c>
      <c r="N177" t="s">
        <v>2581</v>
      </c>
      <c r="O177" t="s">
        <v>2604</v>
      </c>
      <c r="P177" t="s">
        <v>2567</v>
      </c>
      <c r="Q177" t="s">
        <v>2585</v>
      </c>
      <c r="R177" t="s">
        <v>2604</v>
      </c>
      <c r="S177" t="s">
        <v>2606</v>
      </c>
      <c r="T177">
        <v>1</v>
      </c>
      <c r="U177" s="2">
        <v>921.12</v>
      </c>
      <c r="V177" s="3">
        <v>0</v>
      </c>
      <c r="W177" s="2">
        <v>921.12</v>
      </c>
      <c r="X177" s="2">
        <v>383.08</v>
      </c>
      <c r="Y177" s="3">
        <v>0.41588500955358693</v>
      </c>
      <c r="Z177" t="s">
        <v>1497</v>
      </c>
      <c r="AA177" t="s">
        <v>1499</v>
      </c>
      <c r="AB177" t="s">
        <v>1501</v>
      </c>
      <c r="AC177">
        <v>1</v>
      </c>
      <c r="AD177">
        <v>2024</v>
      </c>
      <c r="AE177" t="s">
        <v>2812</v>
      </c>
      <c r="AF177" t="s">
        <v>2824</v>
      </c>
      <c r="AG177" t="s">
        <v>2845</v>
      </c>
      <c r="AH177" t="s">
        <v>2848</v>
      </c>
      <c r="AI177">
        <v>1</v>
      </c>
    </row>
    <row r="178" spans="1:35" x14ac:dyDescent="0.3">
      <c r="A178" t="s">
        <v>181</v>
      </c>
      <c r="B178">
        <v>2</v>
      </c>
      <c r="C178" s="1">
        <v>45425</v>
      </c>
      <c r="D178" s="1">
        <v>45427</v>
      </c>
      <c r="E178" t="s">
        <v>1088</v>
      </c>
      <c r="F178" t="s">
        <v>1906</v>
      </c>
      <c r="G178" t="s">
        <v>1378</v>
      </c>
      <c r="H178" t="s">
        <v>2704</v>
      </c>
      <c r="I178" t="s">
        <v>2740</v>
      </c>
      <c r="J178" t="s">
        <v>2764</v>
      </c>
      <c r="K178" t="s">
        <v>1480</v>
      </c>
      <c r="L178" t="s">
        <v>2789</v>
      </c>
      <c r="M178" t="s">
        <v>2571</v>
      </c>
      <c r="N178" t="s">
        <v>2590</v>
      </c>
      <c r="O178" t="s">
        <v>2605</v>
      </c>
      <c r="R178" t="s">
        <v>2790</v>
      </c>
      <c r="S178" t="s">
        <v>2606</v>
      </c>
      <c r="T178">
        <v>2</v>
      </c>
      <c r="U178" s="2">
        <v>1378.78</v>
      </c>
      <c r="V178" s="3">
        <v>0</v>
      </c>
      <c r="W178" s="2">
        <v>2757.56</v>
      </c>
      <c r="X178" s="2">
        <v>353.32</v>
      </c>
      <c r="Y178" s="3">
        <v>0.1281277651256908</v>
      </c>
      <c r="Z178" t="s">
        <v>1494</v>
      </c>
      <c r="AA178" t="s">
        <v>1499</v>
      </c>
      <c r="AB178" t="s">
        <v>1501</v>
      </c>
      <c r="AC178">
        <v>2</v>
      </c>
      <c r="AD178">
        <v>2024</v>
      </c>
      <c r="AE178" t="s">
        <v>2812</v>
      </c>
      <c r="AF178" t="s">
        <v>2824</v>
      </c>
      <c r="AG178" t="s">
        <v>2845</v>
      </c>
      <c r="AH178" t="s">
        <v>2848</v>
      </c>
      <c r="AI178">
        <v>1</v>
      </c>
    </row>
    <row r="179" spans="1:35" x14ac:dyDescent="0.3">
      <c r="A179" t="s">
        <v>182</v>
      </c>
      <c r="B179">
        <v>1</v>
      </c>
      <c r="C179" s="1">
        <v>45427</v>
      </c>
      <c r="D179" s="1">
        <v>45427</v>
      </c>
      <c r="E179" t="s">
        <v>1066</v>
      </c>
      <c r="F179" t="s">
        <v>1808</v>
      </c>
      <c r="G179" t="s">
        <v>1357</v>
      </c>
      <c r="H179" t="s">
        <v>2689</v>
      </c>
      <c r="I179" t="s">
        <v>2740</v>
      </c>
      <c r="J179" t="s">
        <v>2760</v>
      </c>
      <c r="K179" t="s">
        <v>1485</v>
      </c>
      <c r="L179" t="s">
        <v>2775</v>
      </c>
      <c r="M179" t="s">
        <v>2551</v>
      </c>
      <c r="N179" t="s">
        <v>2574</v>
      </c>
      <c r="O179" t="s">
        <v>2602</v>
      </c>
      <c r="P179" t="s">
        <v>2562</v>
      </c>
      <c r="Q179" t="s">
        <v>2574</v>
      </c>
      <c r="R179" t="s">
        <v>2602</v>
      </c>
      <c r="S179" t="s">
        <v>2607</v>
      </c>
      <c r="T179">
        <v>2</v>
      </c>
      <c r="U179" s="2">
        <v>986.91</v>
      </c>
      <c r="V179" s="3">
        <v>0</v>
      </c>
      <c r="W179" s="2">
        <v>1973.82</v>
      </c>
      <c r="X179" s="2">
        <v>257.45999999999998</v>
      </c>
      <c r="Y179" s="3">
        <v>0.13043742590509769</v>
      </c>
      <c r="Z179" t="s">
        <v>1493</v>
      </c>
      <c r="AA179" t="s">
        <v>1498</v>
      </c>
      <c r="AB179" t="s">
        <v>1501</v>
      </c>
      <c r="AC179">
        <v>0</v>
      </c>
      <c r="AD179">
        <v>2024</v>
      </c>
      <c r="AE179" t="s">
        <v>2812</v>
      </c>
      <c r="AF179" t="s">
        <v>2824</v>
      </c>
      <c r="AG179" t="s">
        <v>2845</v>
      </c>
      <c r="AH179" t="s">
        <v>2848</v>
      </c>
      <c r="AI179">
        <v>1</v>
      </c>
    </row>
    <row r="180" spans="1:35" x14ac:dyDescent="0.3">
      <c r="A180" t="s">
        <v>183</v>
      </c>
      <c r="B180">
        <v>1</v>
      </c>
      <c r="C180" s="1">
        <v>45427</v>
      </c>
      <c r="D180" s="1">
        <v>45428</v>
      </c>
      <c r="E180" t="s">
        <v>970</v>
      </c>
      <c r="F180" t="s">
        <v>1904</v>
      </c>
      <c r="G180" t="s">
        <v>1362</v>
      </c>
      <c r="H180" t="s">
        <v>2714</v>
      </c>
      <c r="I180" t="s">
        <v>2741</v>
      </c>
      <c r="J180" t="s">
        <v>2767</v>
      </c>
      <c r="K180" t="s">
        <v>1480</v>
      </c>
      <c r="L180" t="s">
        <v>2789</v>
      </c>
      <c r="M180" t="s">
        <v>2551</v>
      </c>
      <c r="N180" t="s">
        <v>2592</v>
      </c>
      <c r="O180" t="s">
        <v>2602</v>
      </c>
      <c r="R180" t="s">
        <v>2790</v>
      </c>
      <c r="S180" t="s">
        <v>2606</v>
      </c>
      <c r="T180">
        <v>2</v>
      </c>
      <c r="U180" s="2">
        <v>375.5</v>
      </c>
      <c r="V180" s="3">
        <v>0</v>
      </c>
      <c r="W180" s="2">
        <v>751</v>
      </c>
      <c r="X180" s="2">
        <v>292.3</v>
      </c>
      <c r="Y180" s="3">
        <v>0.38921438082556592</v>
      </c>
      <c r="Z180" t="s">
        <v>1497</v>
      </c>
      <c r="AA180" t="s">
        <v>1499</v>
      </c>
      <c r="AB180" t="s">
        <v>1501</v>
      </c>
      <c r="AC180">
        <v>1</v>
      </c>
      <c r="AD180">
        <v>2024</v>
      </c>
      <c r="AE180" t="s">
        <v>2812</v>
      </c>
      <c r="AF180" t="s">
        <v>2824</v>
      </c>
      <c r="AG180" t="s">
        <v>2845</v>
      </c>
      <c r="AH180" t="s">
        <v>2848</v>
      </c>
      <c r="AI180">
        <v>1</v>
      </c>
    </row>
    <row r="181" spans="1:35" x14ac:dyDescent="0.3">
      <c r="A181" t="s">
        <v>184</v>
      </c>
      <c r="B181">
        <v>2</v>
      </c>
      <c r="C181" s="1">
        <v>45428</v>
      </c>
      <c r="D181" s="1">
        <v>45430</v>
      </c>
      <c r="E181" t="s">
        <v>978</v>
      </c>
      <c r="F181" t="s">
        <v>1887</v>
      </c>
      <c r="G181" t="s">
        <v>1372</v>
      </c>
      <c r="H181" t="s">
        <v>2732</v>
      </c>
      <c r="I181" t="s">
        <v>2742</v>
      </c>
      <c r="J181" t="s">
        <v>2772</v>
      </c>
      <c r="K181" t="s">
        <v>1480</v>
      </c>
      <c r="L181" t="s">
        <v>2789</v>
      </c>
      <c r="M181" t="s">
        <v>2555</v>
      </c>
      <c r="N181" t="s">
        <v>2578</v>
      </c>
      <c r="O181" t="s">
        <v>2603</v>
      </c>
      <c r="R181" t="s">
        <v>2790</v>
      </c>
      <c r="S181" t="s">
        <v>2607</v>
      </c>
      <c r="T181">
        <v>1</v>
      </c>
      <c r="U181" s="2">
        <v>22695.17</v>
      </c>
      <c r="V181" s="3">
        <v>0</v>
      </c>
      <c r="W181" s="2">
        <v>22695.17</v>
      </c>
      <c r="X181" s="2">
        <v>3536.01</v>
      </c>
      <c r="Y181" s="3">
        <v>0.1558045169963477</v>
      </c>
      <c r="Z181" t="s">
        <v>1495</v>
      </c>
      <c r="AA181" t="s">
        <v>1498</v>
      </c>
      <c r="AB181" t="s">
        <v>1501</v>
      </c>
      <c r="AC181">
        <v>2</v>
      </c>
      <c r="AD181">
        <v>2024</v>
      </c>
      <c r="AE181" t="s">
        <v>2812</v>
      </c>
      <c r="AF181" t="s">
        <v>2824</v>
      </c>
      <c r="AG181" t="s">
        <v>2845</v>
      </c>
      <c r="AH181" t="s">
        <v>2848</v>
      </c>
      <c r="AI181">
        <v>1</v>
      </c>
    </row>
    <row r="182" spans="1:35" x14ac:dyDescent="0.3">
      <c r="A182" t="s">
        <v>185</v>
      </c>
      <c r="B182">
        <v>2</v>
      </c>
      <c r="C182" s="1">
        <v>45429</v>
      </c>
      <c r="D182" s="1">
        <v>45429</v>
      </c>
      <c r="E182" t="s">
        <v>1017</v>
      </c>
      <c r="F182" t="s">
        <v>1898</v>
      </c>
      <c r="G182" t="s">
        <v>1433</v>
      </c>
      <c r="H182" t="s">
        <v>2675</v>
      </c>
      <c r="I182" t="s">
        <v>2739</v>
      </c>
      <c r="J182" t="s">
        <v>2757</v>
      </c>
      <c r="K182" t="s">
        <v>1486</v>
      </c>
      <c r="L182" t="s">
        <v>2776</v>
      </c>
      <c r="M182" t="s">
        <v>2551</v>
      </c>
      <c r="N182" t="s">
        <v>2574</v>
      </c>
      <c r="O182" t="s">
        <v>2602</v>
      </c>
      <c r="P182" t="s">
        <v>2551</v>
      </c>
      <c r="Q182" t="s">
        <v>2574</v>
      </c>
      <c r="R182" t="s">
        <v>2602</v>
      </c>
      <c r="S182" t="s">
        <v>2606</v>
      </c>
      <c r="T182">
        <v>2</v>
      </c>
      <c r="U182" s="2">
        <v>2067.91</v>
      </c>
      <c r="V182" s="3">
        <v>0</v>
      </c>
      <c r="W182" s="2">
        <v>4135.82</v>
      </c>
      <c r="X182" s="2">
        <v>1152.96</v>
      </c>
      <c r="Y182" s="3">
        <v>0.27877422131524099</v>
      </c>
      <c r="Z182" t="s">
        <v>1496</v>
      </c>
      <c r="AA182" t="s">
        <v>1498</v>
      </c>
      <c r="AB182" t="s">
        <v>1501</v>
      </c>
      <c r="AC182">
        <v>0</v>
      </c>
      <c r="AD182">
        <v>2024</v>
      </c>
      <c r="AE182" t="s">
        <v>2812</v>
      </c>
      <c r="AF182" t="s">
        <v>2824</v>
      </c>
      <c r="AG182" t="s">
        <v>2845</v>
      </c>
      <c r="AH182" t="s">
        <v>2848</v>
      </c>
      <c r="AI182">
        <v>1</v>
      </c>
    </row>
    <row r="183" spans="1:35" x14ac:dyDescent="0.3">
      <c r="A183" t="s">
        <v>186</v>
      </c>
      <c r="B183">
        <v>1</v>
      </c>
      <c r="C183" s="1">
        <v>45429</v>
      </c>
      <c r="D183" s="1">
        <v>45429</v>
      </c>
      <c r="E183" t="s">
        <v>997</v>
      </c>
      <c r="F183" t="s">
        <v>1703</v>
      </c>
      <c r="G183" t="s">
        <v>1391</v>
      </c>
      <c r="H183" t="s">
        <v>2719</v>
      </c>
      <c r="I183" t="s">
        <v>2741</v>
      </c>
      <c r="J183" t="s">
        <v>2768</v>
      </c>
      <c r="K183" t="s">
        <v>1485</v>
      </c>
      <c r="L183" t="s">
        <v>2775</v>
      </c>
      <c r="M183" t="s">
        <v>2556</v>
      </c>
      <c r="N183" t="s">
        <v>2574</v>
      </c>
      <c r="O183" t="s">
        <v>2602</v>
      </c>
      <c r="P183" t="s">
        <v>2562</v>
      </c>
      <c r="Q183" t="s">
        <v>2574</v>
      </c>
      <c r="R183" t="s">
        <v>2602</v>
      </c>
      <c r="S183" t="s">
        <v>2606</v>
      </c>
      <c r="T183">
        <v>2</v>
      </c>
      <c r="U183" s="2">
        <v>1624.5</v>
      </c>
      <c r="V183" s="3">
        <v>0</v>
      </c>
      <c r="W183" s="2">
        <v>3249</v>
      </c>
      <c r="X183" s="2">
        <v>1073.76</v>
      </c>
      <c r="Y183" s="3">
        <v>0.33048938134810713</v>
      </c>
      <c r="Z183" t="s">
        <v>1496</v>
      </c>
      <c r="AA183" t="s">
        <v>1499</v>
      </c>
      <c r="AB183" t="s">
        <v>1501</v>
      </c>
      <c r="AC183">
        <v>0</v>
      </c>
      <c r="AD183">
        <v>2024</v>
      </c>
      <c r="AE183" t="s">
        <v>2812</v>
      </c>
      <c r="AF183" t="s">
        <v>2824</v>
      </c>
      <c r="AG183" t="s">
        <v>2845</v>
      </c>
      <c r="AH183" t="s">
        <v>2848</v>
      </c>
      <c r="AI183">
        <v>1</v>
      </c>
    </row>
    <row r="184" spans="1:35" x14ac:dyDescent="0.3">
      <c r="A184" t="s">
        <v>187</v>
      </c>
      <c r="B184">
        <v>1</v>
      </c>
      <c r="C184" s="1">
        <v>45430</v>
      </c>
      <c r="D184" s="1">
        <v>45432</v>
      </c>
      <c r="E184" t="s">
        <v>1089</v>
      </c>
      <c r="F184" t="s">
        <v>1983</v>
      </c>
      <c r="G184" t="s">
        <v>1341</v>
      </c>
      <c r="H184" t="s">
        <v>2678</v>
      </c>
      <c r="I184" t="s">
        <v>2739</v>
      </c>
      <c r="J184" t="s">
        <v>2758</v>
      </c>
      <c r="K184" t="s">
        <v>1480</v>
      </c>
      <c r="L184" t="s">
        <v>2789</v>
      </c>
      <c r="M184" t="s">
        <v>2554</v>
      </c>
      <c r="N184" t="s">
        <v>2577</v>
      </c>
      <c r="O184" t="s">
        <v>2601</v>
      </c>
      <c r="R184" t="s">
        <v>2790</v>
      </c>
      <c r="S184" t="s">
        <v>2606</v>
      </c>
      <c r="T184">
        <v>2</v>
      </c>
      <c r="U184" s="2">
        <v>1648.45</v>
      </c>
      <c r="V184" s="3">
        <v>0</v>
      </c>
      <c r="W184" s="2">
        <v>3296.9</v>
      </c>
      <c r="X184" s="2">
        <v>988.66</v>
      </c>
      <c r="Y184" s="3">
        <v>0.29987564075343498</v>
      </c>
      <c r="Z184" t="s">
        <v>1497</v>
      </c>
      <c r="AA184" t="s">
        <v>1499</v>
      </c>
      <c r="AB184" t="s">
        <v>1501</v>
      </c>
      <c r="AC184">
        <v>2</v>
      </c>
      <c r="AD184">
        <v>2024</v>
      </c>
      <c r="AE184" t="s">
        <v>2812</v>
      </c>
      <c r="AF184" t="s">
        <v>2824</v>
      </c>
      <c r="AG184" t="s">
        <v>2845</v>
      </c>
      <c r="AH184" t="s">
        <v>2848</v>
      </c>
      <c r="AI184">
        <v>1</v>
      </c>
    </row>
    <row r="185" spans="1:35" x14ac:dyDescent="0.3">
      <c r="A185" t="s">
        <v>188</v>
      </c>
      <c r="B185">
        <v>1</v>
      </c>
      <c r="C185" s="1">
        <v>45430</v>
      </c>
      <c r="D185" s="1">
        <v>45432</v>
      </c>
      <c r="E185" t="s">
        <v>1090</v>
      </c>
      <c r="F185" t="s">
        <v>1817</v>
      </c>
      <c r="G185" t="s">
        <v>1391</v>
      </c>
      <c r="H185" t="s">
        <v>2719</v>
      </c>
      <c r="I185" t="s">
        <v>2741</v>
      </c>
      <c r="J185" t="s">
        <v>2768</v>
      </c>
      <c r="K185" t="s">
        <v>1480</v>
      </c>
      <c r="L185" t="s">
        <v>2789</v>
      </c>
      <c r="M185" t="s">
        <v>2559</v>
      </c>
      <c r="N185" t="s">
        <v>2559</v>
      </c>
      <c r="O185" t="s">
        <v>2603</v>
      </c>
      <c r="R185" t="s">
        <v>2790</v>
      </c>
      <c r="S185" t="s">
        <v>2607</v>
      </c>
      <c r="T185">
        <v>1</v>
      </c>
      <c r="U185" s="2">
        <v>1624.5</v>
      </c>
      <c r="V185" s="3">
        <v>0.1</v>
      </c>
      <c r="W185" s="2">
        <v>1462.05</v>
      </c>
      <c r="X185" s="2">
        <v>374.43</v>
      </c>
      <c r="Y185" s="3">
        <v>0.25609931260900792</v>
      </c>
      <c r="Z185" t="s">
        <v>1496</v>
      </c>
      <c r="AA185" t="s">
        <v>1498</v>
      </c>
      <c r="AB185" t="s">
        <v>1501</v>
      </c>
      <c r="AC185">
        <v>2</v>
      </c>
      <c r="AD185">
        <v>2024</v>
      </c>
      <c r="AE185" t="s">
        <v>2812</v>
      </c>
      <c r="AF185" t="s">
        <v>2824</v>
      </c>
      <c r="AG185" t="s">
        <v>2845</v>
      </c>
      <c r="AH185" t="s">
        <v>2848</v>
      </c>
      <c r="AI185">
        <v>1</v>
      </c>
    </row>
    <row r="186" spans="1:35" x14ac:dyDescent="0.3">
      <c r="A186" t="s">
        <v>189</v>
      </c>
      <c r="B186">
        <v>2</v>
      </c>
      <c r="C186" s="1">
        <v>45430</v>
      </c>
      <c r="D186" s="1">
        <v>45430</v>
      </c>
      <c r="E186" t="s">
        <v>1091</v>
      </c>
      <c r="F186" t="s">
        <v>1709</v>
      </c>
      <c r="G186" t="s">
        <v>1341</v>
      </c>
      <c r="H186" t="s">
        <v>2678</v>
      </c>
      <c r="I186" t="s">
        <v>2739</v>
      </c>
      <c r="J186" t="s">
        <v>2758</v>
      </c>
      <c r="K186" t="s">
        <v>1485</v>
      </c>
      <c r="L186" t="s">
        <v>2775</v>
      </c>
      <c r="M186" t="s">
        <v>2553</v>
      </c>
      <c r="N186" t="s">
        <v>2576</v>
      </c>
      <c r="O186" t="s">
        <v>2602</v>
      </c>
      <c r="P186" t="s">
        <v>2562</v>
      </c>
      <c r="Q186" t="s">
        <v>2574</v>
      </c>
      <c r="R186" t="s">
        <v>2602</v>
      </c>
      <c r="S186" t="s">
        <v>2608</v>
      </c>
      <c r="T186">
        <v>1</v>
      </c>
      <c r="U186" s="2">
        <v>1648.45</v>
      </c>
      <c r="V186" s="3">
        <v>0</v>
      </c>
      <c r="W186" s="2">
        <v>1648.45</v>
      </c>
      <c r="X186" s="2">
        <v>494.33</v>
      </c>
      <c r="Y186" s="3">
        <v>0.29987564075343498</v>
      </c>
      <c r="Z186" t="s">
        <v>1497</v>
      </c>
      <c r="AA186" t="s">
        <v>1498</v>
      </c>
      <c r="AB186" t="s">
        <v>1501</v>
      </c>
      <c r="AC186">
        <v>0</v>
      </c>
      <c r="AD186">
        <v>2024</v>
      </c>
      <c r="AE186" t="s">
        <v>2812</v>
      </c>
      <c r="AF186" t="s">
        <v>2824</v>
      </c>
      <c r="AG186" t="s">
        <v>2845</v>
      </c>
      <c r="AH186" t="s">
        <v>2848</v>
      </c>
      <c r="AI186">
        <v>1</v>
      </c>
    </row>
    <row r="187" spans="1:35" x14ac:dyDescent="0.3">
      <c r="A187" t="s">
        <v>190</v>
      </c>
      <c r="B187">
        <v>1</v>
      </c>
      <c r="C187" s="1">
        <v>45430</v>
      </c>
      <c r="D187" s="1">
        <v>45432</v>
      </c>
      <c r="E187" t="s">
        <v>1067</v>
      </c>
      <c r="F187" t="s">
        <v>1734</v>
      </c>
      <c r="G187" t="s">
        <v>1356</v>
      </c>
      <c r="H187" t="s">
        <v>2640</v>
      </c>
      <c r="I187" t="s">
        <v>2737</v>
      </c>
      <c r="J187" t="s">
        <v>2748</v>
      </c>
      <c r="K187" t="s">
        <v>1480</v>
      </c>
      <c r="L187" t="s">
        <v>2789</v>
      </c>
      <c r="M187" t="s">
        <v>2570</v>
      </c>
      <c r="N187" t="s">
        <v>2590</v>
      </c>
      <c r="O187" t="s">
        <v>2605</v>
      </c>
      <c r="R187" t="s">
        <v>2790</v>
      </c>
      <c r="S187" t="s">
        <v>2606</v>
      </c>
      <c r="T187">
        <v>2</v>
      </c>
      <c r="U187" s="2">
        <v>68671.53</v>
      </c>
      <c r="V187" s="3">
        <v>0.1</v>
      </c>
      <c r="W187" s="2">
        <v>123608.75</v>
      </c>
      <c r="X187" s="2">
        <v>7670.87</v>
      </c>
      <c r="Y187" s="3">
        <v>6.2057661775561997E-2</v>
      </c>
      <c r="Z187" t="s">
        <v>1495</v>
      </c>
      <c r="AA187" t="s">
        <v>1499</v>
      </c>
      <c r="AB187" t="s">
        <v>1501</v>
      </c>
      <c r="AC187">
        <v>2</v>
      </c>
      <c r="AD187">
        <v>2024</v>
      </c>
      <c r="AE187" t="s">
        <v>2812</v>
      </c>
      <c r="AF187" t="s">
        <v>2824</v>
      </c>
      <c r="AG187" t="s">
        <v>2845</v>
      </c>
      <c r="AH187" t="s">
        <v>2848</v>
      </c>
      <c r="AI187">
        <v>1</v>
      </c>
    </row>
    <row r="188" spans="1:35" x14ac:dyDescent="0.3">
      <c r="A188" t="s">
        <v>191</v>
      </c>
      <c r="B188">
        <v>1</v>
      </c>
      <c r="C188" s="1">
        <v>45431</v>
      </c>
      <c r="D188" s="1">
        <v>45432</v>
      </c>
      <c r="E188" t="s">
        <v>1092</v>
      </c>
      <c r="F188" t="s">
        <v>2003</v>
      </c>
      <c r="G188" t="s">
        <v>1398</v>
      </c>
      <c r="H188" t="s">
        <v>2724</v>
      </c>
      <c r="I188" t="s">
        <v>2742</v>
      </c>
      <c r="J188" t="s">
        <v>2770</v>
      </c>
      <c r="K188" t="s">
        <v>1490</v>
      </c>
      <c r="L188" t="s">
        <v>2784</v>
      </c>
      <c r="M188" t="s">
        <v>2560</v>
      </c>
      <c r="N188" t="s">
        <v>2579</v>
      </c>
      <c r="O188" t="s">
        <v>2604</v>
      </c>
      <c r="P188" t="s">
        <v>2567</v>
      </c>
      <c r="Q188" t="s">
        <v>2585</v>
      </c>
      <c r="R188" t="s">
        <v>2604</v>
      </c>
      <c r="S188" t="s">
        <v>2608</v>
      </c>
      <c r="T188">
        <v>2</v>
      </c>
      <c r="U188" s="2">
        <v>21441.39</v>
      </c>
      <c r="V188" s="3">
        <v>0</v>
      </c>
      <c r="W188" s="2">
        <v>42882.78</v>
      </c>
      <c r="X188" s="2">
        <v>8507.68</v>
      </c>
      <c r="Y188" s="3">
        <v>0.19839385412979291</v>
      </c>
      <c r="Z188" t="s">
        <v>1493</v>
      </c>
      <c r="AA188" t="s">
        <v>1498</v>
      </c>
      <c r="AB188" t="s">
        <v>1501</v>
      </c>
      <c r="AC188">
        <v>1</v>
      </c>
      <c r="AD188">
        <v>2024</v>
      </c>
      <c r="AE188" t="s">
        <v>2812</v>
      </c>
      <c r="AF188" t="s">
        <v>2824</v>
      </c>
      <c r="AG188" t="s">
        <v>2845</v>
      </c>
      <c r="AH188" t="s">
        <v>2848</v>
      </c>
      <c r="AI188">
        <v>1</v>
      </c>
    </row>
    <row r="189" spans="1:35" x14ac:dyDescent="0.3">
      <c r="A189" t="s">
        <v>192</v>
      </c>
      <c r="B189">
        <v>1</v>
      </c>
      <c r="C189" s="1">
        <v>45431</v>
      </c>
      <c r="D189" s="1">
        <v>45432</v>
      </c>
      <c r="E189" t="s">
        <v>1093</v>
      </c>
      <c r="F189" t="s">
        <v>1867</v>
      </c>
      <c r="G189" t="s">
        <v>1353</v>
      </c>
      <c r="H189" t="s">
        <v>2705</v>
      </c>
      <c r="I189" t="s">
        <v>2741</v>
      </c>
      <c r="J189" t="s">
        <v>2765</v>
      </c>
      <c r="K189" t="s">
        <v>1480</v>
      </c>
      <c r="L189" t="s">
        <v>2789</v>
      </c>
      <c r="M189" t="s">
        <v>2567</v>
      </c>
      <c r="N189" t="s">
        <v>2585</v>
      </c>
      <c r="O189" t="s">
        <v>2604</v>
      </c>
      <c r="R189" t="s">
        <v>2790</v>
      </c>
      <c r="S189" t="s">
        <v>2606</v>
      </c>
      <c r="T189">
        <v>1</v>
      </c>
      <c r="U189" s="2">
        <v>370.27</v>
      </c>
      <c r="V189" s="3">
        <v>0.1</v>
      </c>
      <c r="W189" s="2">
        <v>333.24</v>
      </c>
      <c r="X189" s="2">
        <v>94.55</v>
      </c>
      <c r="Y189" s="3">
        <v>0.2837294442443884</v>
      </c>
      <c r="Z189" t="s">
        <v>1495</v>
      </c>
      <c r="AA189" t="s">
        <v>1499</v>
      </c>
      <c r="AB189" t="s">
        <v>1501</v>
      </c>
      <c r="AC189">
        <v>1</v>
      </c>
      <c r="AD189">
        <v>2024</v>
      </c>
      <c r="AE189" t="s">
        <v>2812</v>
      </c>
      <c r="AF189" t="s">
        <v>2824</v>
      </c>
      <c r="AG189" t="s">
        <v>2845</v>
      </c>
      <c r="AH189" t="s">
        <v>2848</v>
      </c>
      <c r="AI189">
        <v>1</v>
      </c>
    </row>
    <row r="190" spans="1:35" x14ac:dyDescent="0.3">
      <c r="A190" t="s">
        <v>192</v>
      </c>
      <c r="B190">
        <v>2</v>
      </c>
      <c r="C190" s="1">
        <v>45431</v>
      </c>
      <c r="D190" s="1">
        <v>45432</v>
      </c>
      <c r="E190" t="s">
        <v>1093</v>
      </c>
      <c r="F190" t="s">
        <v>1867</v>
      </c>
      <c r="G190" t="s">
        <v>1405</v>
      </c>
      <c r="H190" t="s">
        <v>2639</v>
      </c>
      <c r="I190" t="s">
        <v>2737</v>
      </c>
      <c r="J190" t="s">
        <v>2748</v>
      </c>
      <c r="K190" t="s">
        <v>1480</v>
      </c>
      <c r="L190" t="s">
        <v>2789</v>
      </c>
      <c r="M190" t="s">
        <v>2567</v>
      </c>
      <c r="N190" t="s">
        <v>2585</v>
      </c>
      <c r="O190" t="s">
        <v>2604</v>
      </c>
      <c r="R190" t="s">
        <v>2790</v>
      </c>
      <c r="S190" t="s">
        <v>2606</v>
      </c>
      <c r="T190">
        <v>1</v>
      </c>
      <c r="U190" s="2">
        <v>57633.32</v>
      </c>
      <c r="V190" s="3">
        <v>0.1</v>
      </c>
      <c r="W190" s="2">
        <v>51869.99</v>
      </c>
      <c r="X190" s="2">
        <v>1437.16</v>
      </c>
      <c r="Y190" s="3">
        <v>2.7706965048576261E-2</v>
      </c>
      <c r="Z190" t="s">
        <v>1495</v>
      </c>
      <c r="AA190" t="s">
        <v>1499</v>
      </c>
      <c r="AB190" t="s">
        <v>1501</v>
      </c>
      <c r="AC190">
        <v>1</v>
      </c>
      <c r="AD190">
        <v>2024</v>
      </c>
      <c r="AE190" t="s">
        <v>2812</v>
      </c>
      <c r="AF190" t="s">
        <v>2824</v>
      </c>
      <c r="AG190" t="s">
        <v>2845</v>
      </c>
      <c r="AH190" t="s">
        <v>2848</v>
      </c>
      <c r="AI190">
        <v>0</v>
      </c>
    </row>
    <row r="191" spans="1:35" x14ac:dyDescent="0.3">
      <c r="A191" t="s">
        <v>193</v>
      </c>
      <c r="B191">
        <v>1</v>
      </c>
      <c r="C191" s="1">
        <v>45432</v>
      </c>
      <c r="D191" s="1">
        <v>45435</v>
      </c>
      <c r="E191" t="s">
        <v>1094</v>
      </c>
      <c r="F191" t="s">
        <v>1712</v>
      </c>
      <c r="G191" t="s">
        <v>1331</v>
      </c>
      <c r="H191" t="s">
        <v>2706</v>
      </c>
      <c r="I191" t="s">
        <v>2741</v>
      </c>
      <c r="J191" t="s">
        <v>2765</v>
      </c>
      <c r="K191" t="s">
        <v>1480</v>
      </c>
      <c r="L191" t="s">
        <v>2789</v>
      </c>
      <c r="M191" t="s">
        <v>2554</v>
      </c>
      <c r="N191" t="s">
        <v>2577</v>
      </c>
      <c r="O191" t="s">
        <v>2601</v>
      </c>
      <c r="R191" t="s">
        <v>2790</v>
      </c>
      <c r="S191" t="s">
        <v>2606</v>
      </c>
      <c r="T191">
        <v>1</v>
      </c>
      <c r="U191" s="2">
        <v>1520.12</v>
      </c>
      <c r="V191" s="3">
        <v>0.1</v>
      </c>
      <c r="W191" s="2">
        <v>1368.11</v>
      </c>
      <c r="X191" s="2">
        <v>395.68</v>
      </c>
      <c r="Y191" s="3">
        <v>0.28921651036831841</v>
      </c>
      <c r="Z191" t="s">
        <v>1496</v>
      </c>
      <c r="AA191" t="s">
        <v>1498</v>
      </c>
      <c r="AB191" t="s">
        <v>1501</v>
      </c>
      <c r="AC191">
        <v>3</v>
      </c>
      <c r="AD191">
        <v>2024</v>
      </c>
      <c r="AE191" t="s">
        <v>2812</v>
      </c>
      <c r="AF191" t="s">
        <v>2824</v>
      </c>
      <c r="AG191" t="s">
        <v>2845</v>
      </c>
      <c r="AH191" t="s">
        <v>2848</v>
      </c>
      <c r="AI191">
        <v>1</v>
      </c>
    </row>
    <row r="192" spans="1:35" x14ac:dyDescent="0.3">
      <c r="A192" t="s">
        <v>194</v>
      </c>
      <c r="B192">
        <v>2</v>
      </c>
      <c r="C192" s="1">
        <v>45432</v>
      </c>
      <c r="D192" s="1">
        <v>45435</v>
      </c>
      <c r="E192" t="s">
        <v>1082</v>
      </c>
      <c r="F192" t="s">
        <v>1857</v>
      </c>
      <c r="G192" t="s">
        <v>1369</v>
      </c>
      <c r="H192" t="s">
        <v>2725</v>
      </c>
      <c r="I192" t="s">
        <v>2742</v>
      </c>
      <c r="J192" t="s">
        <v>2770</v>
      </c>
      <c r="K192" t="s">
        <v>1480</v>
      </c>
      <c r="L192" t="s">
        <v>2789</v>
      </c>
      <c r="M192" t="s">
        <v>2554</v>
      </c>
      <c r="N192" t="s">
        <v>2577</v>
      </c>
      <c r="O192" t="s">
        <v>2601</v>
      </c>
      <c r="R192" t="s">
        <v>2790</v>
      </c>
      <c r="S192" t="s">
        <v>2606</v>
      </c>
      <c r="T192">
        <v>2</v>
      </c>
      <c r="U192" s="2">
        <v>23968.04</v>
      </c>
      <c r="V192" s="3">
        <v>0</v>
      </c>
      <c r="W192" s="2">
        <v>47936.08</v>
      </c>
      <c r="X192" s="2">
        <v>13393.84</v>
      </c>
      <c r="Y192" s="3">
        <v>0.27941041486913398</v>
      </c>
      <c r="Z192" t="s">
        <v>1496</v>
      </c>
      <c r="AA192" t="s">
        <v>1498</v>
      </c>
      <c r="AB192" t="s">
        <v>1501</v>
      </c>
      <c r="AC192">
        <v>3</v>
      </c>
      <c r="AD192">
        <v>2024</v>
      </c>
      <c r="AE192" t="s">
        <v>2812</v>
      </c>
      <c r="AF192" t="s">
        <v>2824</v>
      </c>
      <c r="AG192" t="s">
        <v>2845</v>
      </c>
      <c r="AH192" t="s">
        <v>2848</v>
      </c>
      <c r="AI192">
        <v>1</v>
      </c>
    </row>
    <row r="193" spans="1:35" x14ac:dyDescent="0.3">
      <c r="A193" t="s">
        <v>195</v>
      </c>
      <c r="B193">
        <v>1</v>
      </c>
      <c r="C193" s="1">
        <v>45433</v>
      </c>
      <c r="D193" s="1">
        <v>45434</v>
      </c>
      <c r="E193" t="s">
        <v>1040</v>
      </c>
      <c r="F193" t="s">
        <v>1742</v>
      </c>
      <c r="G193" t="s">
        <v>1356</v>
      </c>
      <c r="H193" t="s">
        <v>2640</v>
      </c>
      <c r="I193" t="s">
        <v>2737</v>
      </c>
      <c r="J193" t="s">
        <v>2748</v>
      </c>
      <c r="K193" t="s">
        <v>1491</v>
      </c>
      <c r="L193" t="s">
        <v>2779</v>
      </c>
      <c r="M193" t="s">
        <v>2568</v>
      </c>
      <c r="N193" t="s">
        <v>2593</v>
      </c>
      <c r="O193" t="s">
        <v>2603</v>
      </c>
      <c r="P193" t="s">
        <v>2555</v>
      </c>
      <c r="Q193" t="s">
        <v>2578</v>
      </c>
      <c r="R193" t="s">
        <v>2603</v>
      </c>
      <c r="S193" t="s">
        <v>2606</v>
      </c>
      <c r="T193">
        <v>1</v>
      </c>
      <c r="U193" s="2">
        <v>68671.53</v>
      </c>
      <c r="V193" s="3">
        <v>0</v>
      </c>
      <c r="W193" s="2">
        <v>68671.53</v>
      </c>
      <c r="X193" s="2">
        <v>10702.59</v>
      </c>
      <c r="Y193" s="3">
        <v>0.15585192291478001</v>
      </c>
      <c r="Z193" t="s">
        <v>1496</v>
      </c>
      <c r="AA193" t="s">
        <v>1498</v>
      </c>
      <c r="AB193" t="s">
        <v>1501</v>
      </c>
      <c r="AC193">
        <v>1</v>
      </c>
      <c r="AD193">
        <v>2024</v>
      </c>
      <c r="AE193" t="s">
        <v>2812</v>
      </c>
      <c r="AF193" t="s">
        <v>2824</v>
      </c>
      <c r="AG193" t="s">
        <v>2845</v>
      </c>
      <c r="AH193" t="s">
        <v>2848</v>
      </c>
      <c r="AI193">
        <v>1</v>
      </c>
    </row>
    <row r="194" spans="1:35" x14ac:dyDescent="0.3">
      <c r="A194" t="s">
        <v>196</v>
      </c>
      <c r="B194">
        <v>2</v>
      </c>
      <c r="C194" s="1">
        <v>45434</v>
      </c>
      <c r="D194" s="1">
        <v>45435</v>
      </c>
      <c r="E194" t="s">
        <v>1095</v>
      </c>
      <c r="F194" t="s">
        <v>1958</v>
      </c>
      <c r="G194" t="s">
        <v>1401</v>
      </c>
      <c r="H194" t="s">
        <v>2618</v>
      </c>
      <c r="I194" t="s">
        <v>2737</v>
      </c>
      <c r="J194" t="s">
        <v>2744</v>
      </c>
      <c r="K194" t="s">
        <v>1478</v>
      </c>
      <c r="L194" t="s">
        <v>2782</v>
      </c>
      <c r="M194" t="s">
        <v>2560</v>
      </c>
      <c r="N194" t="s">
        <v>2579</v>
      </c>
      <c r="O194" t="s">
        <v>2604</v>
      </c>
      <c r="P194" t="s">
        <v>2565</v>
      </c>
      <c r="Q194" t="s">
        <v>2583</v>
      </c>
      <c r="R194" t="s">
        <v>2604</v>
      </c>
      <c r="S194" t="s">
        <v>2606</v>
      </c>
      <c r="T194">
        <v>1</v>
      </c>
      <c r="U194" s="2">
        <v>50900.49</v>
      </c>
      <c r="V194" s="3">
        <v>0</v>
      </c>
      <c r="W194" s="2">
        <v>50900.49</v>
      </c>
      <c r="X194" s="2">
        <v>7930.74</v>
      </c>
      <c r="Y194" s="3">
        <v>0.15580871618328229</v>
      </c>
      <c r="Z194" t="s">
        <v>1494</v>
      </c>
      <c r="AA194" t="s">
        <v>1499</v>
      </c>
      <c r="AB194" t="s">
        <v>1501</v>
      </c>
      <c r="AC194">
        <v>1</v>
      </c>
      <c r="AD194">
        <v>2024</v>
      </c>
      <c r="AE194" t="s">
        <v>2812</v>
      </c>
      <c r="AF194" t="s">
        <v>2824</v>
      </c>
      <c r="AG194" t="s">
        <v>2845</v>
      </c>
      <c r="AH194" t="s">
        <v>2848</v>
      </c>
      <c r="AI194">
        <v>1</v>
      </c>
    </row>
    <row r="195" spans="1:35" x14ac:dyDescent="0.3">
      <c r="A195" t="s">
        <v>197</v>
      </c>
      <c r="B195">
        <v>1</v>
      </c>
      <c r="C195" s="1">
        <v>45434</v>
      </c>
      <c r="D195" s="1">
        <v>45434</v>
      </c>
      <c r="E195" t="s">
        <v>1017</v>
      </c>
      <c r="F195" t="s">
        <v>1898</v>
      </c>
      <c r="G195" t="s">
        <v>1434</v>
      </c>
      <c r="H195" t="s">
        <v>2695</v>
      </c>
      <c r="I195" t="s">
        <v>2740</v>
      </c>
      <c r="J195" t="s">
        <v>2762</v>
      </c>
      <c r="K195" t="s">
        <v>1485</v>
      </c>
      <c r="L195" t="s">
        <v>2775</v>
      </c>
      <c r="M195" t="s">
        <v>2551</v>
      </c>
      <c r="N195" t="s">
        <v>2574</v>
      </c>
      <c r="O195" t="s">
        <v>2602</v>
      </c>
      <c r="P195" t="s">
        <v>2562</v>
      </c>
      <c r="Q195" t="s">
        <v>2574</v>
      </c>
      <c r="R195" t="s">
        <v>2602</v>
      </c>
      <c r="S195" t="s">
        <v>2606</v>
      </c>
      <c r="T195">
        <v>1</v>
      </c>
      <c r="U195" s="2">
        <v>994.69</v>
      </c>
      <c r="V195" s="3">
        <v>0.15</v>
      </c>
      <c r="W195" s="2">
        <v>845.49</v>
      </c>
      <c r="X195" s="2">
        <v>-57.83</v>
      </c>
      <c r="Y195" s="3">
        <v>-6.8398206956912552E-2</v>
      </c>
      <c r="Z195" t="s">
        <v>1494</v>
      </c>
      <c r="AA195" t="s">
        <v>1498</v>
      </c>
      <c r="AB195" t="s">
        <v>1501</v>
      </c>
      <c r="AC195">
        <v>0</v>
      </c>
      <c r="AD195">
        <v>2024</v>
      </c>
      <c r="AE195" t="s">
        <v>2812</v>
      </c>
      <c r="AF195" t="s">
        <v>2824</v>
      </c>
      <c r="AG195" t="s">
        <v>2845</v>
      </c>
      <c r="AH195" t="s">
        <v>2848</v>
      </c>
      <c r="AI195">
        <v>1</v>
      </c>
    </row>
    <row r="196" spans="1:35" x14ac:dyDescent="0.3">
      <c r="A196" t="s">
        <v>198</v>
      </c>
      <c r="B196">
        <v>1</v>
      </c>
      <c r="C196" s="1">
        <v>45434</v>
      </c>
      <c r="D196" s="1">
        <v>45435</v>
      </c>
      <c r="E196" t="s">
        <v>1096</v>
      </c>
      <c r="F196" t="s">
        <v>1768</v>
      </c>
      <c r="G196" t="s">
        <v>1348</v>
      </c>
      <c r="H196" t="s">
        <v>2669</v>
      </c>
      <c r="I196" t="s">
        <v>2739</v>
      </c>
      <c r="J196" t="s">
        <v>2756</v>
      </c>
      <c r="K196" t="s">
        <v>1480</v>
      </c>
      <c r="L196" t="s">
        <v>2789</v>
      </c>
      <c r="M196" t="s">
        <v>2554</v>
      </c>
      <c r="N196" t="s">
        <v>2577</v>
      </c>
      <c r="O196" t="s">
        <v>2601</v>
      </c>
      <c r="R196" t="s">
        <v>2790</v>
      </c>
      <c r="S196" t="s">
        <v>2606</v>
      </c>
      <c r="T196">
        <v>1</v>
      </c>
      <c r="U196" s="2">
        <v>921.12</v>
      </c>
      <c r="V196" s="3">
        <v>0</v>
      </c>
      <c r="W196" s="2">
        <v>921.12</v>
      </c>
      <c r="X196" s="2">
        <v>383.08</v>
      </c>
      <c r="Y196" s="3">
        <v>0.41588500955358693</v>
      </c>
      <c r="Z196" t="s">
        <v>1496</v>
      </c>
      <c r="AA196" t="s">
        <v>1498</v>
      </c>
      <c r="AB196" t="s">
        <v>1501</v>
      </c>
      <c r="AC196">
        <v>1</v>
      </c>
      <c r="AD196">
        <v>2024</v>
      </c>
      <c r="AE196" t="s">
        <v>2812</v>
      </c>
      <c r="AF196" t="s">
        <v>2824</v>
      </c>
      <c r="AG196" t="s">
        <v>2845</v>
      </c>
      <c r="AH196" t="s">
        <v>2848</v>
      </c>
      <c r="AI196">
        <v>1</v>
      </c>
    </row>
    <row r="197" spans="1:35" x14ac:dyDescent="0.3">
      <c r="A197" t="s">
        <v>199</v>
      </c>
      <c r="B197">
        <v>1</v>
      </c>
      <c r="C197" s="1">
        <v>45436</v>
      </c>
      <c r="D197" s="1">
        <v>45437</v>
      </c>
      <c r="E197" t="s">
        <v>1097</v>
      </c>
      <c r="F197" t="s">
        <v>1681</v>
      </c>
      <c r="G197" t="s">
        <v>1435</v>
      </c>
      <c r="H197" t="s">
        <v>2633</v>
      </c>
      <c r="I197" t="s">
        <v>2737</v>
      </c>
      <c r="J197" t="s">
        <v>2747</v>
      </c>
      <c r="K197" t="s">
        <v>1480</v>
      </c>
      <c r="L197" t="s">
        <v>2789</v>
      </c>
      <c r="M197" t="s">
        <v>2558</v>
      </c>
      <c r="N197" t="s">
        <v>2558</v>
      </c>
      <c r="O197" t="s">
        <v>2603</v>
      </c>
      <c r="R197" t="s">
        <v>2790</v>
      </c>
      <c r="S197" t="s">
        <v>2608</v>
      </c>
      <c r="T197">
        <v>1</v>
      </c>
      <c r="U197" s="2">
        <v>62926.96</v>
      </c>
      <c r="V197" s="3">
        <v>0</v>
      </c>
      <c r="W197" s="2">
        <v>62926.96</v>
      </c>
      <c r="X197" s="2">
        <v>9214.48</v>
      </c>
      <c r="Y197" s="3">
        <v>0.1464313547007515</v>
      </c>
      <c r="Z197" t="s">
        <v>1494</v>
      </c>
      <c r="AA197" t="s">
        <v>1499</v>
      </c>
      <c r="AB197" t="s">
        <v>1501</v>
      </c>
      <c r="AC197">
        <v>1</v>
      </c>
      <c r="AD197">
        <v>2024</v>
      </c>
      <c r="AE197" t="s">
        <v>2812</v>
      </c>
      <c r="AF197" t="s">
        <v>2824</v>
      </c>
      <c r="AG197" t="s">
        <v>2845</v>
      </c>
      <c r="AH197" t="s">
        <v>2848</v>
      </c>
      <c r="AI197">
        <v>1</v>
      </c>
    </row>
    <row r="198" spans="1:35" x14ac:dyDescent="0.3">
      <c r="A198" t="s">
        <v>200</v>
      </c>
      <c r="B198">
        <v>1</v>
      </c>
      <c r="C198" s="1">
        <v>45436</v>
      </c>
      <c r="D198" s="1">
        <v>45439</v>
      </c>
      <c r="E198" t="s">
        <v>1067</v>
      </c>
      <c r="F198" t="s">
        <v>1734</v>
      </c>
      <c r="G198" t="s">
        <v>1348</v>
      </c>
      <c r="H198" t="s">
        <v>2669</v>
      </c>
      <c r="I198" t="s">
        <v>2739</v>
      </c>
      <c r="J198" t="s">
        <v>2756</v>
      </c>
      <c r="K198" t="s">
        <v>1480</v>
      </c>
      <c r="L198" t="s">
        <v>2789</v>
      </c>
      <c r="M198" t="s">
        <v>2570</v>
      </c>
      <c r="N198" t="s">
        <v>2590</v>
      </c>
      <c r="O198" t="s">
        <v>2605</v>
      </c>
      <c r="R198" t="s">
        <v>2790</v>
      </c>
      <c r="S198" t="s">
        <v>2606</v>
      </c>
      <c r="T198">
        <v>1</v>
      </c>
      <c r="U198" s="2">
        <v>921.12</v>
      </c>
      <c r="V198" s="3">
        <v>0</v>
      </c>
      <c r="W198" s="2">
        <v>921.12</v>
      </c>
      <c r="X198" s="2">
        <v>383.08</v>
      </c>
      <c r="Y198" s="3">
        <v>0.41588500955358693</v>
      </c>
      <c r="Z198" t="s">
        <v>1497</v>
      </c>
      <c r="AA198" t="s">
        <v>1498</v>
      </c>
      <c r="AB198" t="s">
        <v>1501</v>
      </c>
      <c r="AC198">
        <v>3</v>
      </c>
      <c r="AD198">
        <v>2024</v>
      </c>
      <c r="AE198" t="s">
        <v>2812</v>
      </c>
      <c r="AF198" t="s">
        <v>2824</v>
      </c>
      <c r="AG198" t="s">
        <v>2845</v>
      </c>
      <c r="AH198" t="s">
        <v>2848</v>
      </c>
      <c r="AI198">
        <v>1</v>
      </c>
    </row>
    <row r="199" spans="1:35" x14ac:dyDescent="0.3">
      <c r="A199" t="s">
        <v>200</v>
      </c>
      <c r="B199">
        <v>2</v>
      </c>
      <c r="C199" s="1">
        <v>45436</v>
      </c>
      <c r="D199" s="1">
        <v>45439</v>
      </c>
      <c r="E199" t="s">
        <v>1067</v>
      </c>
      <c r="F199" t="s">
        <v>1734</v>
      </c>
      <c r="G199" t="s">
        <v>1383</v>
      </c>
      <c r="H199" t="s">
        <v>2726</v>
      </c>
      <c r="I199" t="s">
        <v>2742</v>
      </c>
      <c r="J199" t="s">
        <v>2771</v>
      </c>
      <c r="K199" t="s">
        <v>1480</v>
      </c>
      <c r="L199" t="s">
        <v>2789</v>
      </c>
      <c r="M199" t="s">
        <v>2570</v>
      </c>
      <c r="N199" t="s">
        <v>2590</v>
      </c>
      <c r="O199" t="s">
        <v>2605</v>
      </c>
      <c r="R199" t="s">
        <v>2790</v>
      </c>
      <c r="S199" t="s">
        <v>2606</v>
      </c>
      <c r="T199">
        <v>1</v>
      </c>
      <c r="U199" s="2">
        <v>17693.080000000002</v>
      </c>
      <c r="V199" s="3">
        <v>0</v>
      </c>
      <c r="W199" s="2">
        <v>17693.080000000002</v>
      </c>
      <c r="X199" s="2">
        <v>3546.04</v>
      </c>
      <c r="Y199" s="3">
        <v>0.20041959907489251</v>
      </c>
      <c r="Z199" t="s">
        <v>1497</v>
      </c>
      <c r="AA199" t="s">
        <v>1498</v>
      </c>
      <c r="AB199" t="s">
        <v>1501</v>
      </c>
      <c r="AC199">
        <v>3</v>
      </c>
      <c r="AD199">
        <v>2024</v>
      </c>
      <c r="AE199" t="s">
        <v>2812</v>
      </c>
      <c r="AF199" t="s">
        <v>2824</v>
      </c>
      <c r="AG199" t="s">
        <v>2845</v>
      </c>
      <c r="AH199" t="s">
        <v>2848</v>
      </c>
      <c r="AI199">
        <v>0</v>
      </c>
    </row>
    <row r="200" spans="1:35" x14ac:dyDescent="0.3">
      <c r="A200" t="s">
        <v>201</v>
      </c>
      <c r="B200">
        <v>1</v>
      </c>
      <c r="C200" s="1">
        <v>45437</v>
      </c>
      <c r="D200" s="1">
        <v>45439</v>
      </c>
      <c r="E200" t="s">
        <v>1098</v>
      </c>
      <c r="F200" t="s">
        <v>1705</v>
      </c>
      <c r="G200" t="s">
        <v>1436</v>
      </c>
      <c r="H200" t="s">
        <v>2677</v>
      </c>
      <c r="I200" t="s">
        <v>2739</v>
      </c>
      <c r="J200" t="s">
        <v>2758</v>
      </c>
      <c r="K200" t="s">
        <v>1480</v>
      </c>
      <c r="L200" t="s">
        <v>2789</v>
      </c>
      <c r="M200" t="s">
        <v>2567</v>
      </c>
      <c r="N200" t="s">
        <v>2585</v>
      </c>
      <c r="O200" t="s">
        <v>2604</v>
      </c>
      <c r="R200" t="s">
        <v>2790</v>
      </c>
      <c r="S200" t="s">
        <v>2608</v>
      </c>
      <c r="T200">
        <v>1</v>
      </c>
      <c r="U200" s="2">
        <v>546.80999999999995</v>
      </c>
      <c r="V200" s="3">
        <v>0</v>
      </c>
      <c r="W200" s="2">
        <v>546.80999999999995</v>
      </c>
      <c r="X200" s="2">
        <v>156.55000000000001</v>
      </c>
      <c r="Y200" s="3">
        <v>0.28629688557268518</v>
      </c>
      <c r="Z200" t="s">
        <v>1494</v>
      </c>
      <c r="AA200" t="s">
        <v>1498</v>
      </c>
      <c r="AB200" t="s">
        <v>1501</v>
      </c>
      <c r="AC200">
        <v>2</v>
      </c>
      <c r="AD200">
        <v>2024</v>
      </c>
      <c r="AE200" t="s">
        <v>2812</v>
      </c>
      <c r="AF200" t="s">
        <v>2824</v>
      </c>
      <c r="AG200" t="s">
        <v>2845</v>
      </c>
      <c r="AH200" t="s">
        <v>2848</v>
      </c>
      <c r="AI200">
        <v>1</v>
      </c>
    </row>
    <row r="201" spans="1:35" x14ac:dyDescent="0.3">
      <c r="A201" t="s">
        <v>201</v>
      </c>
      <c r="B201">
        <v>2</v>
      </c>
      <c r="C201" s="1">
        <v>45437</v>
      </c>
      <c r="D201" s="1">
        <v>45439</v>
      </c>
      <c r="E201" t="s">
        <v>1098</v>
      </c>
      <c r="F201" t="s">
        <v>1705</v>
      </c>
      <c r="G201" t="s">
        <v>1437</v>
      </c>
      <c r="H201" t="s">
        <v>2629</v>
      </c>
      <c r="I201" t="s">
        <v>2737</v>
      </c>
      <c r="J201" t="s">
        <v>2746</v>
      </c>
      <c r="K201" t="s">
        <v>1480</v>
      </c>
      <c r="L201" t="s">
        <v>2789</v>
      </c>
      <c r="M201" t="s">
        <v>2567</v>
      </c>
      <c r="N201" t="s">
        <v>2585</v>
      </c>
      <c r="O201" t="s">
        <v>2604</v>
      </c>
      <c r="R201" t="s">
        <v>2790</v>
      </c>
      <c r="S201" t="s">
        <v>2608</v>
      </c>
      <c r="T201">
        <v>3</v>
      </c>
      <c r="U201" s="2">
        <v>53802.83</v>
      </c>
      <c r="V201" s="3">
        <v>0</v>
      </c>
      <c r="W201" s="2">
        <v>161408.49</v>
      </c>
      <c r="X201" s="2">
        <v>20516.580000000002</v>
      </c>
      <c r="Y201" s="3">
        <v>0.12710967062513259</v>
      </c>
      <c r="Z201" t="s">
        <v>1494</v>
      </c>
      <c r="AA201" t="s">
        <v>1498</v>
      </c>
      <c r="AB201" t="s">
        <v>1501</v>
      </c>
      <c r="AC201">
        <v>2</v>
      </c>
      <c r="AD201">
        <v>2024</v>
      </c>
      <c r="AE201" t="s">
        <v>2812</v>
      </c>
      <c r="AF201" t="s">
        <v>2824</v>
      </c>
      <c r="AG201" t="s">
        <v>2845</v>
      </c>
      <c r="AH201" t="s">
        <v>2848</v>
      </c>
      <c r="AI201">
        <v>0</v>
      </c>
    </row>
    <row r="202" spans="1:35" x14ac:dyDescent="0.3">
      <c r="A202" t="s">
        <v>202</v>
      </c>
      <c r="B202">
        <v>1</v>
      </c>
      <c r="C202" s="1">
        <v>45437</v>
      </c>
      <c r="D202" s="1">
        <v>45437</v>
      </c>
      <c r="E202" t="s">
        <v>984</v>
      </c>
      <c r="F202" t="s">
        <v>1836</v>
      </c>
      <c r="G202" t="s">
        <v>1438</v>
      </c>
      <c r="H202" t="s">
        <v>2621</v>
      </c>
      <c r="I202" t="s">
        <v>2737</v>
      </c>
      <c r="J202" t="s">
        <v>2744</v>
      </c>
      <c r="K202" t="s">
        <v>1492</v>
      </c>
      <c r="L202" t="s">
        <v>2788</v>
      </c>
      <c r="M202" t="s">
        <v>2564</v>
      </c>
      <c r="N202" t="s">
        <v>2582</v>
      </c>
      <c r="O202" t="s">
        <v>2601</v>
      </c>
      <c r="P202" t="s">
        <v>2554</v>
      </c>
      <c r="Q202" t="s">
        <v>2577</v>
      </c>
      <c r="R202" t="s">
        <v>2601</v>
      </c>
      <c r="S202" t="s">
        <v>2608</v>
      </c>
      <c r="T202">
        <v>1</v>
      </c>
      <c r="U202" s="2">
        <v>77432.27</v>
      </c>
      <c r="V202" s="3">
        <v>0</v>
      </c>
      <c r="W202" s="2">
        <v>77432.27</v>
      </c>
      <c r="X202" s="2">
        <v>8717.52</v>
      </c>
      <c r="Y202" s="3">
        <v>0.1125825188903799</v>
      </c>
      <c r="Z202" t="s">
        <v>1493</v>
      </c>
      <c r="AA202" t="s">
        <v>1499</v>
      </c>
      <c r="AB202" t="s">
        <v>1501</v>
      </c>
      <c r="AC202">
        <v>0</v>
      </c>
      <c r="AD202">
        <v>2024</v>
      </c>
      <c r="AE202" t="s">
        <v>2812</v>
      </c>
      <c r="AF202" t="s">
        <v>2824</v>
      </c>
      <c r="AG202" t="s">
        <v>2845</v>
      </c>
      <c r="AH202" t="s">
        <v>2848</v>
      </c>
      <c r="AI202">
        <v>1</v>
      </c>
    </row>
    <row r="203" spans="1:35" x14ac:dyDescent="0.3">
      <c r="A203" t="s">
        <v>202</v>
      </c>
      <c r="B203">
        <v>2</v>
      </c>
      <c r="C203" s="1">
        <v>45437</v>
      </c>
      <c r="D203" s="1">
        <v>45437</v>
      </c>
      <c r="E203" t="s">
        <v>984</v>
      </c>
      <c r="F203" t="s">
        <v>1836</v>
      </c>
      <c r="G203" t="s">
        <v>1439</v>
      </c>
      <c r="H203" t="s">
        <v>2641</v>
      </c>
      <c r="I203" t="s">
        <v>2738</v>
      </c>
      <c r="J203" t="s">
        <v>2749</v>
      </c>
      <c r="K203" t="s">
        <v>1492</v>
      </c>
      <c r="L203" t="s">
        <v>2788</v>
      </c>
      <c r="M203" t="s">
        <v>2564</v>
      </c>
      <c r="N203" t="s">
        <v>2582</v>
      </c>
      <c r="O203" t="s">
        <v>2601</v>
      </c>
      <c r="P203" t="s">
        <v>2554</v>
      </c>
      <c r="Q203" t="s">
        <v>2577</v>
      </c>
      <c r="R203" t="s">
        <v>2601</v>
      </c>
      <c r="S203" t="s">
        <v>2608</v>
      </c>
      <c r="T203">
        <v>1</v>
      </c>
      <c r="U203" s="2">
        <v>2679.96</v>
      </c>
      <c r="V203" s="3">
        <v>0</v>
      </c>
      <c r="W203" s="2">
        <v>2679.96</v>
      </c>
      <c r="X203" s="2">
        <v>600.58000000000004</v>
      </c>
      <c r="Y203" s="3">
        <v>0.22410035970686129</v>
      </c>
      <c r="Z203" t="s">
        <v>1493</v>
      </c>
      <c r="AA203" t="s">
        <v>1499</v>
      </c>
      <c r="AB203" t="s">
        <v>1501</v>
      </c>
      <c r="AC203">
        <v>0</v>
      </c>
      <c r="AD203">
        <v>2024</v>
      </c>
      <c r="AE203" t="s">
        <v>2812</v>
      </c>
      <c r="AF203" t="s">
        <v>2824</v>
      </c>
      <c r="AG203" t="s">
        <v>2845</v>
      </c>
      <c r="AH203" t="s">
        <v>2848</v>
      </c>
      <c r="AI203">
        <v>0</v>
      </c>
    </row>
    <row r="204" spans="1:35" x14ac:dyDescent="0.3">
      <c r="A204" t="s">
        <v>203</v>
      </c>
      <c r="B204">
        <v>2</v>
      </c>
      <c r="C204" s="1">
        <v>45438</v>
      </c>
      <c r="D204" s="1">
        <v>45440</v>
      </c>
      <c r="E204" t="s">
        <v>1099</v>
      </c>
      <c r="F204" t="s">
        <v>1777</v>
      </c>
      <c r="G204" t="s">
        <v>1404</v>
      </c>
      <c r="H204" t="s">
        <v>2643</v>
      </c>
      <c r="I204" t="s">
        <v>2738</v>
      </c>
      <c r="J204" t="s">
        <v>2750</v>
      </c>
      <c r="K204" t="s">
        <v>1480</v>
      </c>
      <c r="L204" t="s">
        <v>2789</v>
      </c>
      <c r="M204" t="s">
        <v>2563</v>
      </c>
      <c r="N204" t="s">
        <v>2581</v>
      </c>
      <c r="O204" t="s">
        <v>2604</v>
      </c>
      <c r="R204" t="s">
        <v>2790</v>
      </c>
      <c r="S204" t="s">
        <v>2608</v>
      </c>
      <c r="T204">
        <v>1</v>
      </c>
      <c r="U204" s="2">
        <v>44125.88</v>
      </c>
      <c r="V204" s="3">
        <v>0.1</v>
      </c>
      <c r="W204" s="2">
        <v>39713.29</v>
      </c>
      <c r="X204" s="2">
        <v>5398.6</v>
      </c>
      <c r="Y204" s="3">
        <v>0.13593937948732021</v>
      </c>
      <c r="Z204" t="s">
        <v>1495</v>
      </c>
      <c r="AA204" t="s">
        <v>1498</v>
      </c>
      <c r="AB204" t="s">
        <v>1501</v>
      </c>
      <c r="AC204">
        <v>2</v>
      </c>
      <c r="AD204">
        <v>2024</v>
      </c>
      <c r="AE204" t="s">
        <v>2812</v>
      </c>
      <c r="AF204" t="s">
        <v>2824</v>
      </c>
      <c r="AG204" t="s">
        <v>2845</v>
      </c>
      <c r="AH204" t="s">
        <v>2848</v>
      </c>
      <c r="AI204">
        <v>1</v>
      </c>
    </row>
    <row r="205" spans="1:35" x14ac:dyDescent="0.3">
      <c r="A205" t="s">
        <v>204</v>
      </c>
      <c r="B205">
        <v>1</v>
      </c>
      <c r="C205" s="1">
        <v>45439</v>
      </c>
      <c r="D205" s="1">
        <v>45440</v>
      </c>
      <c r="E205" t="s">
        <v>1100</v>
      </c>
      <c r="F205" t="s">
        <v>1954</v>
      </c>
      <c r="G205" t="s">
        <v>1345</v>
      </c>
      <c r="H205" t="s">
        <v>2635</v>
      </c>
      <c r="I205" t="s">
        <v>2737</v>
      </c>
      <c r="J205" t="s">
        <v>2747</v>
      </c>
      <c r="K205" t="s">
        <v>1480</v>
      </c>
      <c r="L205" t="s">
        <v>2789</v>
      </c>
      <c r="M205" t="s">
        <v>2556</v>
      </c>
      <c r="N205" t="s">
        <v>2574</v>
      </c>
      <c r="O205" t="s">
        <v>2602</v>
      </c>
      <c r="R205" t="s">
        <v>2790</v>
      </c>
      <c r="S205" t="s">
        <v>2608</v>
      </c>
      <c r="T205">
        <v>2</v>
      </c>
      <c r="U205" s="2">
        <v>8112.78</v>
      </c>
      <c r="V205" s="3">
        <v>0</v>
      </c>
      <c r="W205" s="2">
        <v>16225.56</v>
      </c>
      <c r="X205" s="2">
        <v>2470.12</v>
      </c>
      <c r="Y205" s="3">
        <v>0.15223634808290129</v>
      </c>
      <c r="Z205" t="s">
        <v>1495</v>
      </c>
      <c r="AA205" t="s">
        <v>1499</v>
      </c>
      <c r="AB205" t="s">
        <v>1501</v>
      </c>
      <c r="AC205">
        <v>1</v>
      </c>
      <c r="AD205">
        <v>2024</v>
      </c>
      <c r="AE205" t="s">
        <v>2812</v>
      </c>
      <c r="AF205" t="s">
        <v>2824</v>
      </c>
      <c r="AG205" t="s">
        <v>2845</v>
      </c>
      <c r="AH205" t="s">
        <v>2848</v>
      </c>
      <c r="AI205">
        <v>1</v>
      </c>
    </row>
    <row r="206" spans="1:35" x14ac:dyDescent="0.3">
      <c r="A206" t="s">
        <v>205</v>
      </c>
      <c r="B206">
        <v>1</v>
      </c>
      <c r="C206" s="1">
        <v>45440</v>
      </c>
      <c r="D206" s="1">
        <v>45441</v>
      </c>
      <c r="E206" t="s">
        <v>1101</v>
      </c>
      <c r="F206" t="s">
        <v>1736</v>
      </c>
      <c r="G206" t="s">
        <v>1440</v>
      </c>
      <c r="H206" t="s">
        <v>2649</v>
      </c>
      <c r="I206" t="s">
        <v>2738</v>
      </c>
      <c r="J206" t="s">
        <v>2751</v>
      </c>
      <c r="K206" t="s">
        <v>1483</v>
      </c>
      <c r="L206" t="s">
        <v>2781</v>
      </c>
      <c r="M206" t="s">
        <v>2555</v>
      </c>
      <c r="N206" t="s">
        <v>2578</v>
      </c>
      <c r="O206" t="s">
        <v>2603</v>
      </c>
      <c r="P206" t="s">
        <v>2568</v>
      </c>
      <c r="Q206" t="s">
        <v>2586</v>
      </c>
      <c r="R206" t="s">
        <v>2603</v>
      </c>
      <c r="S206" t="s">
        <v>2608</v>
      </c>
      <c r="T206">
        <v>1</v>
      </c>
      <c r="U206" s="2">
        <v>35541.870000000003</v>
      </c>
      <c r="V206" s="3">
        <v>0</v>
      </c>
      <c r="W206" s="2">
        <v>35541.870000000003</v>
      </c>
      <c r="X206" s="2">
        <v>5905.68</v>
      </c>
      <c r="Y206" s="3">
        <v>0.16616120648688429</v>
      </c>
      <c r="Z206" t="s">
        <v>1496</v>
      </c>
      <c r="AA206" t="s">
        <v>1498</v>
      </c>
      <c r="AB206" t="s">
        <v>1501</v>
      </c>
      <c r="AC206">
        <v>1</v>
      </c>
      <c r="AD206">
        <v>2024</v>
      </c>
      <c r="AE206" t="s">
        <v>2812</v>
      </c>
      <c r="AF206" t="s">
        <v>2824</v>
      </c>
      <c r="AG206" t="s">
        <v>2845</v>
      </c>
      <c r="AH206" t="s">
        <v>2848</v>
      </c>
      <c r="AI206">
        <v>1</v>
      </c>
    </row>
    <row r="207" spans="1:35" x14ac:dyDescent="0.3">
      <c r="A207" t="s">
        <v>206</v>
      </c>
      <c r="B207">
        <v>1</v>
      </c>
      <c r="C207" s="1">
        <v>45442</v>
      </c>
      <c r="E207" t="s">
        <v>980</v>
      </c>
      <c r="F207" t="s">
        <v>1894</v>
      </c>
      <c r="G207" t="s">
        <v>1431</v>
      </c>
      <c r="H207" t="s">
        <v>2658</v>
      </c>
      <c r="I207" t="s">
        <v>2738</v>
      </c>
      <c r="J207" t="s">
        <v>2754</v>
      </c>
      <c r="K207" t="s">
        <v>1480</v>
      </c>
      <c r="L207" t="s">
        <v>2789</v>
      </c>
      <c r="M207" t="s">
        <v>2561</v>
      </c>
      <c r="N207" t="s">
        <v>2580</v>
      </c>
      <c r="O207" t="s">
        <v>2601</v>
      </c>
      <c r="R207" t="s">
        <v>2790</v>
      </c>
      <c r="S207" t="s">
        <v>2606</v>
      </c>
      <c r="T207">
        <v>1</v>
      </c>
      <c r="U207" s="2">
        <v>9677.85</v>
      </c>
      <c r="V207" s="3">
        <v>0</v>
      </c>
      <c r="W207" s="2">
        <v>9677.85</v>
      </c>
      <c r="X207" s="2">
        <v>1902.17</v>
      </c>
      <c r="Y207" s="3">
        <v>0.19654882024416581</v>
      </c>
      <c r="Z207" t="s">
        <v>1496</v>
      </c>
      <c r="AA207" t="s">
        <v>1498</v>
      </c>
      <c r="AB207" t="s">
        <v>1503</v>
      </c>
      <c r="AD207">
        <v>2024</v>
      </c>
      <c r="AE207" t="s">
        <v>2812</v>
      </c>
      <c r="AF207" t="s">
        <v>2824</v>
      </c>
      <c r="AG207" t="s">
        <v>2845</v>
      </c>
      <c r="AH207" t="s">
        <v>2848</v>
      </c>
      <c r="AI207">
        <v>1</v>
      </c>
    </row>
    <row r="208" spans="1:35" x14ac:dyDescent="0.3">
      <c r="A208" t="s">
        <v>207</v>
      </c>
      <c r="B208">
        <v>1</v>
      </c>
      <c r="C208" s="1">
        <v>45442</v>
      </c>
      <c r="D208" s="1">
        <v>45442</v>
      </c>
      <c r="E208" t="s">
        <v>1102</v>
      </c>
      <c r="F208" t="s">
        <v>1856</v>
      </c>
      <c r="G208" t="s">
        <v>1441</v>
      </c>
      <c r="H208" t="s">
        <v>2660</v>
      </c>
      <c r="I208" t="s">
        <v>2738</v>
      </c>
      <c r="J208" t="s">
        <v>2754</v>
      </c>
      <c r="K208" t="s">
        <v>1488</v>
      </c>
      <c r="L208" t="s">
        <v>2780</v>
      </c>
      <c r="M208" t="s">
        <v>2559</v>
      </c>
      <c r="N208" t="s">
        <v>2559</v>
      </c>
      <c r="O208" t="s">
        <v>2603</v>
      </c>
      <c r="P208" t="s">
        <v>2552</v>
      </c>
      <c r="Q208" t="s">
        <v>2575</v>
      </c>
      <c r="R208" t="s">
        <v>2603</v>
      </c>
      <c r="S208" t="s">
        <v>2606</v>
      </c>
      <c r="T208">
        <v>2</v>
      </c>
      <c r="U208" s="2">
        <v>6305.83</v>
      </c>
      <c r="V208" s="3">
        <v>0</v>
      </c>
      <c r="W208" s="2">
        <v>12611.66</v>
      </c>
      <c r="X208" s="2">
        <v>2849.6</v>
      </c>
      <c r="Y208" s="3">
        <v>0.22594963708187499</v>
      </c>
      <c r="Z208" t="s">
        <v>1493</v>
      </c>
      <c r="AA208" t="s">
        <v>1499</v>
      </c>
      <c r="AB208" t="s">
        <v>1501</v>
      </c>
      <c r="AC208">
        <v>0</v>
      </c>
      <c r="AD208">
        <v>2024</v>
      </c>
      <c r="AE208" t="s">
        <v>2812</v>
      </c>
      <c r="AF208" t="s">
        <v>2824</v>
      </c>
      <c r="AG208" t="s">
        <v>2845</v>
      </c>
      <c r="AH208" t="s">
        <v>2848</v>
      </c>
      <c r="AI208">
        <v>1</v>
      </c>
    </row>
    <row r="209" spans="1:35" x14ac:dyDescent="0.3">
      <c r="A209" t="s">
        <v>208</v>
      </c>
      <c r="B209">
        <v>1</v>
      </c>
      <c r="C209" s="1">
        <v>45443</v>
      </c>
      <c r="D209" s="1">
        <v>45443</v>
      </c>
      <c r="E209" t="s">
        <v>1009</v>
      </c>
      <c r="F209" t="s">
        <v>1819</v>
      </c>
      <c r="G209" t="s">
        <v>1366</v>
      </c>
      <c r="H209" t="s">
        <v>2694</v>
      </c>
      <c r="I209" t="s">
        <v>2740</v>
      </c>
      <c r="J209" t="s">
        <v>2762</v>
      </c>
      <c r="K209" t="s">
        <v>1486</v>
      </c>
      <c r="L209" t="s">
        <v>2776</v>
      </c>
      <c r="M209" t="s">
        <v>2556</v>
      </c>
      <c r="N209" t="s">
        <v>2574</v>
      </c>
      <c r="O209" t="s">
        <v>2602</v>
      </c>
      <c r="P209" t="s">
        <v>2551</v>
      </c>
      <c r="Q209" t="s">
        <v>2574</v>
      </c>
      <c r="R209" t="s">
        <v>2602</v>
      </c>
      <c r="S209" t="s">
        <v>2608</v>
      </c>
      <c r="T209">
        <v>1</v>
      </c>
      <c r="U209" s="2">
        <v>1397.64</v>
      </c>
      <c r="V209" s="3">
        <v>0.2</v>
      </c>
      <c r="W209" s="2">
        <v>1118.1099999999999</v>
      </c>
      <c r="X209" s="2">
        <v>-192.91</v>
      </c>
      <c r="Y209" s="3">
        <v>-0.17253221954906051</v>
      </c>
      <c r="Z209" t="s">
        <v>1493</v>
      </c>
      <c r="AA209" t="s">
        <v>1499</v>
      </c>
      <c r="AB209" t="s">
        <v>1501</v>
      </c>
      <c r="AC209">
        <v>0</v>
      </c>
      <c r="AD209">
        <v>2024</v>
      </c>
      <c r="AE209" t="s">
        <v>2812</v>
      </c>
      <c r="AF209" t="s">
        <v>2824</v>
      </c>
      <c r="AG209" t="s">
        <v>2845</v>
      </c>
      <c r="AH209" t="s">
        <v>2848</v>
      </c>
      <c r="AI209">
        <v>1</v>
      </c>
    </row>
    <row r="210" spans="1:35" x14ac:dyDescent="0.3">
      <c r="A210" t="s">
        <v>209</v>
      </c>
      <c r="B210">
        <v>1</v>
      </c>
      <c r="C210" s="1">
        <v>45443</v>
      </c>
      <c r="D210" s="1">
        <v>45445</v>
      </c>
      <c r="E210" t="s">
        <v>1063</v>
      </c>
      <c r="F210" t="s">
        <v>1801</v>
      </c>
      <c r="G210" t="s">
        <v>1389</v>
      </c>
      <c r="H210" t="s">
        <v>2703</v>
      </c>
      <c r="I210" t="s">
        <v>2740</v>
      </c>
      <c r="J210" t="s">
        <v>2764</v>
      </c>
      <c r="K210" t="s">
        <v>1480</v>
      </c>
      <c r="L210" t="s">
        <v>2789</v>
      </c>
      <c r="M210" t="s">
        <v>2567</v>
      </c>
      <c r="N210" t="s">
        <v>2585</v>
      </c>
      <c r="O210" t="s">
        <v>2604</v>
      </c>
      <c r="R210" t="s">
        <v>2790</v>
      </c>
      <c r="S210" t="s">
        <v>2606</v>
      </c>
      <c r="T210">
        <v>1</v>
      </c>
      <c r="U210" s="2">
        <v>676.97</v>
      </c>
      <c r="V210" s="3">
        <v>0</v>
      </c>
      <c r="W210" s="2">
        <v>676.97</v>
      </c>
      <c r="X210" s="2">
        <v>54.29</v>
      </c>
      <c r="Y210" s="3">
        <v>8.0195577352024455E-2</v>
      </c>
      <c r="Z210" t="s">
        <v>1493</v>
      </c>
      <c r="AA210" t="s">
        <v>1499</v>
      </c>
      <c r="AB210" t="s">
        <v>1501</v>
      </c>
      <c r="AC210">
        <v>2</v>
      </c>
      <c r="AD210">
        <v>2024</v>
      </c>
      <c r="AE210" t="s">
        <v>2812</v>
      </c>
      <c r="AF210" t="s">
        <v>2824</v>
      </c>
      <c r="AG210" t="s">
        <v>2845</v>
      </c>
      <c r="AH210" t="s">
        <v>2848</v>
      </c>
      <c r="AI210">
        <v>1</v>
      </c>
    </row>
    <row r="211" spans="1:35" x14ac:dyDescent="0.3">
      <c r="A211" t="s">
        <v>210</v>
      </c>
      <c r="B211">
        <v>1</v>
      </c>
      <c r="C211" s="1">
        <v>45443</v>
      </c>
      <c r="D211" s="1">
        <v>45444</v>
      </c>
      <c r="E211" t="s">
        <v>1005</v>
      </c>
      <c r="F211" t="s">
        <v>1696</v>
      </c>
      <c r="G211" t="s">
        <v>1442</v>
      </c>
      <c r="H211" t="s">
        <v>2676</v>
      </c>
      <c r="I211" t="s">
        <v>2739</v>
      </c>
      <c r="J211" t="s">
        <v>2757</v>
      </c>
      <c r="K211" t="s">
        <v>1478</v>
      </c>
      <c r="L211" t="s">
        <v>2782</v>
      </c>
      <c r="M211" t="s">
        <v>2560</v>
      </c>
      <c r="N211" t="s">
        <v>2579</v>
      </c>
      <c r="O211" t="s">
        <v>2604</v>
      </c>
      <c r="P211" t="s">
        <v>2565</v>
      </c>
      <c r="Q211" t="s">
        <v>2583</v>
      </c>
      <c r="R211" t="s">
        <v>2604</v>
      </c>
      <c r="S211" t="s">
        <v>2608</v>
      </c>
      <c r="T211">
        <v>2</v>
      </c>
      <c r="U211" s="2">
        <v>603.28</v>
      </c>
      <c r="V211" s="3">
        <v>0</v>
      </c>
      <c r="W211" s="2">
        <v>1206.56</v>
      </c>
      <c r="X211" s="2">
        <v>444.3</v>
      </c>
      <c r="Y211" s="3">
        <v>0.36823697122397558</v>
      </c>
      <c r="Z211" t="s">
        <v>1497</v>
      </c>
      <c r="AA211" t="s">
        <v>1499</v>
      </c>
      <c r="AB211" t="s">
        <v>1501</v>
      </c>
      <c r="AC211">
        <v>1</v>
      </c>
      <c r="AD211">
        <v>2024</v>
      </c>
      <c r="AE211" t="s">
        <v>2812</v>
      </c>
      <c r="AF211" t="s">
        <v>2824</v>
      </c>
      <c r="AG211" t="s">
        <v>2845</v>
      </c>
      <c r="AH211" t="s">
        <v>2848</v>
      </c>
      <c r="AI211">
        <v>1</v>
      </c>
    </row>
    <row r="212" spans="1:35" x14ac:dyDescent="0.3">
      <c r="A212" t="s">
        <v>210</v>
      </c>
      <c r="B212">
        <v>3</v>
      </c>
      <c r="C212" s="1">
        <v>45443</v>
      </c>
      <c r="D212" s="1">
        <v>45444</v>
      </c>
      <c r="E212" t="s">
        <v>1005</v>
      </c>
      <c r="F212" t="s">
        <v>1696</v>
      </c>
      <c r="G212" t="s">
        <v>1339</v>
      </c>
      <c r="H212" t="s">
        <v>2715</v>
      </c>
      <c r="I212" t="s">
        <v>2741</v>
      </c>
      <c r="J212" t="s">
        <v>2767</v>
      </c>
      <c r="K212" t="s">
        <v>1478</v>
      </c>
      <c r="L212" t="s">
        <v>2782</v>
      </c>
      <c r="M212" t="s">
        <v>2560</v>
      </c>
      <c r="N212" t="s">
        <v>2579</v>
      </c>
      <c r="O212" t="s">
        <v>2604</v>
      </c>
      <c r="P212" t="s">
        <v>2565</v>
      </c>
      <c r="Q212" t="s">
        <v>2583</v>
      </c>
      <c r="R212" t="s">
        <v>2604</v>
      </c>
      <c r="S212" t="s">
        <v>2608</v>
      </c>
      <c r="T212">
        <v>1</v>
      </c>
      <c r="U212" s="2">
        <v>763.54</v>
      </c>
      <c r="V212" s="3">
        <v>0</v>
      </c>
      <c r="W212" s="2">
        <v>763.54</v>
      </c>
      <c r="X212" s="2">
        <v>240.98</v>
      </c>
      <c r="Y212" s="3">
        <v>0.31560887445320479</v>
      </c>
      <c r="Z212" t="s">
        <v>1497</v>
      </c>
      <c r="AA212" t="s">
        <v>1499</v>
      </c>
      <c r="AB212" t="s">
        <v>1501</v>
      </c>
      <c r="AC212">
        <v>1</v>
      </c>
      <c r="AD212">
        <v>2024</v>
      </c>
      <c r="AE212" t="s">
        <v>2812</v>
      </c>
      <c r="AF212" t="s">
        <v>2824</v>
      </c>
      <c r="AG212" t="s">
        <v>2845</v>
      </c>
      <c r="AH212" t="s">
        <v>2848</v>
      </c>
      <c r="AI212">
        <v>0</v>
      </c>
    </row>
    <row r="213" spans="1:35" x14ac:dyDescent="0.3">
      <c r="A213" t="s">
        <v>211</v>
      </c>
      <c r="B213">
        <v>1</v>
      </c>
      <c r="C213" s="1">
        <v>45444</v>
      </c>
      <c r="D213" s="1">
        <v>45447</v>
      </c>
      <c r="E213" t="s">
        <v>1103</v>
      </c>
      <c r="F213" t="s">
        <v>1853</v>
      </c>
      <c r="G213" t="s">
        <v>1386</v>
      </c>
      <c r="H213" t="s">
        <v>2686</v>
      </c>
      <c r="I213" t="s">
        <v>2740</v>
      </c>
      <c r="J213" t="s">
        <v>2760</v>
      </c>
      <c r="K213" t="s">
        <v>1480</v>
      </c>
      <c r="L213" t="s">
        <v>2789</v>
      </c>
      <c r="M213" t="s">
        <v>2556</v>
      </c>
      <c r="N213" t="s">
        <v>2574</v>
      </c>
      <c r="O213" t="s">
        <v>2602</v>
      </c>
      <c r="R213" t="s">
        <v>2790</v>
      </c>
      <c r="S213" t="s">
        <v>2606</v>
      </c>
      <c r="T213">
        <v>2</v>
      </c>
      <c r="U213" s="2">
        <v>1094.7</v>
      </c>
      <c r="V213" s="3">
        <v>0.05</v>
      </c>
      <c r="W213" s="2">
        <v>2079.9299999999998</v>
      </c>
      <c r="X213" s="2">
        <v>18.489999999999998</v>
      </c>
      <c r="Y213" s="3">
        <v>8.8897222502680381E-3</v>
      </c>
      <c r="Z213" t="s">
        <v>1495</v>
      </c>
      <c r="AA213" t="s">
        <v>1499</v>
      </c>
      <c r="AB213" t="s">
        <v>1501</v>
      </c>
      <c r="AC213">
        <v>3</v>
      </c>
      <c r="AD213">
        <v>2024</v>
      </c>
      <c r="AE213" t="s">
        <v>2813</v>
      </c>
      <c r="AF213" t="s">
        <v>2825</v>
      </c>
      <c r="AG213" t="s">
        <v>2845</v>
      </c>
      <c r="AH213" t="s">
        <v>2848</v>
      </c>
      <c r="AI213">
        <v>1</v>
      </c>
    </row>
    <row r="214" spans="1:35" x14ac:dyDescent="0.3">
      <c r="A214" t="s">
        <v>212</v>
      </c>
      <c r="B214">
        <v>1</v>
      </c>
      <c r="C214" s="1">
        <v>45444</v>
      </c>
      <c r="D214" s="1">
        <v>45445</v>
      </c>
      <c r="E214" t="s">
        <v>1104</v>
      </c>
      <c r="F214" t="s">
        <v>1708</v>
      </c>
      <c r="G214" t="s">
        <v>1375</v>
      </c>
      <c r="H214" t="s">
        <v>2622</v>
      </c>
      <c r="I214" t="s">
        <v>2737</v>
      </c>
      <c r="J214" t="s">
        <v>2745</v>
      </c>
      <c r="K214" t="s">
        <v>1483</v>
      </c>
      <c r="L214" t="s">
        <v>2781</v>
      </c>
      <c r="M214" t="s">
        <v>2558</v>
      </c>
      <c r="N214" t="s">
        <v>2558</v>
      </c>
      <c r="O214" t="s">
        <v>2603</v>
      </c>
      <c r="P214" t="s">
        <v>2568</v>
      </c>
      <c r="Q214" t="s">
        <v>2586</v>
      </c>
      <c r="R214" t="s">
        <v>2603</v>
      </c>
      <c r="S214" t="s">
        <v>2606</v>
      </c>
      <c r="T214">
        <v>1</v>
      </c>
      <c r="U214" s="2">
        <v>35534</v>
      </c>
      <c r="V214" s="3">
        <v>0.15</v>
      </c>
      <c r="W214" s="2">
        <v>30203.9</v>
      </c>
      <c r="X214" s="2">
        <v>471.46</v>
      </c>
      <c r="Y214" s="3">
        <v>1.5609242515039449E-2</v>
      </c>
      <c r="Z214" t="s">
        <v>1497</v>
      </c>
      <c r="AA214" t="s">
        <v>1498</v>
      </c>
      <c r="AB214" t="s">
        <v>1501</v>
      </c>
      <c r="AC214">
        <v>1</v>
      </c>
      <c r="AD214">
        <v>2024</v>
      </c>
      <c r="AE214" t="s">
        <v>2813</v>
      </c>
      <c r="AF214" t="s">
        <v>2825</v>
      </c>
      <c r="AG214" t="s">
        <v>2845</v>
      </c>
      <c r="AH214" t="s">
        <v>2848</v>
      </c>
      <c r="AI214">
        <v>1</v>
      </c>
    </row>
    <row r="215" spans="1:35" x14ac:dyDescent="0.3">
      <c r="A215" t="s">
        <v>213</v>
      </c>
      <c r="B215">
        <v>1</v>
      </c>
      <c r="C215" s="1">
        <v>45445</v>
      </c>
      <c r="D215" s="1">
        <v>45446</v>
      </c>
      <c r="E215" t="s">
        <v>1105</v>
      </c>
      <c r="F215" t="s">
        <v>1870</v>
      </c>
      <c r="G215" t="s">
        <v>1433</v>
      </c>
      <c r="H215" t="s">
        <v>2675</v>
      </c>
      <c r="I215" t="s">
        <v>2739</v>
      </c>
      <c r="J215" t="s">
        <v>2757</v>
      </c>
      <c r="K215" t="s">
        <v>1480</v>
      </c>
      <c r="L215" t="s">
        <v>2789</v>
      </c>
      <c r="M215" t="s">
        <v>2571</v>
      </c>
      <c r="N215" t="s">
        <v>2590</v>
      </c>
      <c r="O215" t="s">
        <v>2605</v>
      </c>
      <c r="R215" t="s">
        <v>2790</v>
      </c>
      <c r="S215" t="s">
        <v>2606</v>
      </c>
      <c r="T215">
        <v>2</v>
      </c>
      <c r="U215" s="2">
        <v>2067.91</v>
      </c>
      <c r="V215" s="3">
        <v>0.05</v>
      </c>
      <c r="W215" s="2">
        <v>3929.03</v>
      </c>
      <c r="X215" s="2">
        <v>946.17</v>
      </c>
      <c r="Y215" s="3">
        <v>0.24081516303006081</v>
      </c>
      <c r="Z215" t="s">
        <v>1496</v>
      </c>
      <c r="AA215" t="s">
        <v>1500</v>
      </c>
      <c r="AB215" t="s">
        <v>1501</v>
      </c>
      <c r="AC215">
        <v>1</v>
      </c>
      <c r="AD215">
        <v>2024</v>
      </c>
      <c r="AE215" t="s">
        <v>2813</v>
      </c>
      <c r="AF215" t="s">
        <v>2825</v>
      </c>
      <c r="AG215" t="s">
        <v>2845</v>
      </c>
      <c r="AH215" t="s">
        <v>2848</v>
      </c>
      <c r="AI215">
        <v>1</v>
      </c>
    </row>
    <row r="216" spans="1:35" x14ac:dyDescent="0.3">
      <c r="A216" t="s">
        <v>214</v>
      </c>
      <c r="B216">
        <v>1</v>
      </c>
      <c r="C216" s="1">
        <v>45445</v>
      </c>
      <c r="D216" s="1">
        <v>45446</v>
      </c>
      <c r="E216" t="s">
        <v>1106</v>
      </c>
      <c r="F216" t="s">
        <v>1936</v>
      </c>
      <c r="G216" t="s">
        <v>1407</v>
      </c>
      <c r="H216" t="s">
        <v>2687</v>
      </c>
      <c r="I216" t="s">
        <v>2740</v>
      </c>
      <c r="J216" t="s">
        <v>2760</v>
      </c>
      <c r="K216" t="s">
        <v>1492</v>
      </c>
      <c r="L216" t="s">
        <v>2788</v>
      </c>
      <c r="M216" t="s">
        <v>2554</v>
      </c>
      <c r="N216" t="s">
        <v>2577</v>
      </c>
      <c r="O216" t="s">
        <v>2601</v>
      </c>
      <c r="P216" t="s">
        <v>2554</v>
      </c>
      <c r="Q216" t="s">
        <v>2577</v>
      </c>
      <c r="R216" t="s">
        <v>2601</v>
      </c>
      <c r="S216" t="s">
        <v>2608</v>
      </c>
      <c r="T216">
        <v>1</v>
      </c>
      <c r="U216" s="2">
        <v>810.23</v>
      </c>
      <c r="V216" s="3">
        <v>0</v>
      </c>
      <c r="W216" s="2">
        <v>810.23</v>
      </c>
      <c r="X216" s="2">
        <v>91.79</v>
      </c>
      <c r="Y216" s="3">
        <v>0.1132888192241709</v>
      </c>
      <c r="Z216" t="s">
        <v>1493</v>
      </c>
      <c r="AA216" t="s">
        <v>1498</v>
      </c>
      <c r="AB216" t="s">
        <v>1501</v>
      </c>
      <c r="AC216">
        <v>1</v>
      </c>
      <c r="AD216">
        <v>2024</v>
      </c>
      <c r="AE216" t="s">
        <v>2813</v>
      </c>
      <c r="AF216" t="s">
        <v>2825</v>
      </c>
      <c r="AG216" t="s">
        <v>2845</v>
      </c>
      <c r="AH216" t="s">
        <v>2848</v>
      </c>
      <c r="AI216">
        <v>1</v>
      </c>
    </row>
    <row r="217" spans="1:35" x14ac:dyDescent="0.3">
      <c r="A217" t="s">
        <v>215</v>
      </c>
      <c r="B217">
        <v>1</v>
      </c>
      <c r="C217" s="1">
        <v>45445</v>
      </c>
      <c r="D217" s="1">
        <v>45447</v>
      </c>
      <c r="E217" t="s">
        <v>1107</v>
      </c>
      <c r="F217" t="s">
        <v>1874</v>
      </c>
      <c r="G217" t="s">
        <v>1363</v>
      </c>
      <c r="H217" t="s">
        <v>2722</v>
      </c>
      <c r="I217" t="s">
        <v>2742</v>
      </c>
      <c r="J217" t="s">
        <v>2769</v>
      </c>
      <c r="K217" t="s">
        <v>1480</v>
      </c>
      <c r="L217" t="s">
        <v>2789</v>
      </c>
      <c r="M217" t="s">
        <v>2572</v>
      </c>
      <c r="N217" t="s">
        <v>2582</v>
      </c>
      <c r="O217" t="s">
        <v>2601</v>
      </c>
      <c r="R217" t="s">
        <v>2790</v>
      </c>
      <c r="S217" t="s">
        <v>2608</v>
      </c>
      <c r="T217">
        <v>4</v>
      </c>
      <c r="U217" s="2">
        <v>23041.22</v>
      </c>
      <c r="V217" s="3">
        <v>0.15</v>
      </c>
      <c r="W217" s="2">
        <v>78340.149999999994</v>
      </c>
      <c r="X217" s="2">
        <v>6034.23</v>
      </c>
      <c r="Y217" s="3">
        <v>7.7026020501620177E-2</v>
      </c>
      <c r="Z217" t="s">
        <v>1496</v>
      </c>
      <c r="AA217" t="s">
        <v>1498</v>
      </c>
      <c r="AB217" t="s">
        <v>1501</v>
      </c>
      <c r="AC217">
        <v>2</v>
      </c>
      <c r="AD217">
        <v>2024</v>
      </c>
      <c r="AE217" t="s">
        <v>2813</v>
      </c>
      <c r="AF217" t="s">
        <v>2825</v>
      </c>
      <c r="AG217" t="s">
        <v>2845</v>
      </c>
      <c r="AH217" t="s">
        <v>2848</v>
      </c>
      <c r="AI217">
        <v>1</v>
      </c>
    </row>
    <row r="218" spans="1:35" x14ac:dyDescent="0.3">
      <c r="A218" t="s">
        <v>216</v>
      </c>
      <c r="B218">
        <v>1</v>
      </c>
      <c r="C218" s="1">
        <v>45447</v>
      </c>
      <c r="D218" s="1">
        <v>45447</v>
      </c>
      <c r="E218" t="s">
        <v>1108</v>
      </c>
      <c r="F218" t="s">
        <v>1775</v>
      </c>
      <c r="G218" t="s">
        <v>1443</v>
      </c>
      <c r="H218" t="s">
        <v>2686</v>
      </c>
      <c r="I218" t="s">
        <v>2740</v>
      </c>
      <c r="J218" t="s">
        <v>2760</v>
      </c>
      <c r="K218" t="s">
        <v>1482</v>
      </c>
      <c r="L218" t="s">
        <v>2783</v>
      </c>
      <c r="M218" t="s">
        <v>2565</v>
      </c>
      <c r="N218" t="s">
        <v>2583</v>
      </c>
      <c r="O218" t="s">
        <v>2604</v>
      </c>
      <c r="P218" t="s">
        <v>2560</v>
      </c>
      <c r="Q218" t="s">
        <v>2579</v>
      </c>
      <c r="R218" t="s">
        <v>2604</v>
      </c>
      <c r="S218" t="s">
        <v>2608</v>
      </c>
      <c r="T218">
        <v>1</v>
      </c>
      <c r="U218" s="2">
        <v>1035.79</v>
      </c>
      <c r="V218" s="3">
        <v>0</v>
      </c>
      <c r="W218" s="2">
        <v>1035.79</v>
      </c>
      <c r="X218" s="2">
        <v>82.54</v>
      </c>
      <c r="Y218" s="3">
        <v>7.968796763822783E-2</v>
      </c>
      <c r="Z218" t="s">
        <v>1497</v>
      </c>
      <c r="AA218" t="s">
        <v>1499</v>
      </c>
      <c r="AB218" t="s">
        <v>1501</v>
      </c>
      <c r="AC218">
        <v>0</v>
      </c>
      <c r="AD218">
        <v>2024</v>
      </c>
      <c r="AE218" t="s">
        <v>2813</v>
      </c>
      <c r="AF218" t="s">
        <v>2825</v>
      </c>
      <c r="AG218" t="s">
        <v>2845</v>
      </c>
      <c r="AH218" t="s">
        <v>2848</v>
      </c>
      <c r="AI218">
        <v>1</v>
      </c>
    </row>
    <row r="219" spans="1:35" x14ac:dyDescent="0.3">
      <c r="A219" t="s">
        <v>217</v>
      </c>
      <c r="B219">
        <v>1</v>
      </c>
      <c r="C219" s="1">
        <v>45449</v>
      </c>
      <c r="E219" t="s">
        <v>1109</v>
      </c>
      <c r="F219" t="s">
        <v>1762</v>
      </c>
      <c r="G219" t="s">
        <v>1364</v>
      </c>
      <c r="H219" t="s">
        <v>2699</v>
      </c>
      <c r="I219" t="s">
        <v>2740</v>
      </c>
      <c r="J219" t="s">
        <v>2762</v>
      </c>
      <c r="K219" t="s">
        <v>1479</v>
      </c>
      <c r="L219" t="s">
        <v>2786</v>
      </c>
      <c r="M219" t="s">
        <v>2554</v>
      </c>
      <c r="N219" t="s">
        <v>2577</v>
      </c>
      <c r="O219" t="s">
        <v>2601</v>
      </c>
      <c r="P219" t="s">
        <v>2564</v>
      </c>
      <c r="Q219" t="s">
        <v>2582</v>
      </c>
      <c r="R219" t="s">
        <v>2601</v>
      </c>
      <c r="S219" t="s">
        <v>2606</v>
      </c>
      <c r="T219">
        <v>1</v>
      </c>
      <c r="U219" s="2">
        <v>590.01</v>
      </c>
      <c r="V219" s="3">
        <v>0.05</v>
      </c>
      <c r="W219" s="2">
        <v>560.51</v>
      </c>
      <c r="X219" s="2">
        <v>43.05</v>
      </c>
      <c r="Y219" s="3">
        <v>7.6805052541435478E-2</v>
      </c>
      <c r="Z219" t="s">
        <v>1495</v>
      </c>
      <c r="AA219" t="s">
        <v>1499</v>
      </c>
      <c r="AB219" t="s">
        <v>1503</v>
      </c>
      <c r="AD219">
        <v>2024</v>
      </c>
      <c r="AE219" t="s">
        <v>2813</v>
      </c>
      <c r="AF219" t="s">
        <v>2825</v>
      </c>
      <c r="AG219" t="s">
        <v>2845</v>
      </c>
      <c r="AH219" t="s">
        <v>2848</v>
      </c>
      <c r="AI219">
        <v>1</v>
      </c>
    </row>
    <row r="220" spans="1:35" x14ac:dyDescent="0.3">
      <c r="A220" t="s">
        <v>218</v>
      </c>
      <c r="B220">
        <v>1</v>
      </c>
      <c r="C220" s="1">
        <v>45449</v>
      </c>
      <c r="D220" s="1">
        <v>45449</v>
      </c>
      <c r="E220" t="s">
        <v>1083</v>
      </c>
      <c r="F220" t="s">
        <v>1719</v>
      </c>
      <c r="G220" t="s">
        <v>1442</v>
      </c>
      <c r="H220" t="s">
        <v>2676</v>
      </c>
      <c r="I220" t="s">
        <v>2739</v>
      </c>
      <c r="J220" t="s">
        <v>2757</v>
      </c>
      <c r="K220" t="s">
        <v>1479</v>
      </c>
      <c r="L220" t="s">
        <v>2786</v>
      </c>
      <c r="M220" t="s">
        <v>2564</v>
      </c>
      <c r="N220" t="s">
        <v>2582</v>
      </c>
      <c r="O220" t="s">
        <v>2601</v>
      </c>
      <c r="P220" t="s">
        <v>2564</v>
      </c>
      <c r="Q220" t="s">
        <v>2582</v>
      </c>
      <c r="R220" t="s">
        <v>2601</v>
      </c>
      <c r="S220" t="s">
        <v>2606</v>
      </c>
      <c r="T220">
        <v>1</v>
      </c>
      <c r="U220" s="2">
        <v>603.28</v>
      </c>
      <c r="V220" s="3">
        <v>0</v>
      </c>
      <c r="W220" s="2">
        <v>603.28</v>
      </c>
      <c r="X220" s="2">
        <v>222.15</v>
      </c>
      <c r="Y220" s="3">
        <v>0.36823697122397558</v>
      </c>
      <c r="Z220" t="s">
        <v>1493</v>
      </c>
      <c r="AA220" t="s">
        <v>1498</v>
      </c>
      <c r="AB220" t="s">
        <v>1501</v>
      </c>
      <c r="AC220">
        <v>0</v>
      </c>
      <c r="AD220">
        <v>2024</v>
      </c>
      <c r="AE220" t="s">
        <v>2813</v>
      </c>
      <c r="AF220" t="s">
        <v>2825</v>
      </c>
      <c r="AG220" t="s">
        <v>2845</v>
      </c>
      <c r="AH220" t="s">
        <v>2848</v>
      </c>
      <c r="AI220">
        <v>1</v>
      </c>
    </row>
    <row r="221" spans="1:35" x14ac:dyDescent="0.3">
      <c r="A221" t="s">
        <v>219</v>
      </c>
      <c r="B221">
        <v>1</v>
      </c>
      <c r="C221" s="1">
        <v>45450</v>
      </c>
      <c r="E221" t="s">
        <v>1103</v>
      </c>
      <c r="F221" t="s">
        <v>1853</v>
      </c>
      <c r="G221" t="s">
        <v>1444</v>
      </c>
      <c r="H221" t="s">
        <v>2717</v>
      </c>
      <c r="I221" t="s">
        <v>2741</v>
      </c>
      <c r="J221" t="s">
        <v>2768</v>
      </c>
      <c r="K221" t="s">
        <v>1480</v>
      </c>
      <c r="L221" t="s">
        <v>2789</v>
      </c>
      <c r="M221" t="s">
        <v>2556</v>
      </c>
      <c r="N221" t="s">
        <v>2574</v>
      </c>
      <c r="O221" t="s">
        <v>2602</v>
      </c>
      <c r="R221" t="s">
        <v>2790</v>
      </c>
      <c r="S221" t="s">
        <v>2606</v>
      </c>
      <c r="T221">
        <v>1</v>
      </c>
      <c r="U221" s="2">
        <v>1054.31</v>
      </c>
      <c r="V221" s="3">
        <v>0</v>
      </c>
      <c r="W221" s="2">
        <v>1054.31</v>
      </c>
      <c r="X221" s="2">
        <v>310.83999999999997</v>
      </c>
      <c r="Y221" s="3">
        <v>0.29482789691836359</v>
      </c>
      <c r="Z221" t="s">
        <v>1497</v>
      </c>
      <c r="AA221" t="s">
        <v>1499</v>
      </c>
      <c r="AB221" t="s">
        <v>1503</v>
      </c>
      <c r="AD221">
        <v>2024</v>
      </c>
      <c r="AE221" t="s">
        <v>2813</v>
      </c>
      <c r="AF221" t="s">
        <v>2825</v>
      </c>
      <c r="AG221" t="s">
        <v>2845</v>
      </c>
      <c r="AH221" t="s">
        <v>2848</v>
      </c>
      <c r="AI221">
        <v>1</v>
      </c>
    </row>
    <row r="222" spans="1:35" x14ac:dyDescent="0.3">
      <c r="A222" t="s">
        <v>220</v>
      </c>
      <c r="B222">
        <v>1</v>
      </c>
      <c r="C222" s="1">
        <v>45450</v>
      </c>
      <c r="D222" s="1">
        <v>45451</v>
      </c>
      <c r="E222" t="s">
        <v>1110</v>
      </c>
      <c r="F222" t="s">
        <v>1777</v>
      </c>
      <c r="G222" t="s">
        <v>1445</v>
      </c>
      <c r="H222" t="s">
        <v>2697</v>
      </c>
      <c r="I222" t="s">
        <v>2740</v>
      </c>
      <c r="J222" t="s">
        <v>2762</v>
      </c>
      <c r="K222" t="s">
        <v>1483</v>
      </c>
      <c r="L222" t="s">
        <v>2781</v>
      </c>
      <c r="M222" t="s">
        <v>2558</v>
      </c>
      <c r="N222" t="s">
        <v>2558</v>
      </c>
      <c r="O222" t="s">
        <v>2603</v>
      </c>
      <c r="P222" t="s">
        <v>2568</v>
      </c>
      <c r="Q222" t="s">
        <v>2586</v>
      </c>
      <c r="R222" t="s">
        <v>2603</v>
      </c>
      <c r="S222" t="s">
        <v>2607</v>
      </c>
      <c r="T222">
        <v>1</v>
      </c>
      <c r="U222" s="2">
        <v>516.78</v>
      </c>
      <c r="V222" s="3">
        <v>0</v>
      </c>
      <c r="W222" s="2">
        <v>516.78</v>
      </c>
      <c r="X222" s="2">
        <v>72.260000000000005</v>
      </c>
      <c r="Y222" s="3">
        <v>0.1398273927009559</v>
      </c>
      <c r="Z222" t="s">
        <v>1495</v>
      </c>
      <c r="AA222" t="s">
        <v>1498</v>
      </c>
      <c r="AB222" t="s">
        <v>1501</v>
      </c>
      <c r="AC222">
        <v>1</v>
      </c>
      <c r="AD222">
        <v>2024</v>
      </c>
      <c r="AE222" t="s">
        <v>2813</v>
      </c>
      <c r="AF222" t="s">
        <v>2825</v>
      </c>
      <c r="AG222" t="s">
        <v>2845</v>
      </c>
      <c r="AH222" t="s">
        <v>2848</v>
      </c>
      <c r="AI222">
        <v>1</v>
      </c>
    </row>
    <row r="223" spans="1:35" x14ac:dyDescent="0.3">
      <c r="A223" t="s">
        <v>221</v>
      </c>
      <c r="B223">
        <v>1</v>
      </c>
      <c r="C223" s="1">
        <v>45451</v>
      </c>
      <c r="D223" s="1">
        <v>45451</v>
      </c>
      <c r="E223" t="s">
        <v>1111</v>
      </c>
      <c r="F223" t="s">
        <v>1739</v>
      </c>
      <c r="G223" t="s">
        <v>1392</v>
      </c>
      <c r="H223" t="s">
        <v>2655</v>
      </c>
      <c r="I223" t="s">
        <v>2738</v>
      </c>
      <c r="J223" t="s">
        <v>2753</v>
      </c>
      <c r="K223" t="s">
        <v>1479</v>
      </c>
      <c r="L223" t="s">
        <v>2786</v>
      </c>
      <c r="M223" t="s">
        <v>2561</v>
      </c>
      <c r="N223" t="s">
        <v>2580</v>
      </c>
      <c r="O223" t="s">
        <v>2601</v>
      </c>
      <c r="P223" t="s">
        <v>2564</v>
      </c>
      <c r="Q223" t="s">
        <v>2582</v>
      </c>
      <c r="R223" t="s">
        <v>2601</v>
      </c>
      <c r="S223" t="s">
        <v>2608</v>
      </c>
      <c r="T223">
        <v>1</v>
      </c>
      <c r="U223" s="2">
        <v>17688.330000000002</v>
      </c>
      <c r="V223" s="3">
        <v>0</v>
      </c>
      <c r="W223" s="2">
        <v>17688.330000000002</v>
      </c>
      <c r="X223" s="2">
        <v>2903.89</v>
      </c>
      <c r="Y223" s="3">
        <v>0.16416982270231281</v>
      </c>
      <c r="Z223" t="s">
        <v>1497</v>
      </c>
      <c r="AA223" t="s">
        <v>1498</v>
      </c>
      <c r="AB223" t="s">
        <v>1501</v>
      </c>
      <c r="AC223">
        <v>0</v>
      </c>
      <c r="AD223">
        <v>2024</v>
      </c>
      <c r="AE223" t="s">
        <v>2813</v>
      </c>
      <c r="AF223" t="s">
        <v>2825</v>
      </c>
      <c r="AG223" t="s">
        <v>2845</v>
      </c>
      <c r="AH223" t="s">
        <v>2848</v>
      </c>
      <c r="AI223">
        <v>1</v>
      </c>
    </row>
    <row r="224" spans="1:35" x14ac:dyDescent="0.3">
      <c r="A224" t="s">
        <v>222</v>
      </c>
      <c r="B224">
        <v>1</v>
      </c>
      <c r="C224" s="1">
        <v>45451</v>
      </c>
      <c r="D224" s="1">
        <v>45451</v>
      </c>
      <c r="E224" t="s">
        <v>1112</v>
      </c>
      <c r="F224" t="s">
        <v>1726</v>
      </c>
      <c r="G224" t="s">
        <v>1383</v>
      </c>
      <c r="H224" t="s">
        <v>2726</v>
      </c>
      <c r="I224" t="s">
        <v>2742</v>
      </c>
      <c r="J224" t="s">
        <v>2771</v>
      </c>
      <c r="K224" t="s">
        <v>1486</v>
      </c>
      <c r="L224" t="s">
        <v>2776</v>
      </c>
      <c r="M224" t="s">
        <v>2562</v>
      </c>
      <c r="N224" t="s">
        <v>2574</v>
      </c>
      <c r="O224" t="s">
        <v>2602</v>
      </c>
      <c r="P224" t="s">
        <v>2551</v>
      </c>
      <c r="Q224" t="s">
        <v>2574</v>
      </c>
      <c r="R224" t="s">
        <v>2602</v>
      </c>
      <c r="S224" t="s">
        <v>2606</v>
      </c>
      <c r="T224">
        <v>1</v>
      </c>
      <c r="U224" s="2">
        <v>17693.080000000002</v>
      </c>
      <c r="V224" s="3">
        <v>0.05</v>
      </c>
      <c r="W224" s="2">
        <v>16808.43</v>
      </c>
      <c r="X224" s="2">
        <v>2661.39</v>
      </c>
      <c r="Y224" s="3">
        <v>0.15833662037441931</v>
      </c>
      <c r="Z224" t="s">
        <v>1494</v>
      </c>
      <c r="AA224" t="s">
        <v>1499</v>
      </c>
      <c r="AB224" t="s">
        <v>1501</v>
      </c>
      <c r="AC224">
        <v>0</v>
      </c>
      <c r="AD224">
        <v>2024</v>
      </c>
      <c r="AE224" t="s">
        <v>2813</v>
      </c>
      <c r="AF224" t="s">
        <v>2825</v>
      </c>
      <c r="AG224" t="s">
        <v>2845</v>
      </c>
      <c r="AH224" t="s">
        <v>2848</v>
      </c>
      <c r="AI224">
        <v>1</v>
      </c>
    </row>
    <row r="225" spans="1:35" x14ac:dyDescent="0.3">
      <c r="A225" t="s">
        <v>223</v>
      </c>
      <c r="B225">
        <v>1</v>
      </c>
      <c r="C225" s="1">
        <v>45452</v>
      </c>
      <c r="D225" s="1">
        <v>45455</v>
      </c>
      <c r="E225" t="s">
        <v>1067</v>
      </c>
      <c r="F225" t="s">
        <v>1734</v>
      </c>
      <c r="G225" t="s">
        <v>1446</v>
      </c>
      <c r="H225" t="s">
        <v>2713</v>
      </c>
      <c r="I225" t="s">
        <v>2741</v>
      </c>
      <c r="J225" t="s">
        <v>2766</v>
      </c>
      <c r="K225" t="s">
        <v>1480</v>
      </c>
      <c r="L225" t="s">
        <v>2789</v>
      </c>
      <c r="M225" t="s">
        <v>2570</v>
      </c>
      <c r="N225" t="s">
        <v>2590</v>
      </c>
      <c r="O225" t="s">
        <v>2605</v>
      </c>
      <c r="R225" t="s">
        <v>2790</v>
      </c>
      <c r="S225" t="s">
        <v>2606</v>
      </c>
      <c r="T225">
        <v>3</v>
      </c>
      <c r="U225" s="2">
        <v>242.83</v>
      </c>
      <c r="V225" s="3">
        <v>0</v>
      </c>
      <c r="W225" s="2">
        <v>728.49</v>
      </c>
      <c r="X225" s="2">
        <v>172.44</v>
      </c>
      <c r="Y225" s="3">
        <v>0.23670880863155291</v>
      </c>
      <c r="Z225" t="s">
        <v>1496</v>
      </c>
      <c r="AA225" t="s">
        <v>1498</v>
      </c>
      <c r="AB225" t="s">
        <v>1501</v>
      </c>
      <c r="AC225">
        <v>3</v>
      </c>
      <c r="AD225">
        <v>2024</v>
      </c>
      <c r="AE225" t="s">
        <v>2813</v>
      </c>
      <c r="AF225" t="s">
        <v>2825</v>
      </c>
      <c r="AG225" t="s">
        <v>2845</v>
      </c>
      <c r="AH225" t="s">
        <v>2848</v>
      </c>
      <c r="AI225">
        <v>1</v>
      </c>
    </row>
    <row r="226" spans="1:35" x14ac:dyDescent="0.3">
      <c r="A226" t="s">
        <v>224</v>
      </c>
      <c r="B226">
        <v>1</v>
      </c>
      <c r="C226" s="1">
        <v>45452</v>
      </c>
      <c r="E226" t="s">
        <v>994</v>
      </c>
      <c r="F226" t="s">
        <v>1694</v>
      </c>
      <c r="G226" t="s">
        <v>1369</v>
      </c>
      <c r="H226" t="s">
        <v>2725</v>
      </c>
      <c r="I226" t="s">
        <v>2742</v>
      </c>
      <c r="J226" t="s">
        <v>2770</v>
      </c>
      <c r="K226" t="s">
        <v>1480</v>
      </c>
      <c r="L226" t="s">
        <v>2789</v>
      </c>
      <c r="M226" t="s">
        <v>2571</v>
      </c>
      <c r="N226" t="s">
        <v>2588</v>
      </c>
      <c r="O226" t="s">
        <v>2605</v>
      </c>
      <c r="R226" t="s">
        <v>2790</v>
      </c>
      <c r="S226" t="s">
        <v>2606</v>
      </c>
      <c r="T226">
        <v>1</v>
      </c>
      <c r="U226" s="2">
        <v>23968.04</v>
      </c>
      <c r="V226" s="3">
        <v>0</v>
      </c>
      <c r="W226" s="2">
        <v>23968.04</v>
      </c>
      <c r="X226" s="2">
        <v>6696.92</v>
      </c>
      <c r="Y226" s="3">
        <v>0.27941041486913398</v>
      </c>
      <c r="Z226" t="s">
        <v>1495</v>
      </c>
      <c r="AA226" t="s">
        <v>1498</v>
      </c>
      <c r="AB226" t="s">
        <v>1503</v>
      </c>
      <c r="AD226">
        <v>2024</v>
      </c>
      <c r="AE226" t="s">
        <v>2813</v>
      </c>
      <c r="AF226" t="s">
        <v>2825</v>
      </c>
      <c r="AG226" t="s">
        <v>2845</v>
      </c>
      <c r="AH226" t="s">
        <v>2848</v>
      </c>
      <c r="AI226">
        <v>1</v>
      </c>
    </row>
    <row r="227" spans="1:35" x14ac:dyDescent="0.3">
      <c r="A227" t="s">
        <v>225</v>
      </c>
      <c r="B227">
        <v>1</v>
      </c>
      <c r="C227" s="1">
        <v>45453</v>
      </c>
      <c r="D227" s="1">
        <v>45453</v>
      </c>
      <c r="E227" t="s">
        <v>1045</v>
      </c>
      <c r="F227" t="s">
        <v>1686</v>
      </c>
      <c r="G227" t="s">
        <v>1386</v>
      </c>
      <c r="H227" t="s">
        <v>2686</v>
      </c>
      <c r="I227" t="s">
        <v>2740</v>
      </c>
      <c r="J227" t="s">
        <v>2760</v>
      </c>
      <c r="K227" t="s">
        <v>1487</v>
      </c>
      <c r="L227" t="s">
        <v>2785</v>
      </c>
      <c r="M227" t="s">
        <v>2550</v>
      </c>
      <c r="N227" t="s">
        <v>2573</v>
      </c>
      <c r="O227" t="s">
        <v>2601</v>
      </c>
      <c r="P227" t="s">
        <v>2550</v>
      </c>
      <c r="Q227" t="s">
        <v>2573</v>
      </c>
      <c r="R227" t="s">
        <v>2601</v>
      </c>
      <c r="S227" t="s">
        <v>2606</v>
      </c>
      <c r="T227">
        <v>1</v>
      </c>
      <c r="U227" s="2">
        <v>1094.7</v>
      </c>
      <c r="V227" s="3">
        <v>0.15</v>
      </c>
      <c r="W227" s="2">
        <v>930.5</v>
      </c>
      <c r="X227" s="2">
        <v>-100.22</v>
      </c>
      <c r="Y227" s="3">
        <v>-0.1077055346587856</v>
      </c>
      <c r="Z227" t="s">
        <v>1493</v>
      </c>
      <c r="AA227" t="s">
        <v>1499</v>
      </c>
      <c r="AB227" t="s">
        <v>1501</v>
      </c>
      <c r="AC227">
        <v>0</v>
      </c>
      <c r="AD227">
        <v>2024</v>
      </c>
      <c r="AE227" t="s">
        <v>2813</v>
      </c>
      <c r="AF227" t="s">
        <v>2825</v>
      </c>
      <c r="AG227" t="s">
        <v>2845</v>
      </c>
      <c r="AH227" t="s">
        <v>2848</v>
      </c>
      <c r="AI227">
        <v>1</v>
      </c>
    </row>
    <row r="228" spans="1:35" x14ac:dyDescent="0.3">
      <c r="A228" t="s">
        <v>226</v>
      </c>
      <c r="B228">
        <v>1</v>
      </c>
      <c r="C228" s="1">
        <v>45454</v>
      </c>
      <c r="D228" s="1">
        <v>45455</v>
      </c>
      <c r="E228" t="s">
        <v>1113</v>
      </c>
      <c r="F228" t="s">
        <v>1990</v>
      </c>
      <c r="G228" t="s">
        <v>1338</v>
      </c>
      <c r="H228" t="s">
        <v>2693</v>
      </c>
      <c r="I228" t="s">
        <v>2740</v>
      </c>
      <c r="J228" t="s">
        <v>2761</v>
      </c>
      <c r="K228" t="s">
        <v>1480</v>
      </c>
      <c r="L228" t="s">
        <v>2789</v>
      </c>
      <c r="M228" t="s">
        <v>2563</v>
      </c>
      <c r="N228" t="s">
        <v>2581</v>
      </c>
      <c r="O228" t="s">
        <v>2604</v>
      </c>
      <c r="R228" t="s">
        <v>2790</v>
      </c>
      <c r="S228" t="s">
        <v>2606</v>
      </c>
      <c r="T228">
        <v>2</v>
      </c>
      <c r="U228" s="2">
        <v>1151.02</v>
      </c>
      <c r="V228" s="3">
        <v>0</v>
      </c>
      <c r="W228" s="2">
        <v>2302.04</v>
      </c>
      <c r="X228" s="2">
        <v>299.10000000000002</v>
      </c>
      <c r="Y228" s="3">
        <v>0.12992823756320479</v>
      </c>
      <c r="Z228" t="s">
        <v>1495</v>
      </c>
      <c r="AA228" t="s">
        <v>1498</v>
      </c>
      <c r="AB228" t="s">
        <v>1501</v>
      </c>
      <c r="AC228">
        <v>1</v>
      </c>
      <c r="AD228">
        <v>2024</v>
      </c>
      <c r="AE228" t="s">
        <v>2813</v>
      </c>
      <c r="AF228" t="s">
        <v>2825</v>
      </c>
      <c r="AG228" t="s">
        <v>2845</v>
      </c>
      <c r="AH228" t="s">
        <v>2848</v>
      </c>
      <c r="AI228">
        <v>1</v>
      </c>
    </row>
    <row r="229" spans="1:35" x14ac:dyDescent="0.3">
      <c r="A229" t="s">
        <v>227</v>
      </c>
      <c r="B229">
        <v>2</v>
      </c>
      <c r="C229" s="1">
        <v>45454</v>
      </c>
      <c r="D229" s="1">
        <v>45455</v>
      </c>
      <c r="E229" t="s">
        <v>1114</v>
      </c>
      <c r="F229" t="s">
        <v>1687</v>
      </c>
      <c r="G229" t="s">
        <v>1350</v>
      </c>
      <c r="H229" t="s">
        <v>2634</v>
      </c>
      <c r="I229" t="s">
        <v>2737</v>
      </c>
      <c r="J229" t="s">
        <v>2747</v>
      </c>
      <c r="K229" t="s">
        <v>1480</v>
      </c>
      <c r="L229" t="s">
        <v>2789</v>
      </c>
      <c r="M229" t="s">
        <v>2568</v>
      </c>
      <c r="N229" t="s">
        <v>2586</v>
      </c>
      <c r="O229" t="s">
        <v>2603</v>
      </c>
      <c r="R229" t="s">
        <v>2790</v>
      </c>
      <c r="S229" t="s">
        <v>2607</v>
      </c>
      <c r="T229">
        <v>2</v>
      </c>
      <c r="U229" s="2">
        <v>53290.400000000001</v>
      </c>
      <c r="V229" s="3">
        <v>0</v>
      </c>
      <c r="W229" s="2">
        <v>106580.8</v>
      </c>
      <c r="X229" s="2">
        <v>14463.36</v>
      </c>
      <c r="Y229" s="3">
        <v>0.13570324110909279</v>
      </c>
      <c r="Z229" t="s">
        <v>1496</v>
      </c>
      <c r="AA229" t="s">
        <v>1498</v>
      </c>
      <c r="AB229" t="s">
        <v>1501</v>
      </c>
      <c r="AC229">
        <v>1</v>
      </c>
      <c r="AD229">
        <v>2024</v>
      </c>
      <c r="AE229" t="s">
        <v>2813</v>
      </c>
      <c r="AF229" t="s">
        <v>2825</v>
      </c>
      <c r="AG229" t="s">
        <v>2845</v>
      </c>
      <c r="AH229" t="s">
        <v>2848</v>
      </c>
      <c r="AI229">
        <v>1</v>
      </c>
    </row>
    <row r="230" spans="1:35" x14ac:dyDescent="0.3">
      <c r="A230" t="s">
        <v>228</v>
      </c>
      <c r="B230">
        <v>3</v>
      </c>
      <c r="C230" s="1">
        <v>45455</v>
      </c>
      <c r="D230" s="1">
        <v>45456</v>
      </c>
      <c r="E230" t="s">
        <v>1115</v>
      </c>
      <c r="F230" t="s">
        <v>1777</v>
      </c>
      <c r="G230" t="s">
        <v>1434</v>
      </c>
      <c r="H230" t="s">
        <v>2695</v>
      </c>
      <c r="I230" t="s">
        <v>2740</v>
      </c>
      <c r="J230" t="s">
        <v>2762</v>
      </c>
      <c r="K230" t="s">
        <v>1484</v>
      </c>
      <c r="L230" t="s">
        <v>2778</v>
      </c>
      <c r="M230" t="s">
        <v>2568</v>
      </c>
      <c r="N230" t="s">
        <v>2586</v>
      </c>
      <c r="O230" t="s">
        <v>2603</v>
      </c>
      <c r="P230" t="s">
        <v>2559</v>
      </c>
      <c r="Q230" t="s">
        <v>2559</v>
      </c>
      <c r="R230" t="s">
        <v>2603</v>
      </c>
      <c r="S230" t="s">
        <v>2608</v>
      </c>
      <c r="T230">
        <v>1</v>
      </c>
      <c r="U230" s="2">
        <v>994.69</v>
      </c>
      <c r="V230" s="3">
        <v>0</v>
      </c>
      <c r="W230" s="2">
        <v>994.69</v>
      </c>
      <c r="X230" s="2">
        <v>91.37</v>
      </c>
      <c r="Y230" s="3">
        <v>9.1857764730720118E-2</v>
      </c>
      <c r="Z230" t="s">
        <v>1493</v>
      </c>
      <c r="AA230" t="s">
        <v>1499</v>
      </c>
      <c r="AB230" t="s">
        <v>1501</v>
      </c>
      <c r="AC230">
        <v>1</v>
      </c>
      <c r="AD230">
        <v>2024</v>
      </c>
      <c r="AE230" t="s">
        <v>2813</v>
      </c>
      <c r="AF230" t="s">
        <v>2825</v>
      </c>
      <c r="AG230" t="s">
        <v>2845</v>
      </c>
      <c r="AH230" t="s">
        <v>2848</v>
      </c>
      <c r="AI230">
        <v>1</v>
      </c>
    </row>
    <row r="231" spans="1:35" x14ac:dyDescent="0.3">
      <c r="A231" t="s">
        <v>229</v>
      </c>
      <c r="B231">
        <v>1</v>
      </c>
      <c r="C231" s="1">
        <v>45457</v>
      </c>
      <c r="D231" s="1">
        <v>45458</v>
      </c>
      <c r="E231" t="s">
        <v>1116</v>
      </c>
      <c r="F231" t="s">
        <v>1799</v>
      </c>
      <c r="G231" t="s">
        <v>1447</v>
      </c>
      <c r="H231" t="s">
        <v>2728</v>
      </c>
      <c r="I231" t="s">
        <v>2742</v>
      </c>
      <c r="J231" t="s">
        <v>2771</v>
      </c>
      <c r="K231" t="s">
        <v>1480</v>
      </c>
      <c r="L231" t="s">
        <v>2789</v>
      </c>
      <c r="M231" t="s">
        <v>2570</v>
      </c>
      <c r="N231" t="s">
        <v>2590</v>
      </c>
      <c r="O231" t="s">
        <v>2605</v>
      </c>
      <c r="R231" t="s">
        <v>2790</v>
      </c>
      <c r="S231" t="s">
        <v>2606</v>
      </c>
      <c r="T231">
        <v>2</v>
      </c>
      <c r="U231" s="2">
        <v>4260.03</v>
      </c>
      <c r="V231" s="3">
        <v>0.1</v>
      </c>
      <c r="W231" s="2">
        <v>7668.05</v>
      </c>
      <c r="X231" s="2">
        <v>609.75</v>
      </c>
      <c r="Y231" s="3">
        <v>7.9518260835544891E-2</v>
      </c>
      <c r="Z231" t="s">
        <v>1495</v>
      </c>
      <c r="AA231" t="s">
        <v>1498</v>
      </c>
      <c r="AB231" t="s">
        <v>1501</v>
      </c>
      <c r="AC231">
        <v>1</v>
      </c>
      <c r="AD231">
        <v>2024</v>
      </c>
      <c r="AE231" t="s">
        <v>2813</v>
      </c>
      <c r="AF231" t="s">
        <v>2825</v>
      </c>
      <c r="AG231" t="s">
        <v>2845</v>
      </c>
      <c r="AH231" t="s">
        <v>2848</v>
      </c>
      <c r="AI231">
        <v>1</v>
      </c>
    </row>
    <row r="232" spans="1:35" x14ac:dyDescent="0.3">
      <c r="A232" t="s">
        <v>230</v>
      </c>
      <c r="B232">
        <v>1</v>
      </c>
      <c r="C232" s="1">
        <v>45458</v>
      </c>
      <c r="E232" t="s">
        <v>1117</v>
      </c>
      <c r="F232" t="s">
        <v>1797</v>
      </c>
      <c r="G232" t="s">
        <v>1357</v>
      </c>
      <c r="H232" t="s">
        <v>2689</v>
      </c>
      <c r="I232" t="s">
        <v>2740</v>
      </c>
      <c r="J232" t="s">
        <v>2760</v>
      </c>
      <c r="K232" t="s">
        <v>1480</v>
      </c>
      <c r="L232" t="s">
        <v>2789</v>
      </c>
      <c r="M232" t="s">
        <v>2557</v>
      </c>
      <c r="N232" t="s">
        <v>2576</v>
      </c>
      <c r="O232" t="s">
        <v>2602</v>
      </c>
      <c r="R232" t="s">
        <v>2790</v>
      </c>
      <c r="S232" t="s">
        <v>2606</v>
      </c>
      <c r="T232">
        <v>3</v>
      </c>
      <c r="U232" s="2">
        <v>986.91</v>
      </c>
      <c r="V232" s="3">
        <v>0</v>
      </c>
      <c r="W232" s="2">
        <v>2960.73</v>
      </c>
      <c r="X232" s="2">
        <v>386.19</v>
      </c>
      <c r="Y232" s="3">
        <v>0.13043742590509769</v>
      </c>
      <c r="Z232" t="s">
        <v>1496</v>
      </c>
      <c r="AA232" t="s">
        <v>1498</v>
      </c>
      <c r="AB232" t="s">
        <v>1503</v>
      </c>
      <c r="AD232">
        <v>2024</v>
      </c>
      <c r="AE232" t="s">
        <v>2813</v>
      </c>
      <c r="AF232" t="s">
        <v>2825</v>
      </c>
      <c r="AG232" t="s">
        <v>2845</v>
      </c>
      <c r="AH232" t="s">
        <v>2848</v>
      </c>
      <c r="AI232">
        <v>1</v>
      </c>
    </row>
    <row r="233" spans="1:35" x14ac:dyDescent="0.3">
      <c r="A233" t="s">
        <v>231</v>
      </c>
      <c r="B233">
        <v>1</v>
      </c>
      <c r="C233" s="1">
        <v>45458</v>
      </c>
      <c r="D233" s="1">
        <v>45459</v>
      </c>
      <c r="E233" t="s">
        <v>1044</v>
      </c>
      <c r="F233" t="s">
        <v>1816</v>
      </c>
      <c r="G233" t="s">
        <v>1362</v>
      </c>
      <c r="H233" t="s">
        <v>2714</v>
      </c>
      <c r="I233" t="s">
        <v>2741</v>
      </c>
      <c r="J233" t="s">
        <v>2767</v>
      </c>
      <c r="K233" t="s">
        <v>1492</v>
      </c>
      <c r="L233" t="s">
        <v>2788</v>
      </c>
      <c r="M233" t="s">
        <v>2550</v>
      </c>
      <c r="N233" t="s">
        <v>2573</v>
      </c>
      <c r="O233" t="s">
        <v>2601</v>
      </c>
      <c r="P233" t="s">
        <v>2554</v>
      </c>
      <c r="Q233" t="s">
        <v>2577</v>
      </c>
      <c r="R233" t="s">
        <v>2601</v>
      </c>
      <c r="S233" t="s">
        <v>2608</v>
      </c>
      <c r="T233">
        <v>1</v>
      </c>
      <c r="U233" s="2">
        <v>375.5</v>
      </c>
      <c r="V233" s="3">
        <v>0</v>
      </c>
      <c r="W233" s="2">
        <v>375.5</v>
      </c>
      <c r="X233" s="2">
        <v>146.15</v>
      </c>
      <c r="Y233" s="3">
        <v>0.38921438082556592</v>
      </c>
      <c r="Z233" t="s">
        <v>1496</v>
      </c>
      <c r="AA233" t="s">
        <v>1498</v>
      </c>
      <c r="AB233" t="s">
        <v>1501</v>
      </c>
      <c r="AC233">
        <v>1</v>
      </c>
      <c r="AD233">
        <v>2024</v>
      </c>
      <c r="AE233" t="s">
        <v>2813</v>
      </c>
      <c r="AF233" t="s">
        <v>2825</v>
      </c>
      <c r="AG233" t="s">
        <v>2845</v>
      </c>
      <c r="AH233" t="s">
        <v>2848</v>
      </c>
      <c r="AI233">
        <v>1</v>
      </c>
    </row>
    <row r="234" spans="1:35" x14ac:dyDescent="0.3">
      <c r="A234" t="s">
        <v>232</v>
      </c>
      <c r="B234">
        <v>2</v>
      </c>
      <c r="C234" s="1">
        <v>45458</v>
      </c>
      <c r="D234" s="1">
        <v>45460</v>
      </c>
      <c r="E234" t="s">
        <v>1038</v>
      </c>
      <c r="F234" t="s">
        <v>1898</v>
      </c>
      <c r="G234" t="s">
        <v>1412</v>
      </c>
      <c r="H234" t="s">
        <v>2615</v>
      </c>
      <c r="I234" t="s">
        <v>2737</v>
      </c>
      <c r="J234" t="s">
        <v>2743</v>
      </c>
      <c r="K234" t="s">
        <v>1480</v>
      </c>
      <c r="L234" t="s">
        <v>2789</v>
      </c>
      <c r="M234" t="s">
        <v>2570</v>
      </c>
      <c r="N234" t="s">
        <v>2590</v>
      </c>
      <c r="O234" t="s">
        <v>2605</v>
      </c>
      <c r="R234" t="s">
        <v>2790</v>
      </c>
      <c r="S234" t="s">
        <v>2607</v>
      </c>
      <c r="T234">
        <v>2</v>
      </c>
      <c r="U234" s="2">
        <v>78073.17</v>
      </c>
      <c r="V234" s="3">
        <v>0</v>
      </c>
      <c r="W234" s="2">
        <v>156146.34</v>
      </c>
      <c r="X234" s="2">
        <v>24376.62</v>
      </c>
      <c r="Y234" s="3">
        <v>0.15611393773302659</v>
      </c>
      <c r="Z234" t="s">
        <v>1495</v>
      </c>
      <c r="AA234" t="s">
        <v>1498</v>
      </c>
      <c r="AB234" t="s">
        <v>1501</v>
      </c>
      <c r="AC234">
        <v>2</v>
      </c>
      <c r="AD234">
        <v>2024</v>
      </c>
      <c r="AE234" t="s">
        <v>2813</v>
      </c>
      <c r="AF234" t="s">
        <v>2825</v>
      </c>
      <c r="AG234" t="s">
        <v>2845</v>
      </c>
      <c r="AH234" t="s">
        <v>2848</v>
      </c>
      <c r="AI234">
        <v>1</v>
      </c>
    </row>
    <row r="235" spans="1:35" x14ac:dyDescent="0.3">
      <c r="A235" t="s">
        <v>233</v>
      </c>
      <c r="B235">
        <v>1</v>
      </c>
      <c r="C235" s="1">
        <v>45459</v>
      </c>
      <c r="D235" s="1">
        <v>45461</v>
      </c>
      <c r="E235" t="s">
        <v>987</v>
      </c>
      <c r="F235" t="s">
        <v>2005</v>
      </c>
      <c r="G235" t="s">
        <v>1383</v>
      </c>
      <c r="H235" t="s">
        <v>2726</v>
      </c>
      <c r="I235" t="s">
        <v>2742</v>
      </c>
      <c r="J235" t="s">
        <v>2771</v>
      </c>
      <c r="K235" t="s">
        <v>1480</v>
      </c>
      <c r="L235" t="s">
        <v>2789</v>
      </c>
      <c r="M235" t="s">
        <v>2550</v>
      </c>
      <c r="N235" t="s">
        <v>2573</v>
      </c>
      <c r="O235" t="s">
        <v>2601</v>
      </c>
      <c r="R235" t="s">
        <v>2790</v>
      </c>
      <c r="S235" t="s">
        <v>2608</v>
      </c>
      <c r="T235">
        <v>2</v>
      </c>
      <c r="U235" s="2">
        <v>17693.080000000002</v>
      </c>
      <c r="V235" s="3">
        <v>0.15</v>
      </c>
      <c r="W235" s="2">
        <v>30078.240000000002</v>
      </c>
      <c r="X235" s="2">
        <v>1784.16</v>
      </c>
      <c r="Y235" s="3">
        <v>5.9317300480347251E-2</v>
      </c>
      <c r="Z235" t="s">
        <v>1496</v>
      </c>
      <c r="AA235" t="s">
        <v>1499</v>
      </c>
      <c r="AB235" t="s">
        <v>1501</v>
      </c>
      <c r="AC235">
        <v>2</v>
      </c>
      <c r="AD235">
        <v>2024</v>
      </c>
      <c r="AE235" t="s">
        <v>2813</v>
      </c>
      <c r="AF235" t="s">
        <v>2825</v>
      </c>
      <c r="AG235" t="s">
        <v>2845</v>
      </c>
      <c r="AH235" t="s">
        <v>2848</v>
      </c>
      <c r="AI235">
        <v>1</v>
      </c>
    </row>
    <row r="236" spans="1:35" x14ac:dyDescent="0.3">
      <c r="A236" t="s">
        <v>234</v>
      </c>
      <c r="B236">
        <v>1</v>
      </c>
      <c r="C236" s="1">
        <v>45460</v>
      </c>
      <c r="D236" s="1">
        <v>45460</v>
      </c>
      <c r="E236" t="s">
        <v>1118</v>
      </c>
      <c r="F236" t="s">
        <v>1789</v>
      </c>
      <c r="G236" t="s">
        <v>1405</v>
      </c>
      <c r="H236" t="s">
        <v>2639</v>
      </c>
      <c r="I236" t="s">
        <v>2737</v>
      </c>
      <c r="J236" t="s">
        <v>2748</v>
      </c>
      <c r="K236" t="s">
        <v>1492</v>
      </c>
      <c r="L236" t="s">
        <v>2788</v>
      </c>
      <c r="M236" t="s">
        <v>2564</v>
      </c>
      <c r="N236" t="s">
        <v>2582</v>
      </c>
      <c r="O236" t="s">
        <v>2601</v>
      </c>
      <c r="P236" t="s">
        <v>2554</v>
      </c>
      <c r="Q236" t="s">
        <v>2577</v>
      </c>
      <c r="R236" t="s">
        <v>2601</v>
      </c>
      <c r="S236" t="s">
        <v>2606</v>
      </c>
      <c r="T236">
        <v>2</v>
      </c>
      <c r="U236" s="2">
        <v>57633.32</v>
      </c>
      <c r="V236" s="3">
        <v>0</v>
      </c>
      <c r="W236" s="2">
        <v>115266.64</v>
      </c>
      <c r="X236" s="2">
        <v>14400.98</v>
      </c>
      <c r="Y236" s="3">
        <v>0.1249362348030618</v>
      </c>
      <c r="Z236" t="s">
        <v>1497</v>
      </c>
      <c r="AA236" t="s">
        <v>1498</v>
      </c>
      <c r="AB236" t="s">
        <v>1501</v>
      </c>
      <c r="AC236">
        <v>0</v>
      </c>
      <c r="AD236">
        <v>2024</v>
      </c>
      <c r="AE236" t="s">
        <v>2813</v>
      </c>
      <c r="AF236" t="s">
        <v>2825</v>
      </c>
      <c r="AG236" t="s">
        <v>2845</v>
      </c>
      <c r="AH236" t="s">
        <v>2848</v>
      </c>
      <c r="AI236">
        <v>1</v>
      </c>
    </row>
    <row r="237" spans="1:35" x14ac:dyDescent="0.3">
      <c r="A237" t="s">
        <v>235</v>
      </c>
      <c r="B237">
        <v>1</v>
      </c>
      <c r="C237" s="1">
        <v>45462</v>
      </c>
      <c r="D237" s="1">
        <v>45463</v>
      </c>
      <c r="E237" t="s">
        <v>1119</v>
      </c>
      <c r="F237" t="s">
        <v>1733</v>
      </c>
      <c r="G237" t="s">
        <v>1369</v>
      </c>
      <c r="H237" t="s">
        <v>2725</v>
      </c>
      <c r="I237" t="s">
        <v>2742</v>
      </c>
      <c r="J237" t="s">
        <v>2770</v>
      </c>
      <c r="K237" t="s">
        <v>1485</v>
      </c>
      <c r="L237" t="s">
        <v>2775</v>
      </c>
      <c r="M237" t="s">
        <v>2557</v>
      </c>
      <c r="N237" t="s">
        <v>2576</v>
      </c>
      <c r="O237" t="s">
        <v>2602</v>
      </c>
      <c r="P237" t="s">
        <v>2562</v>
      </c>
      <c r="Q237" t="s">
        <v>2574</v>
      </c>
      <c r="R237" t="s">
        <v>2602</v>
      </c>
      <c r="S237" t="s">
        <v>2606</v>
      </c>
      <c r="T237">
        <v>1</v>
      </c>
      <c r="U237" s="2">
        <v>23968.04</v>
      </c>
      <c r="V237" s="3">
        <v>0</v>
      </c>
      <c r="W237" s="2">
        <v>23968.04</v>
      </c>
      <c r="X237" s="2">
        <v>6696.92</v>
      </c>
      <c r="Y237" s="3">
        <v>0.27941041486913398</v>
      </c>
      <c r="Z237" t="s">
        <v>1497</v>
      </c>
      <c r="AA237" t="s">
        <v>1498</v>
      </c>
      <c r="AB237" t="s">
        <v>1501</v>
      </c>
      <c r="AC237">
        <v>1</v>
      </c>
      <c r="AD237">
        <v>2024</v>
      </c>
      <c r="AE237" t="s">
        <v>2813</v>
      </c>
      <c r="AF237" t="s">
        <v>2825</v>
      </c>
      <c r="AG237" t="s">
        <v>2845</v>
      </c>
      <c r="AH237" t="s">
        <v>2848</v>
      </c>
      <c r="AI237">
        <v>1</v>
      </c>
    </row>
    <row r="238" spans="1:35" x14ac:dyDescent="0.3">
      <c r="A238" t="s">
        <v>236</v>
      </c>
      <c r="B238">
        <v>1</v>
      </c>
      <c r="C238" s="1">
        <v>45462</v>
      </c>
      <c r="D238" s="1">
        <v>45462</v>
      </c>
      <c r="E238" t="s">
        <v>997</v>
      </c>
      <c r="F238" t="s">
        <v>1703</v>
      </c>
      <c r="G238" t="s">
        <v>1389</v>
      </c>
      <c r="H238" t="s">
        <v>2703</v>
      </c>
      <c r="I238" t="s">
        <v>2740</v>
      </c>
      <c r="J238" t="s">
        <v>2764</v>
      </c>
      <c r="K238" t="s">
        <v>1486</v>
      </c>
      <c r="L238" t="s">
        <v>2776</v>
      </c>
      <c r="M238" t="s">
        <v>2556</v>
      </c>
      <c r="N238" t="s">
        <v>2574</v>
      </c>
      <c r="O238" t="s">
        <v>2602</v>
      </c>
      <c r="P238" t="s">
        <v>2551</v>
      </c>
      <c r="Q238" t="s">
        <v>2574</v>
      </c>
      <c r="R238" t="s">
        <v>2602</v>
      </c>
      <c r="S238" t="s">
        <v>2606</v>
      </c>
      <c r="T238">
        <v>1</v>
      </c>
      <c r="U238" s="2">
        <v>676.97</v>
      </c>
      <c r="V238" s="3">
        <v>0</v>
      </c>
      <c r="W238" s="2">
        <v>676.97</v>
      </c>
      <c r="X238" s="2">
        <v>54.29</v>
      </c>
      <c r="Y238" s="3">
        <v>8.0195577352024455E-2</v>
      </c>
      <c r="Z238" t="s">
        <v>1495</v>
      </c>
      <c r="AA238" t="s">
        <v>1499</v>
      </c>
      <c r="AB238" t="s">
        <v>1501</v>
      </c>
      <c r="AC238">
        <v>0</v>
      </c>
      <c r="AD238">
        <v>2024</v>
      </c>
      <c r="AE238" t="s">
        <v>2813</v>
      </c>
      <c r="AF238" t="s">
        <v>2825</v>
      </c>
      <c r="AG238" t="s">
        <v>2845</v>
      </c>
      <c r="AH238" t="s">
        <v>2848</v>
      </c>
      <c r="AI238">
        <v>1</v>
      </c>
    </row>
    <row r="239" spans="1:35" x14ac:dyDescent="0.3">
      <c r="A239" t="s">
        <v>237</v>
      </c>
      <c r="B239">
        <v>1</v>
      </c>
      <c r="C239" s="1">
        <v>45463</v>
      </c>
      <c r="D239" s="1">
        <v>45464</v>
      </c>
      <c r="E239" t="s">
        <v>1075</v>
      </c>
      <c r="F239" t="s">
        <v>1664</v>
      </c>
      <c r="G239" t="s">
        <v>1364</v>
      </c>
      <c r="H239" t="s">
        <v>2699</v>
      </c>
      <c r="I239" t="s">
        <v>2740</v>
      </c>
      <c r="J239" t="s">
        <v>2762</v>
      </c>
      <c r="K239" t="s">
        <v>1480</v>
      </c>
      <c r="L239" t="s">
        <v>2789</v>
      </c>
      <c r="M239" t="s">
        <v>2570</v>
      </c>
      <c r="N239" t="s">
        <v>2590</v>
      </c>
      <c r="O239" t="s">
        <v>2605</v>
      </c>
      <c r="R239" t="s">
        <v>2790</v>
      </c>
      <c r="S239" t="s">
        <v>2606</v>
      </c>
      <c r="T239">
        <v>1</v>
      </c>
      <c r="U239" s="2">
        <v>590.01</v>
      </c>
      <c r="V239" s="3">
        <v>0.1</v>
      </c>
      <c r="W239" s="2">
        <v>531.01</v>
      </c>
      <c r="X239" s="2">
        <v>13.55</v>
      </c>
      <c r="Y239" s="3">
        <v>2.5517410218263311E-2</v>
      </c>
      <c r="Z239" t="s">
        <v>1497</v>
      </c>
      <c r="AA239" t="s">
        <v>1498</v>
      </c>
      <c r="AB239" t="s">
        <v>1501</v>
      </c>
      <c r="AC239">
        <v>1</v>
      </c>
      <c r="AD239">
        <v>2024</v>
      </c>
      <c r="AE239" t="s">
        <v>2813</v>
      </c>
      <c r="AF239" t="s">
        <v>2825</v>
      </c>
      <c r="AG239" t="s">
        <v>2845</v>
      </c>
      <c r="AH239" t="s">
        <v>2848</v>
      </c>
      <c r="AI239">
        <v>1</v>
      </c>
    </row>
    <row r="240" spans="1:35" x14ac:dyDescent="0.3">
      <c r="A240" t="s">
        <v>238</v>
      </c>
      <c r="B240">
        <v>3</v>
      </c>
      <c r="C240" s="1">
        <v>45464</v>
      </c>
      <c r="D240" s="1">
        <v>45464</v>
      </c>
      <c r="E240" t="s">
        <v>1047</v>
      </c>
      <c r="F240" t="s">
        <v>1763</v>
      </c>
      <c r="G240" t="s">
        <v>1332</v>
      </c>
      <c r="H240" t="s">
        <v>2630</v>
      </c>
      <c r="I240" t="s">
        <v>2737</v>
      </c>
      <c r="J240" t="s">
        <v>2746</v>
      </c>
      <c r="K240" t="s">
        <v>1479</v>
      </c>
      <c r="L240" t="s">
        <v>2786</v>
      </c>
      <c r="M240" t="s">
        <v>2550</v>
      </c>
      <c r="N240" t="s">
        <v>2573</v>
      </c>
      <c r="O240" t="s">
        <v>2601</v>
      </c>
      <c r="P240" t="s">
        <v>2564</v>
      </c>
      <c r="Q240" t="s">
        <v>2582</v>
      </c>
      <c r="R240" t="s">
        <v>2601</v>
      </c>
      <c r="S240" t="s">
        <v>2608</v>
      </c>
      <c r="T240">
        <v>1</v>
      </c>
      <c r="U240" s="2">
        <v>45652.65</v>
      </c>
      <c r="V240" s="3">
        <v>0.1</v>
      </c>
      <c r="W240" s="2">
        <v>41087.39</v>
      </c>
      <c r="X240" s="2">
        <v>2579.37</v>
      </c>
      <c r="Y240" s="3">
        <v>6.2777655139447885E-2</v>
      </c>
      <c r="Z240" t="s">
        <v>1495</v>
      </c>
      <c r="AA240" t="s">
        <v>1498</v>
      </c>
      <c r="AB240" t="s">
        <v>1501</v>
      </c>
      <c r="AC240">
        <v>0</v>
      </c>
      <c r="AD240">
        <v>2024</v>
      </c>
      <c r="AE240" t="s">
        <v>2813</v>
      </c>
      <c r="AF240" t="s">
        <v>2825</v>
      </c>
      <c r="AG240" t="s">
        <v>2845</v>
      </c>
      <c r="AH240" t="s">
        <v>2848</v>
      </c>
      <c r="AI240">
        <v>1</v>
      </c>
    </row>
    <row r="241" spans="1:35" x14ac:dyDescent="0.3">
      <c r="A241" t="s">
        <v>239</v>
      </c>
      <c r="B241">
        <v>1</v>
      </c>
      <c r="C241" s="1">
        <v>45465</v>
      </c>
      <c r="D241" s="1">
        <v>45466</v>
      </c>
      <c r="E241" t="s">
        <v>1017</v>
      </c>
      <c r="F241" t="s">
        <v>1898</v>
      </c>
      <c r="G241" t="s">
        <v>1448</v>
      </c>
      <c r="H241" t="s">
        <v>2679</v>
      </c>
      <c r="I241" t="s">
        <v>2739</v>
      </c>
      <c r="J241" t="s">
        <v>2758</v>
      </c>
      <c r="K241" t="s">
        <v>1485</v>
      </c>
      <c r="L241" t="s">
        <v>2775</v>
      </c>
      <c r="M241" t="s">
        <v>2551</v>
      </c>
      <c r="N241" t="s">
        <v>2574</v>
      </c>
      <c r="O241" t="s">
        <v>2602</v>
      </c>
      <c r="P241" t="s">
        <v>2562</v>
      </c>
      <c r="Q241" t="s">
        <v>2574</v>
      </c>
      <c r="R241" t="s">
        <v>2602</v>
      </c>
      <c r="S241" t="s">
        <v>2606</v>
      </c>
      <c r="T241">
        <v>2</v>
      </c>
      <c r="U241" s="2">
        <v>579.75</v>
      </c>
      <c r="V241" s="3">
        <v>0</v>
      </c>
      <c r="W241" s="2">
        <v>1159.5</v>
      </c>
      <c r="X241" s="2">
        <v>376.52</v>
      </c>
      <c r="Y241" s="3">
        <v>0.32472617507546347</v>
      </c>
      <c r="Z241" t="s">
        <v>1494</v>
      </c>
      <c r="AA241" t="s">
        <v>1498</v>
      </c>
      <c r="AB241" t="s">
        <v>1501</v>
      </c>
      <c r="AC241">
        <v>1</v>
      </c>
      <c r="AD241">
        <v>2024</v>
      </c>
      <c r="AE241" t="s">
        <v>2813</v>
      </c>
      <c r="AF241" t="s">
        <v>2825</v>
      </c>
      <c r="AG241" t="s">
        <v>2845</v>
      </c>
      <c r="AH241" t="s">
        <v>2848</v>
      </c>
      <c r="AI241">
        <v>1</v>
      </c>
    </row>
    <row r="242" spans="1:35" x14ac:dyDescent="0.3">
      <c r="A242" t="s">
        <v>240</v>
      </c>
      <c r="B242">
        <v>1</v>
      </c>
      <c r="C242" s="1">
        <v>45469</v>
      </c>
      <c r="D242" s="1">
        <v>45469</v>
      </c>
      <c r="E242" t="s">
        <v>1120</v>
      </c>
      <c r="F242" t="s">
        <v>1998</v>
      </c>
      <c r="G242" t="s">
        <v>1371</v>
      </c>
      <c r="H242" t="s">
        <v>2671</v>
      </c>
      <c r="I242" t="s">
        <v>2739</v>
      </c>
      <c r="J242" t="s">
        <v>2756</v>
      </c>
      <c r="K242" t="s">
        <v>1491</v>
      </c>
      <c r="L242" t="s">
        <v>2779</v>
      </c>
      <c r="M242" t="s">
        <v>2559</v>
      </c>
      <c r="N242" t="s">
        <v>2559</v>
      </c>
      <c r="O242" t="s">
        <v>2603</v>
      </c>
      <c r="P242" t="s">
        <v>2555</v>
      </c>
      <c r="Q242" t="s">
        <v>2578</v>
      </c>
      <c r="R242" t="s">
        <v>2603</v>
      </c>
      <c r="S242" t="s">
        <v>2606</v>
      </c>
      <c r="T242">
        <v>1</v>
      </c>
      <c r="U242" s="2">
        <v>5245.11</v>
      </c>
      <c r="V242" s="3">
        <v>0.05</v>
      </c>
      <c r="W242" s="2">
        <v>4982.8500000000004</v>
      </c>
      <c r="X242" s="2">
        <v>1681.69</v>
      </c>
      <c r="Y242" s="3">
        <v>0.33749560994210143</v>
      </c>
      <c r="Z242" t="s">
        <v>1495</v>
      </c>
      <c r="AA242" t="s">
        <v>1499</v>
      </c>
      <c r="AB242" t="s">
        <v>1501</v>
      </c>
      <c r="AC242">
        <v>0</v>
      </c>
      <c r="AD242">
        <v>2024</v>
      </c>
      <c r="AE242" t="s">
        <v>2813</v>
      </c>
      <c r="AF242" t="s">
        <v>2825</v>
      </c>
      <c r="AG242" t="s">
        <v>2845</v>
      </c>
      <c r="AH242" t="s">
        <v>2848</v>
      </c>
      <c r="AI242">
        <v>1</v>
      </c>
    </row>
    <row r="243" spans="1:35" x14ac:dyDescent="0.3">
      <c r="A243" t="s">
        <v>241</v>
      </c>
      <c r="B243">
        <v>2</v>
      </c>
      <c r="C243" s="1">
        <v>45471</v>
      </c>
      <c r="D243" s="1">
        <v>45472</v>
      </c>
      <c r="E243" t="s">
        <v>1121</v>
      </c>
      <c r="F243" t="s">
        <v>1885</v>
      </c>
      <c r="G243" t="s">
        <v>1430</v>
      </c>
      <c r="H243" t="s">
        <v>2698</v>
      </c>
      <c r="I243" t="s">
        <v>2740</v>
      </c>
      <c r="J243" t="s">
        <v>2762</v>
      </c>
      <c r="K243" t="s">
        <v>1480</v>
      </c>
      <c r="L243" t="s">
        <v>2789</v>
      </c>
      <c r="M243" t="s">
        <v>2558</v>
      </c>
      <c r="N243" t="s">
        <v>2558</v>
      </c>
      <c r="O243" t="s">
        <v>2603</v>
      </c>
      <c r="R243" t="s">
        <v>2790</v>
      </c>
      <c r="S243" t="s">
        <v>2606</v>
      </c>
      <c r="T243">
        <v>1</v>
      </c>
      <c r="U243" s="2">
        <v>1148.97</v>
      </c>
      <c r="V243" s="3">
        <v>0.15</v>
      </c>
      <c r="W243" s="2">
        <v>976.62</v>
      </c>
      <c r="X243" s="2">
        <v>-83.82</v>
      </c>
      <c r="Y243" s="3">
        <v>-8.5826626528230004E-2</v>
      </c>
      <c r="Z243" t="s">
        <v>1495</v>
      </c>
      <c r="AA243" t="s">
        <v>1498</v>
      </c>
      <c r="AB243" t="s">
        <v>1501</v>
      </c>
      <c r="AC243">
        <v>1</v>
      </c>
      <c r="AD243">
        <v>2024</v>
      </c>
      <c r="AE243" t="s">
        <v>2813</v>
      </c>
      <c r="AF243" t="s">
        <v>2825</v>
      </c>
      <c r="AG243" t="s">
        <v>2845</v>
      </c>
      <c r="AH243" t="s">
        <v>2848</v>
      </c>
      <c r="AI243">
        <v>1</v>
      </c>
    </row>
    <row r="244" spans="1:35" x14ac:dyDescent="0.3">
      <c r="A244" t="s">
        <v>242</v>
      </c>
      <c r="B244">
        <v>1</v>
      </c>
      <c r="C244" s="1">
        <v>45472</v>
      </c>
      <c r="E244" t="s">
        <v>1032</v>
      </c>
      <c r="F244" t="s">
        <v>1756</v>
      </c>
      <c r="G244" t="s">
        <v>1413</v>
      </c>
      <c r="H244" t="s">
        <v>2716</v>
      </c>
      <c r="I244" t="s">
        <v>2741</v>
      </c>
      <c r="J244" t="s">
        <v>2768</v>
      </c>
      <c r="K244" t="s">
        <v>1480</v>
      </c>
      <c r="L244" t="s">
        <v>2789</v>
      </c>
      <c r="M244" t="s">
        <v>2558</v>
      </c>
      <c r="N244" t="s">
        <v>2558</v>
      </c>
      <c r="O244" t="s">
        <v>2603</v>
      </c>
      <c r="R244" t="s">
        <v>2790</v>
      </c>
      <c r="S244" t="s">
        <v>2606</v>
      </c>
      <c r="T244">
        <v>1</v>
      </c>
      <c r="U244" s="2">
        <v>771.89</v>
      </c>
      <c r="V244" s="3">
        <v>0</v>
      </c>
      <c r="W244" s="2">
        <v>771.89</v>
      </c>
      <c r="X244" s="2">
        <v>220.44</v>
      </c>
      <c r="Y244" s="3">
        <v>0.28558473357602759</v>
      </c>
      <c r="Z244" t="s">
        <v>1494</v>
      </c>
      <c r="AA244" t="s">
        <v>1498</v>
      </c>
      <c r="AB244" t="s">
        <v>1503</v>
      </c>
      <c r="AD244">
        <v>2024</v>
      </c>
      <c r="AE244" t="s">
        <v>2813</v>
      </c>
      <c r="AF244" t="s">
        <v>2825</v>
      </c>
      <c r="AG244" t="s">
        <v>2845</v>
      </c>
      <c r="AH244" t="s">
        <v>2848</v>
      </c>
      <c r="AI244">
        <v>1</v>
      </c>
    </row>
    <row r="245" spans="1:35" x14ac:dyDescent="0.3">
      <c r="A245" t="s">
        <v>243</v>
      </c>
      <c r="B245">
        <v>2</v>
      </c>
      <c r="C245" s="1">
        <v>45473</v>
      </c>
      <c r="D245" s="1">
        <v>45473</v>
      </c>
      <c r="E245" t="s">
        <v>1122</v>
      </c>
      <c r="F245" t="s">
        <v>1783</v>
      </c>
      <c r="G245" t="s">
        <v>1424</v>
      </c>
      <c r="H245" t="s">
        <v>2624</v>
      </c>
      <c r="I245" t="s">
        <v>2737</v>
      </c>
      <c r="J245" t="s">
        <v>2745</v>
      </c>
      <c r="K245" t="s">
        <v>1482</v>
      </c>
      <c r="L245" t="s">
        <v>2783</v>
      </c>
      <c r="M245" t="s">
        <v>2569</v>
      </c>
      <c r="N245" t="s">
        <v>2587</v>
      </c>
      <c r="O245" t="s">
        <v>2604</v>
      </c>
      <c r="P245" t="s">
        <v>2560</v>
      </c>
      <c r="Q245" t="s">
        <v>2579</v>
      </c>
      <c r="R245" t="s">
        <v>2604</v>
      </c>
      <c r="S245" t="s">
        <v>2606</v>
      </c>
      <c r="T245">
        <v>3</v>
      </c>
      <c r="U245" s="2">
        <v>31609.79</v>
      </c>
      <c r="V245" s="3">
        <v>0</v>
      </c>
      <c r="W245" s="2">
        <v>94829.37</v>
      </c>
      <c r="X245" s="2">
        <v>10320.540000000001</v>
      </c>
      <c r="Y245" s="3">
        <v>0.10883273821180089</v>
      </c>
      <c r="Z245" t="s">
        <v>1497</v>
      </c>
      <c r="AA245" t="s">
        <v>1498</v>
      </c>
      <c r="AB245" t="s">
        <v>1501</v>
      </c>
      <c r="AC245">
        <v>0</v>
      </c>
      <c r="AD245">
        <v>2024</v>
      </c>
      <c r="AE245" t="s">
        <v>2813</v>
      </c>
      <c r="AF245" t="s">
        <v>2825</v>
      </c>
      <c r="AG245" t="s">
        <v>2845</v>
      </c>
      <c r="AH245" t="s">
        <v>2848</v>
      </c>
      <c r="AI245">
        <v>1</v>
      </c>
    </row>
    <row r="246" spans="1:35" x14ac:dyDescent="0.3">
      <c r="A246" t="s">
        <v>244</v>
      </c>
      <c r="B246">
        <v>1</v>
      </c>
      <c r="C246" s="1">
        <v>45474</v>
      </c>
      <c r="D246" s="1">
        <v>45475</v>
      </c>
      <c r="E246" t="s">
        <v>998</v>
      </c>
      <c r="F246" t="s">
        <v>1999</v>
      </c>
      <c r="G246" t="s">
        <v>1409</v>
      </c>
      <c r="H246" t="s">
        <v>2731</v>
      </c>
      <c r="I246" t="s">
        <v>2742</v>
      </c>
      <c r="J246" t="s">
        <v>2771</v>
      </c>
      <c r="K246" t="s">
        <v>1480</v>
      </c>
      <c r="L246" t="s">
        <v>2789</v>
      </c>
      <c r="M246" t="s">
        <v>2555</v>
      </c>
      <c r="N246" t="s">
        <v>2578</v>
      </c>
      <c r="O246" t="s">
        <v>2603</v>
      </c>
      <c r="R246" t="s">
        <v>2790</v>
      </c>
      <c r="S246" t="s">
        <v>2606</v>
      </c>
      <c r="T246">
        <v>1</v>
      </c>
      <c r="U246" s="2">
        <v>10956.72</v>
      </c>
      <c r="V246" s="3">
        <v>0.1</v>
      </c>
      <c r="W246" s="2">
        <v>9861.0499999999993</v>
      </c>
      <c r="X246" s="2">
        <v>1216.33</v>
      </c>
      <c r="Y246" s="3">
        <v>0.1233469052484269</v>
      </c>
      <c r="Z246" t="s">
        <v>1496</v>
      </c>
      <c r="AA246" t="s">
        <v>1498</v>
      </c>
      <c r="AB246" t="s">
        <v>1501</v>
      </c>
      <c r="AC246">
        <v>1</v>
      </c>
      <c r="AD246">
        <v>2024</v>
      </c>
      <c r="AE246" t="s">
        <v>2814</v>
      </c>
      <c r="AF246" t="s">
        <v>2826</v>
      </c>
      <c r="AG246" t="s">
        <v>2846</v>
      </c>
      <c r="AH246" t="s">
        <v>2848</v>
      </c>
      <c r="AI246">
        <v>1</v>
      </c>
    </row>
    <row r="247" spans="1:35" x14ac:dyDescent="0.3">
      <c r="A247" t="s">
        <v>245</v>
      </c>
      <c r="B247">
        <v>1</v>
      </c>
      <c r="C247" s="1">
        <v>45475</v>
      </c>
      <c r="D247" s="1">
        <v>45476</v>
      </c>
      <c r="E247" t="s">
        <v>1123</v>
      </c>
      <c r="F247" t="s">
        <v>1824</v>
      </c>
      <c r="G247" t="s">
        <v>1404</v>
      </c>
      <c r="H247" t="s">
        <v>2643</v>
      </c>
      <c r="I247" t="s">
        <v>2738</v>
      </c>
      <c r="J247" t="s">
        <v>2750</v>
      </c>
      <c r="K247" t="s">
        <v>1492</v>
      </c>
      <c r="L247" t="s">
        <v>2788</v>
      </c>
      <c r="M247" t="s">
        <v>2554</v>
      </c>
      <c r="N247" t="s">
        <v>2577</v>
      </c>
      <c r="O247" t="s">
        <v>2601</v>
      </c>
      <c r="P247" t="s">
        <v>2554</v>
      </c>
      <c r="Q247" t="s">
        <v>2577</v>
      </c>
      <c r="R247" t="s">
        <v>2601</v>
      </c>
      <c r="S247" t="s">
        <v>2606</v>
      </c>
      <c r="T247">
        <v>1</v>
      </c>
      <c r="U247" s="2">
        <v>44125.88</v>
      </c>
      <c r="V247" s="3">
        <v>0.2</v>
      </c>
      <c r="W247" s="2">
        <v>35300.699999999997</v>
      </c>
      <c r="X247" s="2">
        <v>986.01</v>
      </c>
      <c r="Y247" s="3">
        <v>2.7931740730353791E-2</v>
      </c>
      <c r="Z247" t="s">
        <v>1497</v>
      </c>
      <c r="AA247" t="s">
        <v>1499</v>
      </c>
      <c r="AB247" t="s">
        <v>1501</v>
      </c>
      <c r="AC247">
        <v>1</v>
      </c>
      <c r="AD247">
        <v>2024</v>
      </c>
      <c r="AE247" t="s">
        <v>2814</v>
      </c>
      <c r="AF247" t="s">
        <v>2826</v>
      </c>
      <c r="AG247" t="s">
        <v>2846</v>
      </c>
      <c r="AH247" t="s">
        <v>2848</v>
      </c>
      <c r="AI247">
        <v>1</v>
      </c>
    </row>
    <row r="248" spans="1:35" x14ac:dyDescent="0.3">
      <c r="A248" t="s">
        <v>246</v>
      </c>
      <c r="B248">
        <v>2</v>
      </c>
      <c r="C248" s="1">
        <v>45476</v>
      </c>
      <c r="D248" s="1">
        <v>45477</v>
      </c>
      <c r="E248" t="s">
        <v>1124</v>
      </c>
      <c r="F248" t="s">
        <v>1869</v>
      </c>
      <c r="G248" t="s">
        <v>1437</v>
      </c>
      <c r="H248" t="s">
        <v>2629</v>
      </c>
      <c r="I248" t="s">
        <v>2737</v>
      </c>
      <c r="J248" t="s">
        <v>2746</v>
      </c>
      <c r="K248" t="s">
        <v>1480</v>
      </c>
      <c r="L248" t="s">
        <v>2789</v>
      </c>
      <c r="M248" t="s">
        <v>2564</v>
      </c>
      <c r="N248" t="s">
        <v>2582</v>
      </c>
      <c r="O248" t="s">
        <v>2601</v>
      </c>
      <c r="R248" t="s">
        <v>2790</v>
      </c>
      <c r="S248" t="s">
        <v>2606</v>
      </c>
      <c r="T248">
        <v>1</v>
      </c>
      <c r="U248" s="2">
        <v>53802.83</v>
      </c>
      <c r="V248" s="3">
        <v>0</v>
      </c>
      <c r="W248" s="2">
        <v>53802.83</v>
      </c>
      <c r="X248" s="2">
        <v>6838.86</v>
      </c>
      <c r="Y248" s="3">
        <v>0.12710967062513251</v>
      </c>
      <c r="Z248" t="s">
        <v>1496</v>
      </c>
      <c r="AA248" t="s">
        <v>1499</v>
      </c>
      <c r="AB248" t="s">
        <v>1501</v>
      </c>
      <c r="AC248">
        <v>1</v>
      </c>
      <c r="AD248">
        <v>2024</v>
      </c>
      <c r="AE248" t="s">
        <v>2814</v>
      </c>
      <c r="AF248" t="s">
        <v>2826</v>
      </c>
      <c r="AG248" t="s">
        <v>2846</v>
      </c>
      <c r="AH248" t="s">
        <v>2848</v>
      </c>
      <c r="AI248">
        <v>1</v>
      </c>
    </row>
    <row r="249" spans="1:35" x14ac:dyDescent="0.3">
      <c r="A249" t="s">
        <v>247</v>
      </c>
      <c r="B249">
        <v>1</v>
      </c>
      <c r="C249" s="1">
        <v>45477</v>
      </c>
      <c r="D249" s="1">
        <v>45477</v>
      </c>
      <c r="E249" t="s">
        <v>1125</v>
      </c>
      <c r="F249" t="s">
        <v>1661</v>
      </c>
      <c r="G249" t="s">
        <v>1418</v>
      </c>
      <c r="H249" t="s">
        <v>2648</v>
      </c>
      <c r="I249" t="s">
        <v>2738</v>
      </c>
      <c r="J249" t="s">
        <v>2751</v>
      </c>
      <c r="K249" t="s">
        <v>1490</v>
      </c>
      <c r="L249" t="s">
        <v>2784</v>
      </c>
      <c r="M249" t="s">
        <v>2560</v>
      </c>
      <c r="N249" t="s">
        <v>2579</v>
      </c>
      <c r="O249" t="s">
        <v>2604</v>
      </c>
      <c r="P249" t="s">
        <v>2567</v>
      </c>
      <c r="Q249" t="s">
        <v>2585</v>
      </c>
      <c r="R249" t="s">
        <v>2604</v>
      </c>
      <c r="S249" t="s">
        <v>2606</v>
      </c>
      <c r="T249">
        <v>1</v>
      </c>
      <c r="U249" s="2">
        <v>30604.9</v>
      </c>
      <c r="V249" s="3">
        <v>0</v>
      </c>
      <c r="W249" s="2">
        <v>30604.9</v>
      </c>
      <c r="X249" s="2">
        <v>7928.17</v>
      </c>
      <c r="Y249" s="3">
        <v>0.25904904116661048</v>
      </c>
      <c r="Z249" t="s">
        <v>1497</v>
      </c>
      <c r="AA249" t="s">
        <v>1498</v>
      </c>
      <c r="AB249" t="s">
        <v>1501</v>
      </c>
      <c r="AC249">
        <v>0</v>
      </c>
      <c r="AD249">
        <v>2024</v>
      </c>
      <c r="AE249" t="s">
        <v>2814</v>
      </c>
      <c r="AF249" t="s">
        <v>2826</v>
      </c>
      <c r="AG249" t="s">
        <v>2846</v>
      </c>
      <c r="AH249" t="s">
        <v>2848</v>
      </c>
      <c r="AI249">
        <v>1</v>
      </c>
    </row>
    <row r="250" spans="1:35" x14ac:dyDescent="0.3">
      <c r="A250" t="s">
        <v>248</v>
      </c>
      <c r="B250">
        <v>1</v>
      </c>
      <c r="C250" s="1">
        <v>45477</v>
      </c>
      <c r="D250" s="1">
        <v>45477</v>
      </c>
      <c r="E250" t="s">
        <v>1125</v>
      </c>
      <c r="F250" t="s">
        <v>1661</v>
      </c>
      <c r="G250" t="s">
        <v>1378</v>
      </c>
      <c r="H250" t="s">
        <v>2704</v>
      </c>
      <c r="I250" t="s">
        <v>2740</v>
      </c>
      <c r="J250" t="s">
        <v>2764</v>
      </c>
      <c r="K250" t="s">
        <v>1478</v>
      </c>
      <c r="L250" t="s">
        <v>2782</v>
      </c>
      <c r="M250" t="s">
        <v>2560</v>
      </c>
      <c r="N250" t="s">
        <v>2579</v>
      </c>
      <c r="O250" t="s">
        <v>2604</v>
      </c>
      <c r="P250" t="s">
        <v>2565</v>
      </c>
      <c r="Q250" t="s">
        <v>2583</v>
      </c>
      <c r="R250" t="s">
        <v>2604</v>
      </c>
      <c r="S250" t="s">
        <v>2606</v>
      </c>
      <c r="T250">
        <v>2</v>
      </c>
      <c r="U250" s="2">
        <v>1378.78</v>
      </c>
      <c r="V250" s="3">
        <v>0.15</v>
      </c>
      <c r="W250" s="2">
        <v>2343.9299999999998</v>
      </c>
      <c r="X250" s="2">
        <v>-60.31</v>
      </c>
      <c r="Y250" s="3">
        <v>-2.5730290580350101E-2</v>
      </c>
      <c r="Z250" t="s">
        <v>1495</v>
      </c>
      <c r="AA250" t="s">
        <v>1498</v>
      </c>
      <c r="AB250" t="s">
        <v>1501</v>
      </c>
      <c r="AC250">
        <v>0</v>
      </c>
      <c r="AD250">
        <v>2024</v>
      </c>
      <c r="AE250" t="s">
        <v>2814</v>
      </c>
      <c r="AF250" t="s">
        <v>2826</v>
      </c>
      <c r="AG250" t="s">
        <v>2846</v>
      </c>
      <c r="AH250" t="s">
        <v>2848</v>
      </c>
      <c r="AI250">
        <v>1</v>
      </c>
    </row>
    <row r="251" spans="1:35" x14ac:dyDescent="0.3">
      <c r="A251" t="s">
        <v>249</v>
      </c>
      <c r="B251">
        <v>1</v>
      </c>
      <c r="C251" s="1">
        <v>45480</v>
      </c>
      <c r="D251" s="1">
        <v>45481</v>
      </c>
      <c r="E251" t="s">
        <v>1126</v>
      </c>
      <c r="F251" t="s">
        <v>1786</v>
      </c>
      <c r="G251" t="s">
        <v>1362</v>
      </c>
      <c r="H251" t="s">
        <v>2714</v>
      </c>
      <c r="I251" t="s">
        <v>2741</v>
      </c>
      <c r="J251" t="s">
        <v>2767</v>
      </c>
      <c r="K251" t="s">
        <v>1491</v>
      </c>
      <c r="L251" t="s">
        <v>2779</v>
      </c>
      <c r="M251" t="s">
        <v>2558</v>
      </c>
      <c r="N251" t="s">
        <v>2558</v>
      </c>
      <c r="O251" t="s">
        <v>2603</v>
      </c>
      <c r="P251" t="s">
        <v>2555</v>
      </c>
      <c r="Q251" t="s">
        <v>2578</v>
      </c>
      <c r="R251" t="s">
        <v>2603</v>
      </c>
      <c r="S251" t="s">
        <v>2606</v>
      </c>
      <c r="T251">
        <v>1</v>
      </c>
      <c r="U251" s="2">
        <v>375.5</v>
      </c>
      <c r="V251" s="3">
        <v>0</v>
      </c>
      <c r="W251" s="2">
        <v>375.5</v>
      </c>
      <c r="X251" s="2">
        <v>146.15</v>
      </c>
      <c r="Y251" s="3">
        <v>0.38921438082556592</v>
      </c>
      <c r="Z251" t="s">
        <v>1495</v>
      </c>
      <c r="AA251" t="s">
        <v>1498</v>
      </c>
      <c r="AB251" t="s">
        <v>1501</v>
      </c>
      <c r="AC251">
        <v>1</v>
      </c>
      <c r="AD251">
        <v>2024</v>
      </c>
      <c r="AE251" t="s">
        <v>2814</v>
      </c>
      <c r="AF251" t="s">
        <v>2826</v>
      </c>
      <c r="AG251" t="s">
        <v>2846</v>
      </c>
      <c r="AH251" t="s">
        <v>2848</v>
      </c>
      <c r="AI251">
        <v>1</v>
      </c>
    </row>
    <row r="252" spans="1:35" x14ac:dyDescent="0.3">
      <c r="A252" t="s">
        <v>250</v>
      </c>
      <c r="B252">
        <v>1</v>
      </c>
      <c r="C252" s="1">
        <v>45480</v>
      </c>
      <c r="D252" s="1">
        <v>45481</v>
      </c>
      <c r="E252" t="s">
        <v>992</v>
      </c>
      <c r="F252" t="s">
        <v>1698</v>
      </c>
      <c r="G252" t="s">
        <v>1449</v>
      </c>
      <c r="H252" t="s">
        <v>2642</v>
      </c>
      <c r="I252" t="s">
        <v>2738</v>
      </c>
      <c r="J252" t="s">
        <v>2750</v>
      </c>
      <c r="K252" t="s">
        <v>1480</v>
      </c>
      <c r="L252" t="s">
        <v>2789</v>
      </c>
      <c r="M252" t="s">
        <v>2556</v>
      </c>
      <c r="N252" t="s">
        <v>2574</v>
      </c>
      <c r="O252" t="s">
        <v>2602</v>
      </c>
      <c r="R252" t="s">
        <v>2790</v>
      </c>
      <c r="S252" t="s">
        <v>2606</v>
      </c>
      <c r="T252">
        <v>2</v>
      </c>
      <c r="U252" s="2">
        <v>22795.96</v>
      </c>
      <c r="V252" s="3">
        <v>0</v>
      </c>
      <c r="W252" s="2">
        <v>45591.92</v>
      </c>
      <c r="X252" s="2">
        <v>10194.620000000001</v>
      </c>
      <c r="Y252" s="3">
        <v>0.2236058494575355</v>
      </c>
      <c r="Z252" t="s">
        <v>1496</v>
      </c>
      <c r="AA252" t="s">
        <v>1498</v>
      </c>
      <c r="AB252" t="s">
        <v>1501</v>
      </c>
      <c r="AC252">
        <v>1</v>
      </c>
      <c r="AD252">
        <v>2024</v>
      </c>
      <c r="AE252" t="s">
        <v>2814</v>
      </c>
      <c r="AF252" t="s">
        <v>2826</v>
      </c>
      <c r="AG252" t="s">
        <v>2846</v>
      </c>
      <c r="AH252" t="s">
        <v>2848</v>
      </c>
      <c r="AI252">
        <v>1</v>
      </c>
    </row>
    <row r="253" spans="1:35" x14ac:dyDescent="0.3">
      <c r="A253" t="s">
        <v>251</v>
      </c>
      <c r="B253">
        <v>1</v>
      </c>
      <c r="C253" s="1">
        <v>45480</v>
      </c>
      <c r="D253" s="1">
        <v>45480</v>
      </c>
      <c r="E253" t="s">
        <v>1127</v>
      </c>
      <c r="F253" t="s">
        <v>1689</v>
      </c>
      <c r="G253" t="s">
        <v>1331</v>
      </c>
      <c r="H253" t="s">
        <v>2706</v>
      </c>
      <c r="I253" t="s">
        <v>2741</v>
      </c>
      <c r="J253" t="s">
        <v>2765</v>
      </c>
      <c r="K253" t="s">
        <v>1478</v>
      </c>
      <c r="L253" t="s">
        <v>2782</v>
      </c>
      <c r="M253" t="s">
        <v>2565</v>
      </c>
      <c r="N253" t="s">
        <v>2589</v>
      </c>
      <c r="O253" t="s">
        <v>2604</v>
      </c>
      <c r="P253" t="s">
        <v>2565</v>
      </c>
      <c r="Q253" t="s">
        <v>2583</v>
      </c>
      <c r="R253" t="s">
        <v>2604</v>
      </c>
      <c r="S253" t="s">
        <v>2606</v>
      </c>
      <c r="T253">
        <v>1</v>
      </c>
      <c r="U253" s="2">
        <v>1520.12</v>
      </c>
      <c r="V253" s="3">
        <v>0.15</v>
      </c>
      <c r="W253" s="2">
        <v>1292.0999999999999</v>
      </c>
      <c r="X253" s="2">
        <v>319.67</v>
      </c>
      <c r="Y253" s="3">
        <v>0.24740345174522099</v>
      </c>
      <c r="Z253" t="s">
        <v>1496</v>
      </c>
      <c r="AA253" t="s">
        <v>1498</v>
      </c>
      <c r="AB253" t="s">
        <v>1501</v>
      </c>
      <c r="AC253">
        <v>0</v>
      </c>
      <c r="AD253">
        <v>2024</v>
      </c>
      <c r="AE253" t="s">
        <v>2814</v>
      </c>
      <c r="AF253" t="s">
        <v>2826</v>
      </c>
      <c r="AG253" t="s">
        <v>2846</v>
      </c>
      <c r="AH253" t="s">
        <v>2848</v>
      </c>
      <c r="AI253">
        <v>1</v>
      </c>
    </row>
    <row r="254" spans="1:35" x14ac:dyDescent="0.3">
      <c r="A254" t="s">
        <v>252</v>
      </c>
      <c r="B254">
        <v>2</v>
      </c>
      <c r="C254" s="1">
        <v>45480</v>
      </c>
      <c r="D254" s="1">
        <v>45483</v>
      </c>
      <c r="E254" t="s">
        <v>986</v>
      </c>
      <c r="F254" t="s">
        <v>1955</v>
      </c>
      <c r="G254" t="s">
        <v>1391</v>
      </c>
      <c r="H254" t="s">
        <v>2719</v>
      </c>
      <c r="I254" t="s">
        <v>2741</v>
      </c>
      <c r="J254" t="s">
        <v>2768</v>
      </c>
      <c r="K254" t="s">
        <v>1480</v>
      </c>
      <c r="L254" t="s">
        <v>2789</v>
      </c>
      <c r="M254" t="s">
        <v>2568</v>
      </c>
      <c r="N254" t="s">
        <v>2586</v>
      </c>
      <c r="O254" t="s">
        <v>2603</v>
      </c>
      <c r="R254" t="s">
        <v>2790</v>
      </c>
      <c r="S254" t="s">
        <v>2606</v>
      </c>
      <c r="T254">
        <v>1</v>
      </c>
      <c r="U254" s="2">
        <v>1624.5</v>
      </c>
      <c r="V254" s="3">
        <v>0</v>
      </c>
      <c r="W254" s="2">
        <v>1624.5</v>
      </c>
      <c r="X254" s="2">
        <v>536.88</v>
      </c>
      <c r="Y254" s="3">
        <v>0.33048938134810713</v>
      </c>
      <c r="Z254" t="s">
        <v>1496</v>
      </c>
      <c r="AA254" t="s">
        <v>1498</v>
      </c>
      <c r="AB254" t="s">
        <v>1501</v>
      </c>
      <c r="AC254">
        <v>3</v>
      </c>
      <c r="AD254">
        <v>2024</v>
      </c>
      <c r="AE254" t="s">
        <v>2814</v>
      </c>
      <c r="AF254" t="s">
        <v>2826</v>
      </c>
      <c r="AG254" t="s">
        <v>2846</v>
      </c>
      <c r="AH254" t="s">
        <v>2848</v>
      </c>
      <c r="AI254">
        <v>1</v>
      </c>
    </row>
    <row r="255" spans="1:35" x14ac:dyDescent="0.3">
      <c r="A255" t="s">
        <v>253</v>
      </c>
      <c r="B255">
        <v>1</v>
      </c>
      <c r="C255" s="1">
        <v>45482</v>
      </c>
      <c r="D255" s="1">
        <v>45482</v>
      </c>
      <c r="E255" t="s">
        <v>989</v>
      </c>
      <c r="F255" t="s">
        <v>1758</v>
      </c>
      <c r="G255" t="s">
        <v>1448</v>
      </c>
      <c r="H255" t="s">
        <v>2679</v>
      </c>
      <c r="I255" t="s">
        <v>2739</v>
      </c>
      <c r="J255" t="s">
        <v>2758</v>
      </c>
      <c r="K255" t="s">
        <v>1478</v>
      </c>
      <c r="L255" t="s">
        <v>2782</v>
      </c>
      <c r="M255" t="s">
        <v>2563</v>
      </c>
      <c r="N255" t="s">
        <v>2581</v>
      </c>
      <c r="O255" t="s">
        <v>2604</v>
      </c>
      <c r="P255" t="s">
        <v>2565</v>
      </c>
      <c r="Q255" t="s">
        <v>2583</v>
      </c>
      <c r="R255" t="s">
        <v>2604</v>
      </c>
      <c r="S255" t="s">
        <v>2606</v>
      </c>
      <c r="T255">
        <v>1</v>
      </c>
      <c r="U255" s="2">
        <v>579.75</v>
      </c>
      <c r="V255" s="3">
        <v>0</v>
      </c>
      <c r="W255" s="2">
        <v>579.75</v>
      </c>
      <c r="X255" s="2">
        <v>188.26</v>
      </c>
      <c r="Y255" s="3">
        <v>0.32472617507546347</v>
      </c>
      <c r="Z255" t="s">
        <v>1494</v>
      </c>
      <c r="AA255" t="s">
        <v>1498</v>
      </c>
      <c r="AB255" t="s">
        <v>1501</v>
      </c>
      <c r="AC255">
        <v>0</v>
      </c>
      <c r="AD255">
        <v>2024</v>
      </c>
      <c r="AE255" t="s">
        <v>2814</v>
      </c>
      <c r="AF255" t="s">
        <v>2826</v>
      </c>
      <c r="AG255" t="s">
        <v>2846</v>
      </c>
      <c r="AH255" t="s">
        <v>2848</v>
      </c>
      <c r="AI255">
        <v>1</v>
      </c>
    </row>
    <row r="256" spans="1:35" x14ac:dyDescent="0.3">
      <c r="A256" t="s">
        <v>253</v>
      </c>
      <c r="B256">
        <v>2</v>
      </c>
      <c r="C256" s="1">
        <v>45482</v>
      </c>
      <c r="D256" s="1">
        <v>45482</v>
      </c>
      <c r="E256" t="s">
        <v>989</v>
      </c>
      <c r="F256" t="s">
        <v>1758</v>
      </c>
      <c r="G256" t="s">
        <v>1387</v>
      </c>
      <c r="H256" t="s">
        <v>2730</v>
      </c>
      <c r="I256" t="s">
        <v>2742</v>
      </c>
      <c r="J256" t="s">
        <v>2771</v>
      </c>
      <c r="K256" t="s">
        <v>1478</v>
      </c>
      <c r="L256" t="s">
        <v>2782</v>
      </c>
      <c r="M256" t="s">
        <v>2563</v>
      </c>
      <c r="N256" t="s">
        <v>2581</v>
      </c>
      <c r="O256" t="s">
        <v>2604</v>
      </c>
      <c r="P256" t="s">
        <v>2565</v>
      </c>
      <c r="Q256" t="s">
        <v>2583</v>
      </c>
      <c r="R256" t="s">
        <v>2604</v>
      </c>
      <c r="S256" t="s">
        <v>2606</v>
      </c>
      <c r="T256">
        <v>1</v>
      </c>
      <c r="U256" s="2">
        <v>2184.2199999999998</v>
      </c>
      <c r="V256" s="3">
        <v>0</v>
      </c>
      <c r="W256" s="2">
        <v>2184.2199999999998</v>
      </c>
      <c r="X256" s="2">
        <v>542.11</v>
      </c>
      <c r="Y256" s="3">
        <v>0.24819386325553289</v>
      </c>
      <c r="Z256" t="s">
        <v>1494</v>
      </c>
      <c r="AA256" t="s">
        <v>1498</v>
      </c>
      <c r="AB256" t="s">
        <v>1501</v>
      </c>
      <c r="AC256">
        <v>0</v>
      </c>
      <c r="AD256">
        <v>2024</v>
      </c>
      <c r="AE256" t="s">
        <v>2814</v>
      </c>
      <c r="AF256" t="s">
        <v>2826</v>
      </c>
      <c r="AG256" t="s">
        <v>2846</v>
      </c>
      <c r="AH256" t="s">
        <v>2848</v>
      </c>
      <c r="AI256">
        <v>0</v>
      </c>
    </row>
    <row r="257" spans="1:35" x14ac:dyDescent="0.3">
      <c r="A257" t="s">
        <v>254</v>
      </c>
      <c r="B257">
        <v>1</v>
      </c>
      <c r="C257" s="1">
        <v>45482</v>
      </c>
      <c r="D257" s="1">
        <v>45484</v>
      </c>
      <c r="E257" t="s">
        <v>965</v>
      </c>
      <c r="F257" t="s">
        <v>1685</v>
      </c>
      <c r="G257" t="s">
        <v>1406</v>
      </c>
      <c r="H257" t="s">
        <v>2712</v>
      </c>
      <c r="I257" t="s">
        <v>2741</v>
      </c>
      <c r="J257" t="s">
        <v>2766</v>
      </c>
      <c r="K257" t="s">
        <v>1480</v>
      </c>
      <c r="L257" t="s">
        <v>2789</v>
      </c>
      <c r="M257" t="s">
        <v>2569</v>
      </c>
      <c r="N257" t="s">
        <v>2587</v>
      </c>
      <c r="O257" t="s">
        <v>2604</v>
      </c>
      <c r="R257" t="s">
        <v>2790</v>
      </c>
      <c r="S257" t="s">
        <v>2608</v>
      </c>
      <c r="T257">
        <v>3</v>
      </c>
      <c r="U257" s="2">
        <v>150.38</v>
      </c>
      <c r="V257" s="3">
        <v>0</v>
      </c>
      <c r="W257" s="2">
        <v>451.14</v>
      </c>
      <c r="X257" s="2">
        <v>145.83000000000001</v>
      </c>
      <c r="Y257" s="3">
        <v>0.32324777231014767</v>
      </c>
      <c r="Z257" t="s">
        <v>1495</v>
      </c>
      <c r="AA257" t="s">
        <v>1498</v>
      </c>
      <c r="AB257" t="s">
        <v>1501</v>
      </c>
      <c r="AC257">
        <v>2</v>
      </c>
      <c r="AD257">
        <v>2024</v>
      </c>
      <c r="AE257" t="s">
        <v>2814</v>
      </c>
      <c r="AF257" t="s">
        <v>2826</v>
      </c>
      <c r="AG257" t="s">
        <v>2846</v>
      </c>
      <c r="AH257" t="s">
        <v>2848</v>
      </c>
      <c r="AI257">
        <v>1</v>
      </c>
    </row>
    <row r="258" spans="1:35" x14ac:dyDescent="0.3">
      <c r="A258" t="s">
        <v>255</v>
      </c>
      <c r="B258">
        <v>1</v>
      </c>
      <c r="C258" s="1">
        <v>45483</v>
      </c>
      <c r="D258" s="1">
        <v>45484</v>
      </c>
      <c r="E258" t="s">
        <v>1052</v>
      </c>
      <c r="F258" t="s">
        <v>1896</v>
      </c>
      <c r="G258" t="s">
        <v>1450</v>
      </c>
      <c r="H258" t="s">
        <v>2723</v>
      </c>
      <c r="I258" t="s">
        <v>2742</v>
      </c>
      <c r="J258" t="s">
        <v>2770</v>
      </c>
      <c r="K258" t="s">
        <v>1480</v>
      </c>
      <c r="L258" t="s">
        <v>2789</v>
      </c>
      <c r="M258" t="s">
        <v>2551</v>
      </c>
      <c r="N258" t="s">
        <v>2574</v>
      </c>
      <c r="O258" t="s">
        <v>2602</v>
      </c>
      <c r="R258" t="s">
        <v>2790</v>
      </c>
      <c r="S258" t="s">
        <v>2606</v>
      </c>
      <c r="T258">
        <v>1</v>
      </c>
      <c r="U258" s="2">
        <v>7983.56</v>
      </c>
      <c r="V258" s="3">
        <v>0.15</v>
      </c>
      <c r="W258" s="2">
        <v>6786.03</v>
      </c>
      <c r="X258" s="2">
        <v>770.82</v>
      </c>
      <c r="Y258" s="3">
        <v>0.1135892414268726</v>
      </c>
      <c r="Z258" t="s">
        <v>1496</v>
      </c>
      <c r="AA258" t="s">
        <v>1499</v>
      </c>
      <c r="AB258" t="s">
        <v>1501</v>
      </c>
      <c r="AC258">
        <v>1</v>
      </c>
      <c r="AD258">
        <v>2024</v>
      </c>
      <c r="AE258" t="s">
        <v>2814</v>
      </c>
      <c r="AF258" t="s">
        <v>2826</v>
      </c>
      <c r="AG258" t="s">
        <v>2846</v>
      </c>
      <c r="AH258" t="s">
        <v>2848</v>
      </c>
      <c r="AI258">
        <v>1</v>
      </c>
    </row>
    <row r="259" spans="1:35" x14ac:dyDescent="0.3">
      <c r="A259" t="s">
        <v>256</v>
      </c>
      <c r="B259">
        <v>1</v>
      </c>
      <c r="C259" s="1">
        <v>45484</v>
      </c>
      <c r="D259" s="1">
        <v>45487</v>
      </c>
      <c r="E259" t="s">
        <v>1128</v>
      </c>
      <c r="F259" t="s">
        <v>1888</v>
      </c>
      <c r="G259" t="s">
        <v>1393</v>
      </c>
      <c r="H259" t="s">
        <v>2683</v>
      </c>
      <c r="I259" t="s">
        <v>2739</v>
      </c>
      <c r="J259" t="s">
        <v>2759</v>
      </c>
      <c r="K259" t="s">
        <v>1480</v>
      </c>
      <c r="L259" t="s">
        <v>2789</v>
      </c>
      <c r="M259" t="s">
        <v>2555</v>
      </c>
      <c r="N259" t="s">
        <v>2578</v>
      </c>
      <c r="O259" t="s">
        <v>2603</v>
      </c>
      <c r="R259" t="s">
        <v>2790</v>
      </c>
      <c r="S259" t="s">
        <v>2606</v>
      </c>
      <c r="T259">
        <v>2</v>
      </c>
      <c r="U259" s="2">
        <v>3230.07</v>
      </c>
      <c r="V259" s="3">
        <v>0</v>
      </c>
      <c r="W259" s="2">
        <v>6460.14</v>
      </c>
      <c r="X259" s="2">
        <v>2723.04</v>
      </c>
      <c r="Y259" s="3">
        <v>0.42151408483407482</v>
      </c>
      <c r="Z259" t="s">
        <v>1496</v>
      </c>
      <c r="AA259" t="s">
        <v>1498</v>
      </c>
      <c r="AB259" t="s">
        <v>1501</v>
      </c>
      <c r="AC259">
        <v>3</v>
      </c>
      <c r="AD259">
        <v>2024</v>
      </c>
      <c r="AE259" t="s">
        <v>2814</v>
      </c>
      <c r="AF259" t="s">
        <v>2826</v>
      </c>
      <c r="AG259" t="s">
        <v>2846</v>
      </c>
      <c r="AH259" t="s">
        <v>2848</v>
      </c>
      <c r="AI259">
        <v>1</v>
      </c>
    </row>
    <row r="260" spans="1:35" x14ac:dyDescent="0.3">
      <c r="A260" t="s">
        <v>257</v>
      </c>
      <c r="B260">
        <v>1</v>
      </c>
      <c r="C260" s="1">
        <v>45484</v>
      </c>
      <c r="D260" s="1">
        <v>45484</v>
      </c>
      <c r="E260" t="s">
        <v>1129</v>
      </c>
      <c r="F260" t="s">
        <v>1900</v>
      </c>
      <c r="G260" t="s">
        <v>1340</v>
      </c>
      <c r="H260" t="s">
        <v>2680</v>
      </c>
      <c r="I260" t="s">
        <v>2739</v>
      </c>
      <c r="J260" t="s">
        <v>2758</v>
      </c>
      <c r="K260" t="s">
        <v>1481</v>
      </c>
      <c r="L260" t="s">
        <v>2777</v>
      </c>
      <c r="M260" t="s">
        <v>2562</v>
      </c>
      <c r="N260" t="s">
        <v>2574</v>
      </c>
      <c r="O260" t="s">
        <v>2602</v>
      </c>
      <c r="P260" t="s">
        <v>2557</v>
      </c>
      <c r="Q260" t="s">
        <v>2576</v>
      </c>
      <c r="R260" t="s">
        <v>2602</v>
      </c>
      <c r="S260" t="s">
        <v>2608</v>
      </c>
      <c r="T260">
        <v>1</v>
      </c>
      <c r="U260" s="2">
        <v>5570.6</v>
      </c>
      <c r="V260" s="3">
        <v>0.1</v>
      </c>
      <c r="W260" s="2">
        <v>5013.54</v>
      </c>
      <c r="X260" s="2">
        <v>946.01</v>
      </c>
      <c r="Y260" s="3">
        <v>0.1886910247050986</v>
      </c>
      <c r="Z260" t="s">
        <v>1496</v>
      </c>
      <c r="AA260" t="s">
        <v>1499</v>
      </c>
      <c r="AB260" t="s">
        <v>1502</v>
      </c>
      <c r="AC260">
        <v>0</v>
      </c>
      <c r="AD260">
        <v>2024</v>
      </c>
      <c r="AE260" t="s">
        <v>2814</v>
      </c>
      <c r="AF260" t="s">
        <v>2826</v>
      </c>
      <c r="AG260" t="s">
        <v>2846</v>
      </c>
      <c r="AH260" t="s">
        <v>2848</v>
      </c>
      <c r="AI260">
        <v>1</v>
      </c>
    </row>
    <row r="261" spans="1:35" x14ac:dyDescent="0.3">
      <c r="A261" t="s">
        <v>258</v>
      </c>
      <c r="B261">
        <v>1</v>
      </c>
      <c r="C261" s="1">
        <v>45485</v>
      </c>
      <c r="D261" s="1">
        <v>45486</v>
      </c>
      <c r="E261" t="s">
        <v>1130</v>
      </c>
      <c r="F261" t="s">
        <v>1723</v>
      </c>
      <c r="G261" t="s">
        <v>1392</v>
      </c>
      <c r="H261" t="s">
        <v>2655</v>
      </c>
      <c r="I261" t="s">
        <v>2738</v>
      </c>
      <c r="J261" t="s">
        <v>2753</v>
      </c>
      <c r="K261" t="s">
        <v>1481</v>
      </c>
      <c r="L261" t="s">
        <v>2777</v>
      </c>
      <c r="M261" t="s">
        <v>2556</v>
      </c>
      <c r="N261" t="s">
        <v>2574</v>
      </c>
      <c r="O261" t="s">
        <v>2602</v>
      </c>
      <c r="P261" t="s">
        <v>2557</v>
      </c>
      <c r="Q261" t="s">
        <v>2576</v>
      </c>
      <c r="R261" t="s">
        <v>2602</v>
      </c>
      <c r="S261" t="s">
        <v>2606</v>
      </c>
      <c r="T261">
        <v>2</v>
      </c>
      <c r="U261" s="2">
        <v>17688.330000000002</v>
      </c>
      <c r="V261" s="3">
        <v>0</v>
      </c>
      <c r="W261" s="2">
        <v>35376.660000000003</v>
      </c>
      <c r="X261" s="2">
        <v>5807.78</v>
      </c>
      <c r="Y261" s="3">
        <v>0.16416982270231281</v>
      </c>
      <c r="Z261" t="s">
        <v>1495</v>
      </c>
      <c r="AA261" t="s">
        <v>1498</v>
      </c>
      <c r="AB261" t="s">
        <v>1501</v>
      </c>
      <c r="AC261">
        <v>1</v>
      </c>
      <c r="AD261">
        <v>2024</v>
      </c>
      <c r="AE261" t="s">
        <v>2814</v>
      </c>
      <c r="AF261" t="s">
        <v>2826</v>
      </c>
      <c r="AG261" t="s">
        <v>2846</v>
      </c>
      <c r="AH261" t="s">
        <v>2848</v>
      </c>
      <c r="AI261">
        <v>1</v>
      </c>
    </row>
    <row r="262" spans="1:35" x14ac:dyDescent="0.3">
      <c r="A262" t="s">
        <v>259</v>
      </c>
      <c r="B262">
        <v>1</v>
      </c>
      <c r="C262" s="1">
        <v>45486</v>
      </c>
      <c r="D262" s="1">
        <v>45487</v>
      </c>
      <c r="E262" t="s">
        <v>1131</v>
      </c>
      <c r="F262" t="s">
        <v>1943</v>
      </c>
      <c r="G262" t="s">
        <v>1402</v>
      </c>
      <c r="H262" t="s">
        <v>2690</v>
      </c>
      <c r="I262" t="s">
        <v>2740</v>
      </c>
      <c r="J262" t="s">
        <v>2761</v>
      </c>
      <c r="K262" t="s">
        <v>1485</v>
      </c>
      <c r="L262" t="s">
        <v>2775</v>
      </c>
      <c r="M262" t="s">
        <v>2556</v>
      </c>
      <c r="N262" t="s">
        <v>2574</v>
      </c>
      <c r="O262" t="s">
        <v>2602</v>
      </c>
      <c r="P262" t="s">
        <v>2562</v>
      </c>
      <c r="Q262" t="s">
        <v>2574</v>
      </c>
      <c r="R262" t="s">
        <v>2602</v>
      </c>
      <c r="S262" t="s">
        <v>2608</v>
      </c>
      <c r="T262">
        <v>1</v>
      </c>
      <c r="U262" s="2">
        <v>1419.44</v>
      </c>
      <c r="V262" s="3">
        <v>0</v>
      </c>
      <c r="W262" s="2">
        <v>1419.44</v>
      </c>
      <c r="X262" s="2">
        <v>106.94</v>
      </c>
      <c r="Y262" s="3">
        <v>7.5339570534858818E-2</v>
      </c>
      <c r="Z262" t="s">
        <v>1496</v>
      </c>
      <c r="AA262" t="s">
        <v>1498</v>
      </c>
      <c r="AB262" t="s">
        <v>1501</v>
      </c>
      <c r="AC262">
        <v>1</v>
      </c>
      <c r="AD262">
        <v>2024</v>
      </c>
      <c r="AE262" t="s">
        <v>2814</v>
      </c>
      <c r="AF262" t="s">
        <v>2826</v>
      </c>
      <c r="AG262" t="s">
        <v>2846</v>
      </c>
      <c r="AH262" t="s">
        <v>2848</v>
      </c>
      <c r="AI262">
        <v>1</v>
      </c>
    </row>
    <row r="263" spans="1:35" x14ac:dyDescent="0.3">
      <c r="A263" t="s">
        <v>260</v>
      </c>
      <c r="B263">
        <v>1</v>
      </c>
      <c r="C263" s="1">
        <v>45487</v>
      </c>
      <c r="D263" s="1">
        <v>45488</v>
      </c>
      <c r="E263" t="s">
        <v>1132</v>
      </c>
      <c r="F263" t="s">
        <v>1966</v>
      </c>
      <c r="G263" t="s">
        <v>1380</v>
      </c>
      <c r="H263" t="s">
        <v>2701</v>
      </c>
      <c r="I263" t="s">
        <v>2740</v>
      </c>
      <c r="J263" t="s">
        <v>2764</v>
      </c>
      <c r="K263" t="s">
        <v>1492</v>
      </c>
      <c r="L263" t="s">
        <v>2788</v>
      </c>
      <c r="M263" t="s">
        <v>2554</v>
      </c>
      <c r="N263" t="s">
        <v>2577</v>
      </c>
      <c r="O263" t="s">
        <v>2601</v>
      </c>
      <c r="P263" t="s">
        <v>2554</v>
      </c>
      <c r="Q263" t="s">
        <v>2577</v>
      </c>
      <c r="R263" t="s">
        <v>2601</v>
      </c>
      <c r="S263" t="s">
        <v>2606</v>
      </c>
      <c r="T263">
        <v>2</v>
      </c>
      <c r="U263" s="2">
        <v>694.66</v>
      </c>
      <c r="V263" s="3">
        <v>0.1</v>
      </c>
      <c r="W263" s="2">
        <v>1250.3900000000001</v>
      </c>
      <c r="X263" s="2">
        <v>45.21</v>
      </c>
      <c r="Y263" s="3">
        <v>3.6156719103639663E-2</v>
      </c>
      <c r="Z263" t="s">
        <v>1496</v>
      </c>
      <c r="AA263" t="s">
        <v>1498</v>
      </c>
      <c r="AB263" t="s">
        <v>1501</v>
      </c>
      <c r="AC263">
        <v>1</v>
      </c>
      <c r="AD263">
        <v>2024</v>
      </c>
      <c r="AE263" t="s">
        <v>2814</v>
      </c>
      <c r="AF263" t="s">
        <v>2826</v>
      </c>
      <c r="AG263" t="s">
        <v>2846</v>
      </c>
      <c r="AH263" t="s">
        <v>2848</v>
      </c>
      <c r="AI263">
        <v>1</v>
      </c>
    </row>
    <row r="264" spans="1:35" x14ac:dyDescent="0.3">
      <c r="A264" t="s">
        <v>261</v>
      </c>
      <c r="B264">
        <v>1</v>
      </c>
      <c r="C264" s="1">
        <v>45488</v>
      </c>
      <c r="D264" s="1">
        <v>45489</v>
      </c>
      <c r="E264" t="s">
        <v>998</v>
      </c>
      <c r="F264" t="s">
        <v>1999</v>
      </c>
      <c r="G264" t="s">
        <v>1416</v>
      </c>
      <c r="H264" t="s">
        <v>2700</v>
      </c>
      <c r="I264" t="s">
        <v>2740</v>
      </c>
      <c r="J264" t="s">
        <v>2763</v>
      </c>
      <c r="K264" t="s">
        <v>1480</v>
      </c>
      <c r="L264" t="s">
        <v>2789</v>
      </c>
      <c r="M264" t="s">
        <v>2555</v>
      </c>
      <c r="N264" t="s">
        <v>2578</v>
      </c>
      <c r="O264" t="s">
        <v>2603</v>
      </c>
      <c r="R264" t="s">
        <v>2790</v>
      </c>
      <c r="S264" t="s">
        <v>2606</v>
      </c>
      <c r="T264">
        <v>1</v>
      </c>
      <c r="U264" s="2">
        <v>1404.87</v>
      </c>
      <c r="V264" s="3">
        <v>0.05</v>
      </c>
      <c r="W264" s="2">
        <v>1334.63</v>
      </c>
      <c r="X264" s="2">
        <v>109.63</v>
      </c>
      <c r="Y264" s="3">
        <v>8.2142616305642749E-2</v>
      </c>
      <c r="Z264" t="s">
        <v>1495</v>
      </c>
      <c r="AA264" t="s">
        <v>1498</v>
      </c>
      <c r="AB264" t="s">
        <v>1501</v>
      </c>
      <c r="AC264">
        <v>1</v>
      </c>
      <c r="AD264">
        <v>2024</v>
      </c>
      <c r="AE264" t="s">
        <v>2814</v>
      </c>
      <c r="AF264" t="s">
        <v>2826</v>
      </c>
      <c r="AG264" t="s">
        <v>2846</v>
      </c>
      <c r="AH264" t="s">
        <v>2848</v>
      </c>
      <c r="AI264">
        <v>1</v>
      </c>
    </row>
    <row r="265" spans="1:35" x14ac:dyDescent="0.3">
      <c r="A265" t="s">
        <v>262</v>
      </c>
      <c r="B265">
        <v>1</v>
      </c>
      <c r="C265" s="1">
        <v>45488</v>
      </c>
      <c r="D265" s="1">
        <v>45488</v>
      </c>
      <c r="E265" t="s">
        <v>1133</v>
      </c>
      <c r="F265" t="s">
        <v>1823</v>
      </c>
      <c r="G265" t="s">
        <v>1408</v>
      </c>
      <c r="H265" t="s">
        <v>2680</v>
      </c>
      <c r="I265" t="s">
        <v>2739</v>
      </c>
      <c r="J265" t="s">
        <v>2758</v>
      </c>
      <c r="K265" t="s">
        <v>1481</v>
      </c>
      <c r="L265" t="s">
        <v>2777</v>
      </c>
      <c r="M265" t="s">
        <v>2562</v>
      </c>
      <c r="N265" t="s">
        <v>2574</v>
      </c>
      <c r="O265" t="s">
        <v>2602</v>
      </c>
      <c r="P265" t="s">
        <v>2557</v>
      </c>
      <c r="Q265" t="s">
        <v>2576</v>
      </c>
      <c r="R265" t="s">
        <v>2602</v>
      </c>
      <c r="S265" t="s">
        <v>2606</v>
      </c>
      <c r="T265">
        <v>1</v>
      </c>
      <c r="U265" s="2">
        <v>3284.39</v>
      </c>
      <c r="V265" s="3">
        <v>0.15</v>
      </c>
      <c r="W265" s="2">
        <v>2791.73</v>
      </c>
      <c r="X265" s="2">
        <v>395.22</v>
      </c>
      <c r="Y265" s="3">
        <v>0.1415681315886565</v>
      </c>
      <c r="Z265" t="s">
        <v>1495</v>
      </c>
      <c r="AA265" t="s">
        <v>1498</v>
      </c>
      <c r="AB265" t="s">
        <v>1501</v>
      </c>
      <c r="AC265">
        <v>0</v>
      </c>
      <c r="AD265">
        <v>2024</v>
      </c>
      <c r="AE265" t="s">
        <v>2814</v>
      </c>
      <c r="AF265" t="s">
        <v>2826</v>
      </c>
      <c r="AG265" t="s">
        <v>2846</v>
      </c>
      <c r="AH265" t="s">
        <v>2848</v>
      </c>
      <c r="AI265">
        <v>1</v>
      </c>
    </row>
    <row r="266" spans="1:35" x14ac:dyDescent="0.3">
      <c r="A266" t="s">
        <v>263</v>
      </c>
      <c r="B266">
        <v>1</v>
      </c>
      <c r="C266" s="1">
        <v>45489</v>
      </c>
      <c r="E266" t="s">
        <v>1134</v>
      </c>
      <c r="F266" t="s">
        <v>1918</v>
      </c>
      <c r="G266" t="s">
        <v>1360</v>
      </c>
      <c r="H266" t="s">
        <v>2696</v>
      </c>
      <c r="I266" t="s">
        <v>2740</v>
      </c>
      <c r="J266" t="s">
        <v>2762</v>
      </c>
      <c r="K266" t="s">
        <v>1480</v>
      </c>
      <c r="L266" t="s">
        <v>2789</v>
      </c>
      <c r="M266" t="s">
        <v>2558</v>
      </c>
      <c r="N266" t="s">
        <v>2558</v>
      </c>
      <c r="O266" t="s">
        <v>2603</v>
      </c>
      <c r="R266" t="s">
        <v>2790</v>
      </c>
      <c r="S266" t="s">
        <v>2608</v>
      </c>
      <c r="T266">
        <v>2</v>
      </c>
      <c r="U266" s="2">
        <v>1166.3499999999999</v>
      </c>
      <c r="V266" s="3">
        <v>0</v>
      </c>
      <c r="W266" s="2">
        <v>2332.6999999999998</v>
      </c>
      <c r="X266" s="2">
        <v>273.22000000000003</v>
      </c>
      <c r="Y266" s="3">
        <v>0.11712607707806411</v>
      </c>
      <c r="Z266" t="s">
        <v>1494</v>
      </c>
      <c r="AA266" t="s">
        <v>1498</v>
      </c>
      <c r="AB266" t="s">
        <v>1503</v>
      </c>
      <c r="AD266">
        <v>2024</v>
      </c>
      <c r="AE266" t="s">
        <v>2814</v>
      </c>
      <c r="AF266" t="s">
        <v>2826</v>
      </c>
      <c r="AG266" t="s">
        <v>2846</v>
      </c>
      <c r="AH266" t="s">
        <v>2848</v>
      </c>
      <c r="AI266">
        <v>1</v>
      </c>
    </row>
    <row r="267" spans="1:35" x14ac:dyDescent="0.3">
      <c r="A267" t="s">
        <v>264</v>
      </c>
      <c r="B267">
        <v>1</v>
      </c>
      <c r="C267" s="1">
        <v>45491</v>
      </c>
      <c r="D267" s="1">
        <v>45491</v>
      </c>
      <c r="E267" t="s">
        <v>1100</v>
      </c>
      <c r="F267" t="s">
        <v>1954</v>
      </c>
      <c r="G267" t="s">
        <v>1431</v>
      </c>
      <c r="H267" t="s">
        <v>2658</v>
      </c>
      <c r="I267" t="s">
        <v>2738</v>
      </c>
      <c r="J267" t="s">
        <v>2754</v>
      </c>
      <c r="K267" t="s">
        <v>1481</v>
      </c>
      <c r="L267" t="s">
        <v>2777</v>
      </c>
      <c r="M267" t="s">
        <v>2556</v>
      </c>
      <c r="N267" t="s">
        <v>2574</v>
      </c>
      <c r="O267" t="s">
        <v>2602</v>
      </c>
      <c r="P267" t="s">
        <v>2557</v>
      </c>
      <c r="Q267" t="s">
        <v>2576</v>
      </c>
      <c r="R267" t="s">
        <v>2602</v>
      </c>
      <c r="S267" t="s">
        <v>2608</v>
      </c>
      <c r="T267">
        <v>2</v>
      </c>
      <c r="U267" s="2">
        <v>9677.85</v>
      </c>
      <c r="V267" s="3">
        <v>0</v>
      </c>
      <c r="W267" s="2">
        <v>19355.7</v>
      </c>
      <c r="X267" s="2">
        <v>3804.34</v>
      </c>
      <c r="Y267" s="3">
        <v>0.19654882024416581</v>
      </c>
      <c r="Z267" t="s">
        <v>1494</v>
      </c>
      <c r="AA267" t="s">
        <v>1499</v>
      </c>
      <c r="AB267" t="s">
        <v>1501</v>
      </c>
      <c r="AC267">
        <v>0</v>
      </c>
      <c r="AD267">
        <v>2024</v>
      </c>
      <c r="AE267" t="s">
        <v>2814</v>
      </c>
      <c r="AF267" t="s">
        <v>2826</v>
      </c>
      <c r="AG267" t="s">
        <v>2846</v>
      </c>
      <c r="AH267" t="s">
        <v>2848</v>
      </c>
      <c r="AI267">
        <v>1</v>
      </c>
    </row>
    <row r="268" spans="1:35" x14ac:dyDescent="0.3">
      <c r="A268" t="s">
        <v>265</v>
      </c>
      <c r="B268">
        <v>1</v>
      </c>
      <c r="C268" s="1">
        <v>45491</v>
      </c>
      <c r="D268" s="1">
        <v>45494</v>
      </c>
      <c r="E268" t="s">
        <v>969</v>
      </c>
      <c r="F268" t="s">
        <v>1703</v>
      </c>
      <c r="G268" t="s">
        <v>1433</v>
      </c>
      <c r="H268" t="s">
        <v>2675</v>
      </c>
      <c r="I268" t="s">
        <v>2739</v>
      </c>
      <c r="J268" t="s">
        <v>2757</v>
      </c>
      <c r="K268" t="s">
        <v>1480</v>
      </c>
      <c r="L268" t="s">
        <v>2789</v>
      </c>
      <c r="M268" t="s">
        <v>2553</v>
      </c>
      <c r="N268" t="s">
        <v>2576</v>
      </c>
      <c r="O268" t="s">
        <v>2602</v>
      </c>
      <c r="R268" t="s">
        <v>2790</v>
      </c>
      <c r="S268" t="s">
        <v>2607</v>
      </c>
      <c r="T268">
        <v>2</v>
      </c>
      <c r="U268" s="2">
        <v>2067.91</v>
      </c>
      <c r="V268" s="3">
        <v>0</v>
      </c>
      <c r="W268" s="2">
        <v>4135.82</v>
      </c>
      <c r="X268" s="2">
        <v>1152.96</v>
      </c>
      <c r="Y268" s="3">
        <v>0.27877422131524099</v>
      </c>
      <c r="Z268" t="s">
        <v>1496</v>
      </c>
      <c r="AA268" t="s">
        <v>1500</v>
      </c>
      <c r="AB268" t="s">
        <v>1501</v>
      </c>
      <c r="AC268">
        <v>3</v>
      </c>
      <c r="AD268">
        <v>2024</v>
      </c>
      <c r="AE268" t="s">
        <v>2814</v>
      </c>
      <c r="AF268" t="s">
        <v>2826</v>
      </c>
      <c r="AG268" t="s">
        <v>2846</v>
      </c>
      <c r="AH268" t="s">
        <v>2848</v>
      </c>
      <c r="AI268">
        <v>1</v>
      </c>
    </row>
    <row r="269" spans="1:35" x14ac:dyDescent="0.3">
      <c r="A269" t="s">
        <v>266</v>
      </c>
      <c r="B269">
        <v>2</v>
      </c>
      <c r="C269" s="1">
        <v>45491</v>
      </c>
      <c r="D269" s="1">
        <v>45492</v>
      </c>
      <c r="E269" t="s">
        <v>1135</v>
      </c>
      <c r="F269" t="s">
        <v>1680</v>
      </c>
      <c r="G269" t="s">
        <v>1348</v>
      </c>
      <c r="H269" t="s">
        <v>2669</v>
      </c>
      <c r="I269" t="s">
        <v>2739</v>
      </c>
      <c r="J269" t="s">
        <v>2756</v>
      </c>
      <c r="K269" t="s">
        <v>1484</v>
      </c>
      <c r="L269" t="s">
        <v>2778</v>
      </c>
      <c r="M269" t="s">
        <v>2558</v>
      </c>
      <c r="N269" t="s">
        <v>2558</v>
      </c>
      <c r="O269" t="s">
        <v>2603</v>
      </c>
      <c r="P269" t="s">
        <v>2559</v>
      </c>
      <c r="Q269" t="s">
        <v>2559</v>
      </c>
      <c r="R269" t="s">
        <v>2603</v>
      </c>
      <c r="S269" t="s">
        <v>2606</v>
      </c>
      <c r="T269">
        <v>1</v>
      </c>
      <c r="U269" s="2">
        <v>921.12</v>
      </c>
      <c r="V269" s="3">
        <v>0</v>
      </c>
      <c r="W269" s="2">
        <v>921.12</v>
      </c>
      <c r="X269" s="2">
        <v>383.08</v>
      </c>
      <c r="Y269" s="3">
        <v>0.41588500955358693</v>
      </c>
      <c r="Z269" t="s">
        <v>1496</v>
      </c>
      <c r="AA269" t="s">
        <v>1498</v>
      </c>
      <c r="AB269" t="s">
        <v>1501</v>
      </c>
      <c r="AC269">
        <v>1</v>
      </c>
      <c r="AD269">
        <v>2024</v>
      </c>
      <c r="AE269" t="s">
        <v>2814</v>
      </c>
      <c r="AF269" t="s">
        <v>2826</v>
      </c>
      <c r="AG269" t="s">
        <v>2846</v>
      </c>
      <c r="AH269" t="s">
        <v>2848</v>
      </c>
      <c r="AI269">
        <v>1</v>
      </c>
    </row>
    <row r="270" spans="1:35" x14ac:dyDescent="0.3">
      <c r="A270" t="s">
        <v>267</v>
      </c>
      <c r="B270">
        <v>1</v>
      </c>
      <c r="C270" s="1">
        <v>45492</v>
      </c>
      <c r="D270" s="1">
        <v>45495</v>
      </c>
      <c r="E270" t="s">
        <v>1136</v>
      </c>
      <c r="F270" t="s">
        <v>1800</v>
      </c>
      <c r="G270" t="s">
        <v>1382</v>
      </c>
      <c r="H270" t="s">
        <v>2697</v>
      </c>
      <c r="I270" t="s">
        <v>2740</v>
      </c>
      <c r="J270" t="s">
        <v>2762</v>
      </c>
      <c r="K270" t="s">
        <v>1480</v>
      </c>
      <c r="L270" t="s">
        <v>2789</v>
      </c>
      <c r="M270" t="s">
        <v>2555</v>
      </c>
      <c r="N270" t="s">
        <v>2578</v>
      </c>
      <c r="O270" t="s">
        <v>2603</v>
      </c>
      <c r="R270" t="s">
        <v>2790</v>
      </c>
      <c r="S270" t="s">
        <v>2606</v>
      </c>
      <c r="T270">
        <v>3</v>
      </c>
      <c r="U270" s="2">
        <v>561.82000000000005</v>
      </c>
      <c r="V270" s="3">
        <v>0</v>
      </c>
      <c r="W270" s="2">
        <v>1685.46</v>
      </c>
      <c r="X270" s="2">
        <v>137.28</v>
      </c>
      <c r="Y270" s="3">
        <v>8.1449574596845958E-2</v>
      </c>
      <c r="Z270" t="s">
        <v>1494</v>
      </c>
      <c r="AA270" t="s">
        <v>1498</v>
      </c>
      <c r="AB270" t="s">
        <v>1501</v>
      </c>
      <c r="AC270">
        <v>3</v>
      </c>
      <c r="AD270">
        <v>2024</v>
      </c>
      <c r="AE270" t="s">
        <v>2814</v>
      </c>
      <c r="AF270" t="s">
        <v>2826</v>
      </c>
      <c r="AG270" t="s">
        <v>2846</v>
      </c>
      <c r="AH270" t="s">
        <v>2848</v>
      </c>
      <c r="AI270">
        <v>1</v>
      </c>
    </row>
    <row r="271" spans="1:35" x14ac:dyDescent="0.3">
      <c r="A271" t="s">
        <v>268</v>
      </c>
      <c r="B271">
        <v>1</v>
      </c>
      <c r="C271" s="1">
        <v>45492</v>
      </c>
      <c r="D271" s="1">
        <v>45493</v>
      </c>
      <c r="E271" t="s">
        <v>1137</v>
      </c>
      <c r="F271" t="s">
        <v>1922</v>
      </c>
      <c r="G271" t="s">
        <v>1451</v>
      </c>
      <c r="H271" t="s">
        <v>2644</v>
      </c>
      <c r="I271" t="s">
        <v>2738</v>
      </c>
      <c r="J271" t="s">
        <v>2750</v>
      </c>
      <c r="K271" t="s">
        <v>1489</v>
      </c>
      <c r="L271" t="s">
        <v>2787</v>
      </c>
      <c r="M271" t="s">
        <v>2550</v>
      </c>
      <c r="N271" t="s">
        <v>2573</v>
      </c>
      <c r="O271" t="s">
        <v>2601</v>
      </c>
      <c r="P271" t="s">
        <v>2566</v>
      </c>
      <c r="Q271" t="s">
        <v>2584</v>
      </c>
      <c r="R271" t="s">
        <v>2601</v>
      </c>
      <c r="S271" t="s">
        <v>2608</v>
      </c>
      <c r="T271">
        <v>1</v>
      </c>
      <c r="U271" s="2">
        <v>43188.76</v>
      </c>
      <c r="V271" s="3">
        <v>0.15</v>
      </c>
      <c r="W271" s="2">
        <v>36710.449999999997</v>
      </c>
      <c r="X271" s="2">
        <v>3703.84</v>
      </c>
      <c r="Y271" s="3">
        <v>0.1008933423589196</v>
      </c>
      <c r="Z271" t="s">
        <v>1497</v>
      </c>
      <c r="AA271" t="s">
        <v>1498</v>
      </c>
      <c r="AB271" t="s">
        <v>1501</v>
      </c>
      <c r="AC271">
        <v>1</v>
      </c>
      <c r="AD271">
        <v>2024</v>
      </c>
      <c r="AE271" t="s">
        <v>2814</v>
      </c>
      <c r="AF271" t="s">
        <v>2826</v>
      </c>
      <c r="AG271" t="s">
        <v>2846</v>
      </c>
      <c r="AH271" t="s">
        <v>2848</v>
      </c>
      <c r="AI271">
        <v>1</v>
      </c>
    </row>
    <row r="272" spans="1:35" x14ac:dyDescent="0.3">
      <c r="A272" t="s">
        <v>268</v>
      </c>
      <c r="B272">
        <v>2</v>
      </c>
      <c r="C272" s="1">
        <v>45492</v>
      </c>
      <c r="D272" s="1">
        <v>45493</v>
      </c>
      <c r="E272" t="s">
        <v>1137</v>
      </c>
      <c r="F272" t="s">
        <v>1922</v>
      </c>
      <c r="G272" t="s">
        <v>1425</v>
      </c>
      <c r="H272" t="s">
        <v>2655</v>
      </c>
      <c r="I272" t="s">
        <v>2738</v>
      </c>
      <c r="J272" t="s">
        <v>2753</v>
      </c>
      <c r="K272" t="s">
        <v>1489</v>
      </c>
      <c r="L272" t="s">
        <v>2787</v>
      </c>
      <c r="M272" t="s">
        <v>2550</v>
      </c>
      <c r="N272" t="s">
        <v>2573</v>
      </c>
      <c r="O272" t="s">
        <v>2601</v>
      </c>
      <c r="P272" t="s">
        <v>2566</v>
      </c>
      <c r="Q272" t="s">
        <v>2584</v>
      </c>
      <c r="R272" t="s">
        <v>2601</v>
      </c>
      <c r="S272" t="s">
        <v>2608</v>
      </c>
      <c r="T272">
        <v>2</v>
      </c>
      <c r="U272" s="2">
        <v>6347.66</v>
      </c>
      <c r="V272" s="3">
        <v>0</v>
      </c>
      <c r="W272" s="2">
        <v>12695.32</v>
      </c>
      <c r="X272" s="2">
        <v>3486.98</v>
      </c>
      <c r="Y272" s="3">
        <v>0.274666570043134</v>
      </c>
      <c r="Z272" t="s">
        <v>1497</v>
      </c>
      <c r="AA272" t="s">
        <v>1498</v>
      </c>
      <c r="AB272" t="s">
        <v>1501</v>
      </c>
      <c r="AC272">
        <v>1</v>
      </c>
      <c r="AD272">
        <v>2024</v>
      </c>
      <c r="AE272" t="s">
        <v>2814</v>
      </c>
      <c r="AF272" t="s">
        <v>2826</v>
      </c>
      <c r="AG272" t="s">
        <v>2846</v>
      </c>
      <c r="AH272" t="s">
        <v>2848</v>
      </c>
      <c r="AI272">
        <v>0</v>
      </c>
    </row>
    <row r="273" spans="1:35" x14ac:dyDescent="0.3">
      <c r="A273" t="s">
        <v>268</v>
      </c>
      <c r="B273">
        <v>3</v>
      </c>
      <c r="C273" s="1">
        <v>45492</v>
      </c>
      <c r="D273" s="1">
        <v>45493</v>
      </c>
      <c r="E273" t="s">
        <v>1137</v>
      </c>
      <c r="F273" t="s">
        <v>1922</v>
      </c>
      <c r="G273" t="s">
        <v>1332</v>
      </c>
      <c r="H273" t="s">
        <v>2630</v>
      </c>
      <c r="I273" t="s">
        <v>2737</v>
      </c>
      <c r="J273" t="s">
        <v>2746</v>
      </c>
      <c r="K273" t="s">
        <v>1489</v>
      </c>
      <c r="L273" t="s">
        <v>2787</v>
      </c>
      <c r="M273" t="s">
        <v>2550</v>
      </c>
      <c r="N273" t="s">
        <v>2573</v>
      </c>
      <c r="O273" t="s">
        <v>2601</v>
      </c>
      <c r="P273" t="s">
        <v>2566</v>
      </c>
      <c r="Q273" t="s">
        <v>2584</v>
      </c>
      <c r="R273" t="s">
        <v>2601</v>
      </c>
      <c r="S273" t="s">
        <v>2608</v>
      </c>
      <c r="T273">
        <v>1</v>
      </c>
      <c r="U273" s="2">
        <v>45652.65</v>
      </c>
      <c r="V273" s="3">
        <v>0</v>
      </c>
      <c r="W273" s="2">
        <v>45652.65</v>
      </c>
      <c r="X273" s="2">
        <v>7144.63</v>
      </c>
      <c r="Y273" s="3">
        <v>0.15649978697841199</v>
      </c>
      <c r="Z273" t="s">
        <v>1497</v>
      </c>
      <c r="AA273" t="s">
        <v>1498</v>
      </c>
      <c r="AB273" t="s">
        <v>1501</v>
      </c>
      <c r="AC273">
        <v>1</v>
      </c>
      <c r="AD273">
        <v>2024</v>
      </c>
      <c r="AE273" t="s">
        <v>2814</v>
      </c>
      <c r="AF273" t="s">
        <v>2826</v>
      </c>
      <c r="AG273" t="s">
        <v>2846</v>
      </c>
      <c r="AH273" t="s">
        <v>2848</v>
      </c>
      <c r="AI273">
        <v>0</v>
      </c>
    </row>
    <row r="274" spans="1:35" x14ac:dyDescent="0.3">
      <c r="A274" t="s">
        <v>269</v>
      </c>
      <c r="B274">
        <v>1</v>
      </c>
      <c r="C274" s="1">
        <v>45492</v>
      </c>
      <c r="D274" s="1">
        <v>45493</v>
      </c>
      <c r="E274" t="s">
        <v>1138</v>
      </c>
      <c r="F274" t="s">
        <v>1889</v>
      </c>
      <c r="G274" t="s">
        <v>1400</v>
      </c>
      <c r="H274" t="s">
        <v>2642</v>
      </c>
      <c r="I274" t="s">
        <v>2738</v>
      </c>
      <c r="J274" t="s">
        <v>2750</v>
      </c>
      <c r="K274" t="s">
        <v>1488</v>
      </c>
      <c r="L274" t="s">
        <v>2780</v>
      </c>
      <c r="M274" t="s">
        <v>2559</v>
      </c>
      <c r="N274" t="s">
        <v>2559</v>
      </c>
      <c r="O274" t="s">
        <v>2603</v>
      </c>
      <c r="P274" t="s">
        <v>2552</v>
      </c>
      <c r="Q274" t="s">
        <v>2575</v>
      </c>
      <c r="R274" t="s">
        <v>2603</v>
      </c>
      <c r="S274" t="s">
        <v>2606</v>
      </c>
      <c r="T274">
        <v>4</v>
      </c>
      <c r="U274" s="2">
        <v>36178.629999999997</v>
      </c>
      <c r="V274" s="3">
        <v>0.1</v>
      </c>
      <c r="W274" s="2">
        <v>130243.07</v>
      </c>
      <c r="X274" s="2">
        <v>9031.5499999999993</v>
      </c>
      <c r="Y274" s="3">
        <v>6.934380462622694E-2</v>
      </c>
      <c r="Z274" t="s">
        <v>1494</v>
      </c>
      <c r="AA274" t="s">
        <v>1498</v>
      </c>
      <c r="AB274" t="s">
        <v>1501</v>
      </c>
      <c r="AC274">
        <v>1</v>
      </c>
      <c r="AD274">
        <v>2024</v>
      </c>
      <c r="AE274" t="s">
        <v>2814</v>
      </c>
      <c r="AF274" t="s">
        <v>2826</v>
      </c>
      <c r="AG274" t="s">
        <v>2846</v>
      </c>
      <c r="AH274" t="s">
        <v>2848</v>
      </c>
      <c r="AI274">
        <v>1</v>
      </c>
    </row>
    <row r="275" spans="1:35" x14ac:dyDescent="0.3">
      <c r="A275" t="s">
        <v>270</v>
      </c>
      <c r="B275">
        <v>3</v>
      </c>
      <c r="C275" s="1">
        <v>45493</v>
      </c>
      <c r="D275" s="1">
        <v>45496</v>
      </c>
      <c r="E275" t="s">
        <v>1094</v>
      </c>
      <c r="F275" t="s">
        <v>1712</v>
      </c>
      <c r="G275" t="s">
        <v>1452</v>
      </c>
      <c r="H275" t="s">
        <v>2616</v>
      </c>
      <c r="I275" t="s">
        <v>2737</v>
      </c>
      <c r="J275" t="s">
        <v>2743</v>
      </c>
      <c r="K275" t="s">
        <v>1480</v>
      </c>
      <c r="L275" t="s">
        <v>2789</v>
      </c>
      <c r="M275" t="s">
        <v>2554</v>
      </c>
      <c r="N275" t="s">
        <v>2577</v>
      </c>
      <c r="O275" t="s">
        <v>2601</v>
      </c>
      <c r="R275" t="s">
        <v>2790</v>
      </c>
      <c r="S275" t="s">
        <v>2606</v>
      </c>
      <c r="T275">
        <v>2</v>
      </c>
      <c r="U275" s="2">
        <v>74213.429999999993</v>
      </c>
      <c r="V275" s="3">
        <v>0</v>
      </c>
      <c r="W275" s="2">
        <v>148426.85999999999</v>
      </c>
      <c r="X275" s="2">
        <v>21430.84</v>
      </c>
      <c r="Y275" s="3">
        <v>0.1443865348899788</v>
      </c>
      <c r="Z275" t="s">
        <v>1496</v>
      </c>
      <c r="AA275" t="s">
        <v>1498</v>
      </c>
      <c r="AB275" t="s">
        <v>1502</v>
      </c>
      <c r="AC275">
        <v>3</v>
      </c>
      <c r="AD275">
        <v>2024</v>
      </c>
      <c r="AE275" t="s">
        <v>2814</v>
      </c>
      <c r="AF275" t="s">
        <v>2826</v>
      </c>
      <c r="AG275" t="s">
        <v>2846</v>
      </c>
      <c r="AH275" t="s">
        <v>2848</v>
      </c>
      <c r="AI275">
        <v>1</v>
      </c>
    </row>
    <row r="276" spans="1:35" x14ac:dyDescent="0.3">
      <c r="A276" t="s">
        <v>271</v>
      </c>
      <c r="B276">
        <v>1</v>
      </c>
      <c r="C276" s="1">
        <v>45494</v>
      </c>
      <c r="D276" s="1">
        <v>45496</v>
      </c>
      <c r="E276" t="s">
        <v>1017</v>
      </c>
      <c r="F276" t="s">
        <v>1898</v>
      </c>
      <c r="G276" t="s">
        <v>1335</v>
      </c>
      <c r="H276" t="s">
        <v>2654</v>
      </c>
      <c r="I276" t="s">
        <v>2738</v>
      </c>
      <c r="J276" t="s">
        <v>2752</v>
      </c>
      <c r="K276" t="s">
        <v>1480</v>
      </c>
      <c r="L276" t="s">
        <v>2789</v>
      </c>
      <c r="M276" t="s">
        <v>2551</v>
      </c>
      <c r="N276" t="s">
        <v>2574</v>
      </c>
      <c r="O276" t="s">
        <v>2602</v>
      </c>
      <c r="R276" t="s">
        <v>2790</v>
      </c>
      <c r="S276" t="s">
        <v>2606</v>
      </c>
      <c r="T276">
        <v>1</v>
      </c>
      <c r="U276" s="2">
        <v>2828.96</v>
      </c>
      <c r="V276" s="3">
        <v>0</v>
      </c>
      <c r="W276" s="2">
        <v>2828.96</v>
      </c>
      <c r="X276" s="2">
        <v>608.97</v>
      </c>
      <c r="Y276" s="3">
        <v>0.21526285277982021</v>
      </c>
      <c r="Z276" t="s">
        <v>1497</v>
      </c>
      <c r="AA276" t="s">
        <v>1499</v>
      </c>
      <c r="AB276" t="s">
        <v>1501</v>
      </c>
      <c r="AC276">
        <v>2</v>
      </c>
      <c r="AD276">
        <v>2024</v>
      </c>
      <c r="AE276" t="s">
        <v>2814</v>
      </c>
      <c r="AF276" t="s">
        <v>2826</v>
      </c>
      <c r="AG276" t="s">
        <v>2846</v>
      </c>
      <c r="AH276" t="s">
        <v>2848</v>
      </c>
      <c r="AI276">
        <v>1</v>
      </c>
    </row>
    <row r="277" spans="1:35" x14ac:dyDescent="0.3">
      <c r="A277" t="s">
        <v>272</v>
      </c>
      <c r="B277">
        <v>2</v>
      </c>
      <c r="C277" s="1">
        <v>45495</v>
      </c>
      <c r="D277" s="1">
        <v>45496</v>
      </c>
      <c r="E277" t="s">
        <v>1139</v>
      </c>
      <c r="F277" t="s">
        <v>1720</v>
      </c>
      <c r="G277" t="s">
        <v>1439</v>
      </c>
      <c r="H277" t="s">
        <v>2641</v>
      </c>
      <c r="I277" t="s">
        <v>2738</v>
      </c>
      <c r="J277" t="s">
        <v>2749</v>
      </c>
      <c r="K277" t="s">
        <v>1487</v>
      </c>
      <c r="L277" t="s">
        <v>2785</v>
      </c>
      <c r="M277" t="s">
        <v>2554</v>
      </c>
      <c r="N277" t="s">
        <v>2577</v>
      </c>
      <c r="O277" t="s">
        <v>2601</v>
      </c>
      <c r="P277" t="s">
        <v>2550</v>
      </c>
      <c r="Q277" t="s">
        <v>2573</v>
      </c>
      <c r="R277" t="s">
        <v>2601</v>
      </c>
      <c r="S277" t="s">
        <v>2608</v>
      </c>
      <c r="T277">
        <v>1</v>
      </c>
      <c r="U277" s="2">
        <v>2679.96</v>
      </c>
      <c r="V277" s="3">
        <v>0</v>
      </c>
      <c r="W277" s="2">
        <v>2679.96</v>
      </c>
      <c r="X277" s="2">
        <v>600.58000000000004</v>
      </c>
      <c r="Y277" s="3">
        <v>0.22410035970686129</v>
      </c>
      <c r="Z277" t="s">
        <v>1496</v>
      </c>
      <c r="AA277" t="s">
        <v>1499</v>
      </c>
      <c r="AB277" t="s">
        <v>1501</v>
      </c>
      <c r="AC277">
        <v>1</v>
      </c>
      <c r="AD277">
        <v>2024</v>
      </c>
      <c r="AE277" t="s">
        <v>2814</v>
      </c>
      <c r="AF277" t="s">
        <v>2826</v>
      </c>
      <c r="AG277" t="s">
        <v>2846</v>
      </c>
      <c r="AH277" t="s">
        <v>2848</v>
      </c>
      <c r="AI277">
        <v>1</v>
      </c>
    </row>
    <row r="278" spans="1:35" x14ac:dyDescent="0.3">
      <c r="A278" t="s">
        <v>273</v>
      </c>
      <c r="B278">
        <v>1</v>
      </c>
      <c r="C278" s="1">
        <v>45500</v>
      </c>
      <c r="D278" s="1">
        <v>45501</v>
      </c>
      <c r="E278" t="s">
        <v>1090</v>
      </c>
      <c r="F278" t="s">
        <v>1817</v>
      </c>
      <c r="G278" t="s">
        <v>1430</v>
      </c>
      <c r="H278" t="s">
        <v>2698</v>
      </c>
      <c r="I278" t="s">
        <v>2740</v>
      </c>
      <c r="J278" t="s">
        <v>2762</v>
      </c>
      <c r="K278" t="s">
        <v>1483</v>
      </c>
      <c r="L278" t="s">
        <v>2781</v>
      </c>
      <c r="M278" t="s">
        <v>2559</v>
      </c>
      <c r="N278" t="s">
        <v>2559</v>
      </c>
      <c r="O278" t="s">
        <v>2603</v>
      </c>
      <c r="P278" t="s">
        <v>2568</v>
      </c>
      <c r="Q278" t="s">
        <v>2586</v>
      </c>
      <c r="R278" t="s">
        <v>2603</v>
      </c>
      <c r="S278" t="s">
        <v>2607</v>
      </c>
      <c r="T278">
        <v>1</v>
      </c>
      <c r="U278" s="2">
        <v>1148.97</v>
      </c>
      <c r="V278" s="3">
        <v>0</v>
      </c>
      <c r="W278" s="2">
        <v>1148.97</v>
      </c>
      <c r="X278" s="2">
        <v>88.53</v>
      </c>
      <c r="Y278" s="3">
        <v>7.7051620146740121E-2</v>
      </c>
      <c r="Z278" t="s">
        <v>1496</v>
      </c>
      <c r="AA278" t="s">
        <v>1499</v>
      </c>
      <c r="AB278" t="s">
        <v>1501</v>
      </c>
      <c r="AC278">
        <v>1</v>
      </c>
      <c r="AD278">
        <v>2024</v>
      </c>
      <c r="AE278" t="s">
        <v>2814</v>
      </c>
      <c r="AF278" t="s">
        <v>2826</v>
      </c>
      <c r="AG278" t="s">
        <v>2846</v>
      </c>
      <c r="AH278" t="s">
        <v>2848</v>
      </c>
      <c r="AI278">
        <v>1</v>
      </c>
    </row>
    <row r="279" spans="1:35" x14ac:dyDescent="0.3">
      <c r="A279" t="s">
        <v>274</v>
      </c>
      <c r="B279">
        <v>1</v>
      </c>
      <c r="C279" s="1">
        <v>45501</v>
      </c>
      <c r="D279" s="1">
        <v>45502</v>
      </c>
      <c r="E279" t="s">
        <v>1094</v>
      </c>
      <c r="F279" t="s">
        <v>1712</v>
      </c>
      <c r="G279" t="s">
        <v>1453</v>
      </c>
      <c r="H279" t="s">
        <v>2706</v>
      </c>
      <c r="I279" t="s">
        <v>2741</v>
      </c>
      <c r="J279" t="s">
        <v>2765</v>
      </c>
      <c r="K279" t="s">
        <v>1489</v>
      </c>
      <c r="L279" t="s">
        <v>2787</v>
      </c>
      <c r="M279" t="s">
        <v>2554</v>
      </c>
      <c r="N279" t="s">
        <v>2577</v>
      </c>
      <c r="O279" t="s">
        <v>2601</v>
      </c>
      <c r="P279" t="s">
        <v>2566</v>
      </c>
      <c r="Q279" t="s">
        <v>2584</v>
      </c>
      <c r="R279" t="s">
        <v>2601</v>
      </c>
      <c r="S279" t="s">
        <v>2606</v>
      </c>
      <c r="T279">
        <v>1</v>
      </c>
      <c r="U279" s="2">
        <v>507.34</v>
      </c>
      <c r="V279" s="3">
        <v>0</v>
      </c>
      <c r="W279" s="2">
        <v>507.34</v>
      </c>
      <c r="X279" s="2">
        <v>193.87</v>
      </c>
      <c r="Y279" s="3">
        <v>0.38213032680253878</v>
      </c>
      <c r="Z279" t="s">
        <v>1494</v>
      </c>
      <c r="AA279" t="s">
        <v>1499</v>
      </c>
      <c r="AB279" t="s">
        <v>1501</v>
      </c>
      <c r="AC279">
        <v>1</v>
      </c>
      <c r="AD279">
        <v>2024</v>
      </c>
      <c r="AE279" t="s">
        <v>2814</v>
      </c>
      <c r="AF279" t="s">
        <v>2826</v>
      </c>
      <c r="AG279" t="s">
        <v>2846</v>
      </c>
      <c r="AH279" t="s">
        <v>2848</v>
      </c>
      <c r="AI279">
        <v>1</v>
      </c>
    </row>
    <row r="280" spans="1:35" x14ac:dyDescent="0.3">
      <c r="A280" t="s">
        <v>275</v>
      </c>
      <c r="B280">
        <v>1</v>
      </c>
      <c r="C280" s="1">
        <v>45504</v>
      </c>
      <c r="D280" s="1">
        <v>45505</v>
      </c>
      <c r="E280" t="s">
        <v>1140</v>
      </c>
      <c r="F280" t="s">
        <v>1939</v>
      </c>
      <c r="G280" t="s">
        <v>1365</v>
      </c>
      <c r="H280" t="s">
        <v>2709</v>
      </c>
      <c r="I280" t="s">
        <v>2741</v>
      </c>
      <c r="J280" t="s">
        <v>2765</v>
      </c>
      <c r="K280" t="s">
        <v>1479</v>
      </c>
      <c r="L280" t="s">
        <v>2786</v>
      </c>
      <c r="M280" t="s">
        <v>2561</v>
      </c>
      <c r="N280" t="s">
        <v>2598</v>
      </c>
      <c r="O280" t="s">
        <v>2601</v>
      </c>
      <c r="P280" t="s">
        <v>2564</v>
      </c>
      <c r="Q280" t="s">
        <v>2582</v>
      </c>
      <c r="R280" t="s">
        <v>2601</v>
      </c>
      <c r="S280" t="s">
        <v>2607</v>
      </c>
      <c r="T280">
        <v>1</v>
      </c>
      <c r="U280" s="2">
        <v>1749.13</v>
      </c>
      <c r="V280" s="3">
        <v>0</v>
      </c>
      <c r="W280" s="2">
        <v>1749.13</v>
      </c>
      <c r="X280" s="2">
        <v>642.97</v>
      </c>
      <c r="Y280" s="3">
        <v>0.36759417539005113</v>
      </c>
      <c r="Z280" t="s">
        <v>1495</v>
      </c>
      <c r="AA280" t="s">
        <v>1498</v>
      </c>
      <c r="AB280" t="s">
        <v>1501</v>
      </c>
      <c r="AC280">
        <v>1</v>
      </c>
      <c r="AD280">
        <v>2024</v>
      </c>
      <c r="AE280" t="s">
        <v>2814</v>
      </c>
      <c r="AF280" t="s">
        <v>2826</v>
      </c>
      <c r="AG280" t="s">
        <v>2846</v>
      </c>
      <c r="AH280" t="s">
        <v>2848</v>
      </c>
      <c r="AI280">
        <v>1</v>
      </c>
    </row>
    <row r="281" spans="1:35" x14ac:dyDescent="0.3">
      <c r="A281" t="s">
        <v>276</v>
      </c>
      <c r="B281">
        <v>1</v>
      </c>
      <c r="C281" s="1">
        <v>45504</v>
      </c>
      <c r="D281" s="1">
        <v>45505</v>
      </c>
      <c r="E281" t="s">
        <v>1141</v>
      </c>
      <c r="F281" t="s">
        <v>1878</v>
      </c>
      <c r="G281" t="s">
        <v>1438</v>
      </c>
      <c r="H281" t="s">
        <v>2621</v>
      </c>
      <c r="I281" t="s">
        <v>2737</v>
      </c>
      <c r="J281" t="s">
        <v>2744</v>
      </c>
      <c r="K281" t="s">
        <v>1480</v>
      </c>
      <c r="L281" t="s">
        <v>2789</v>
      </c>
      <c r="M281" t="s">
        <v>2563</v>
      </c>
      <c r="N281" t="s">
        <v>2581</v>
      </c>
      <c r="O281" t="s">
        <v>2604</v>
      </c>
      <c r="R281" t="s">
        <v>2790</v>
      </c>
      <c r="S281" t="s">
        <v>2607</v>
      </c>
      <c r="T281">
        <v>1</v>
      </c>
      <c r="U281" s="2">
        <v>77432.27</v>
      </c>
      <c r="V281" s="3">
        <v>0.05</v>
      </c>
      <c r="W281" s="2">
        <v>73560.66</v>
      </c>
      <c r="X281" s="2">
        <v>4845.91</v>
      </c>
      <c r="Y281" s="3">
        <v>6.5876380119482339E-2</v>
      </c>
      <c r="Z281" t="s">
        <v>1494</v>
      </c>
      <c r="AA281" t="s">
        <v>1500</v>
      </c>
      <c r="AB281" t="s">
        <v>1501</v>
      </c>
      <c r="AC281">
        <v>1</v>
      </c>
      <c r="AD281">
        <v>2024</v>
      </c>
      <c r="AE281" t="s">
        <v>2814</v>
      </c>
      <c r="AF281" t="s">
        <v>2826</v>
      </c>
      <c r="AG281" t="s">
        <v>2846</v>
      </c>
      <c r="AH281" t="s">
        <v>2848</v>
      </c>
      <c r="AI281">
        <v>1</v>
      </c>
    </row>
    <row r="282" spans="1:35" x14ac:dyDescent="0.3">
      <c r="A282" t="s">
        <v>277</v>
      </c>
      <c r="B282">
        <v>1</v>
      </c>
      <c r="C282" s="1">
        <v>45505</v>
      </c>
      <c r="D282" s="1">
        <v>45505</v>
      </c>
      <c r="E282" t="s">
        <v>1142</v>
      </c>
      <c r="F282" t="s">
        <v>1852</v>
      </c>
      <c r="G282" t="s">
        <v>1406</v>
      </c>
      <c r="H282" t="s">
        <v>2712</v>
      </c>
      <c r="I282" t="s">
        <v>2741</v>
      </c>
      <c r="J282" t="s">
        <v>2766</v>
      </c>
      <c r="K282" t="s">
        <v>1490</v>
      </c>
      <c r="L282" t="s">
        <v>2784</v>
      </c>
      <c r="M282" t="s">
        <v>2563</v>
      </c>
      <c r="N282" t="s">
        <v>2581</v>
      </c>
      <c r="O282" t="s">
        <v>2604</v>
      </c>
      <c r="P282" t="s">
        <v>2567</v>
      </c>
      <c r="Q282" t="s">
        <v>2585</v>
      </c>
      <c r="R282" t="s">
        <v>2604</v>
      </c>
      <c r="S282" t="s">
        <v>2608</v>
      </c>
      <c r="T282">
        <v>1</v>
      </c>
      <c r="U282" s="2">
        <v>150.38</v>
      </c>
      <c r="V282" s="3">
        <v>0.1</v>
      </c>
      <c r="W282" s="2">
        <v>135.34</v>
      </c>
      <c r="X282" s="2">
        <v>33.57</v>
      </c>
      <c r="Y282" s="3">
        <v>0.24804196837594211</v>
      </c>
      <c r="Z282" t="s">
        <v>1496</v>
      </c>
      <c r="AA282" t="s">
        <v>1498</v>
      </c>
      <c r="AB282" t="s">
        <v>1501</v>
      </c>
      <c r="AC282">
        <v>0</v>
      </c>
      <c r="AD282">
        <v>2024</v>
      </c>
      <c r="AE282" t="s">
        <v>2815</v>
      </c>
      <c r="AF282" t="s">
        <v>2827</v>
      </c>
      <c r="AG282" t="s">
        <v>2846</v>
      </c>
      <c r="AH282" t="s">
        <v>2848</v>
      </c>
      <c r="AI282">
        <v>1</v>
      </c>
    </row>
    <row r="283" spans="1:35" x14ac:dyDescent="0.3">
      <c r="A283" t="s">
        <v>278</v>
      </c>
      <c r="B283">
        <v>1</v>
      </c>
      <c r="C283" s="1">
        <v>45506</v>
      </c>
      <c r="D283" s="1">
        <v>45507</v>
      </c>
      <c r="E283" t="s">
        <v>1143</v>
      </c>
      <c r="F283" t="s">
        <v>2038</v>
      </c>
      <c r="G283" t="s">
        <v>1426</v>
      </c>
      <c r="H283" t="s">
        <v>2661</v>
      </c>
      <c r="I283" t="s">
        <v>2738</v>
      </c>
      <c r="J283" t="s">
        <v>2754</v>
      </c>
      <c r="K283" t="s">
        <v>1481</v>
      </c>
      <c r="L283" t="s">
        <v>2777</v>
      </c>
      <c r="M283" t="s">
        <v>2551</v>
      </c>
      <c r="N283" t="s">
        <v>2574</v>
      </c>
      <c r="O283" t="s">
        <v>2602</v>
      </c>
      <c r="P283" t="s">
        <v>2557</v>
      </c>
      <c r="Q283" t="s">
        <v>2576</v>
      </c>
      <c r="R283" t="s">
        <v>2602</v>
      </c>
      <c r="S283" t="s">
        <v>2606</v>
      </c>
      <c r="T283">
        <v>1</v>
      </c>
      <c r="U283" s="2">
        <v>33135.4</v>
      </c>
      <c r="V283" s="3">
        <v>0</v>
      </c>
      <c r="W283" s="2">
        <v>33135.4</v>
      </c>
      <c r="X283" s="2">
        <v>8643.2900000000009</v>
      </c>
      <c r="Y283" s="3">
        <v>0.26084761312674659</v>
      </c>
      <c r="Z283" t="s">
        <v>1494</v>
      </c>
      <c r="AA283" t="s">
        <v>1498</v>
      </c>
      <c r="AB283" t="s">
        <v>1501</v>
      </c>
      <c r="AC283">
        <v>1</v>
      </c>
      <c r="AD283">
        <v>2024</v>
      </c>
      <c r="AE283" t="s">
        <v>2815</v>
      </c>
      <c r="AF283" t="s">
        <v>2827</v>
      </c>
      <c r="AG283" t="s">
        <v>2846</v>
      </c>
      <c r="AH283" t="s">
        <v>2848</v>
      </c>
      <c r="AI283">
        <v>1</v>
      </c>
    </row>
    <row r="284" spans="1:35" x14ac:dyDescent="0.3">
      <c r="A284" t="s">
        <v>279</v>
      </c>
      <c r="B284">
        <v>1</v>
      </c>
      <c r="C284" s="1">
        <v>45506</v>
      </c>
      <c r="D284" s="1">
        <v>45507</v>
      </c>
      <c r="E284" t="s">
        <v>968</v>
      </c>
      <c r="F284" t="s">
        <v>1991</v>
      </c>
      <c r="G284" t="s">
        <v>1427</v>
      </c>
      <c r="H284" t="s">
        <v>2712</v>
      </c>
      <c r="I284" t="s">
        <v>2741</v>
      </c>
      <c r="J284" t="s">
        <v>2766</v>
      </c>
      <c r="K284" t="s">
        <v>1480</v>
      </c>
      <c r="L284" t="s">
        <v>2789</v>
      </c>
      <c r="M284" t="s">
        <v>2570</v>
      </c>
      <c r="N284" t="s">
        <v>2590</v>
      </c>
      <c r="O284" t="s">
        <v>2605</v>
      </c>
      <c r="R284" t="s">
        <v>2790</v>
      </c>
      <c r="S284" t="s">
        <v>2606</v>
      </c>
      <c r="T284">
        <v>2</v>
      </c>
      <c r="U284" s="2">
        <v>687.56</v>
      </c>
      <c r="V284" s="3">
        <v>0</v>
      </c>
      <c r="W284" s="2">
        <v>1375.12</v>
      </c>
      <c r="X284" s="2">
        <v>470.26</v>
      </c>
      <c r="Y284" s="3">
        <v>0.3419774274245157</v>
      </c>
      <c r="Z284" t="s">
        <v>1496</v>
      </c>
      <c r="AA284" t="s">
        <v>1498</v>
      </c>
      <c r="AB284" t="s">
        <v>1501</v>
      </c>
      <c r="AC284">
        <v>1</v>
      </c>
      <c r="AD284">
        <v>2024</v>
      </c>
      <c r="AE284" t="s">
        <v>2815</v>
      </c>
      <c r="AF284" t="s">
        <v>2827</v>
      </c>
      <c r="AG284" t="s">
        <v>2846</v>
      </c>
      <c r="AH284" t="s">
        <v>2848</v>
      </c>
      <c r="AI284">
        <v>1</v>
      </c>
    </row>
    <row r="285" spans="1:35" x14ac:dyDescent="0.3">
      <c r="A285" t="s">
        <v>280</v>
      </c>
      <c r="B285">
        <v>1</v>
      </c>
      <c r="C285" s="1">
        <v>45506</v>
      </c>
      <c r="D285" s="1">
        <v>45509</v>
      </c>
      <c r="E285" t="s">
        <v>1130</v>
      </c>
      <c r="F285" t="s">
        <v>1723</v>
      </c>
      <c r="G285" t="s">
        <v>1331</v>
      </c>
      <c r="H285" t="s">
        <v>2706</v>
      </c>
      <c r="I285" t="s">
        <v>2741</v>
      </c>
      <c r="J285" t="s">
        <v>2765</v>
      </c>
      <c r="K285" t="s">
        <v>1480</v>
      </c>
      <c r="L285" t="s">
        <v>2789</v>
      </c>
      <c r="M285" t="s">
        <v>2556</v>
      </c>
      <c r="N285" t="s">
        <v>2574</v>
      </c>
      <c r="O285" t="s">
        <v>2602</v>
      </c>
      <c r="R285" t="s">
        <v>2790</v>
      </c>
      <c r="S285" t="s">
        <v>2606</v>
      </c>
      <c r="T285">
        <v>3</v>
      </c>
      <c r="U285" s="2">
        <v>1520.12</v>
      </c>
      <c r="V285" s="3">
        <v>0</v>
      </c>
      <c r="W285" s="2">
        <v>4560.3599999999997</v>
      </c>
      <c r="X285" s="2">
        <v>1643.07</v>
      </c>
      <c r="Y285" s="3">
        <v>0.36029392416388178</v>
      </c>
      <c r="Z285" t="s">
        <v>1497</v>
      </c>
      <c r="AA285" t="s">
        <v>1498</v>
      </c>
      <c r="AB285" t="s">
        <v>1501</v>
      </c>
      <c r="AC285">
        <v>3</v>
      </c>
      <c r="AD285">
        <v>2024</v>
      </c>
      <c r="AE285" t="s">
        <v>2815</v>
      </c>
      <c r="AF285" t="s">
        <v>2827</v>
      </c>
      <c r="AG285" t="s">
        <v>2846</v>
      </c>
      <c r="AH285" t="s">
        <v>2848</v>
      </c>
      <c r="AI285">
        <v>1</v>
      </c>
    </row>
    <row r="286" spans="1:35" x14ac:dyDescent="0.3">
      <c r="A286" t="s">
        <v>281</v>
      </c>
      <c r="B286">
        <v>1</v>
      </c>
      <c r="C286" s="1">
        <v>45511</v>
      </c>
      <c r="D286" s="1">
        <v>45511</v>
      </c>
      <c r="E286" t="s">
        <v>1144</v>
      </c>
      <c r="F286" t="s">
        <v>1657</v>
      </c>
      <c r="G286" t="s">
        <v>1412</v>
      </c>
      <c r="H286" t="s">
        <v>2615</v>
      </c>
      <c r="I286" t="s">
        <v>2737</v>
      </c>
      <c r="J286" t="s">
        <v>2743</v>
      </c>
      <c r="K286" t="s">
        <v>1486</v>
      </c>
      <c r="L286" t="s">
        <v>2776</v>
      </c>
      <c r="M286" t="s">
        <v>2556</v>
      </c>
      <c r="N286" t="s">
        <v>2574</v>
      </c>
      <c r="O286" t="s">
        <v>2602</v>
      </c>
      <c r="P286" t="s">
        <v>2551</v>
      </c>
      <c r="Q286" t="s">
        <v>2574</v>
      </c>
      <c r="R286" t="s">
        <v>2602</v>
      </c>
      <c r="S286" t="s">
        <v>2608</v>
      </c>
      <c r="T286">
        <v>1</v>
      </c>
      <c r="U286" s="2">
        <v>78073.17</v>
      </c>
      <c r="V286" s="3">
        <v>0</v>
      </c>
      <c r="W286" s="2">
        <v>78073.17</v>
      </c>
      <c r="X286" s="2">
        <v>12188.31</v>
      </c>
      <c r="Y286" s="3">
        <v>0.15611393773302659</v>
      </c>
      <c r="Z286" t="s">
        <v>1497</v>
      </c>
      <c r="AA286" t="s">
        <v>1498</v>
      </c>
      <c r="AB286" t="s">
        <v>1501</v>
      </c>
      <c r="AC286">
        <v>0</v>
      </c>
      <c r="AD286">
        <v>2024</v>
      </c>
      <c r="AE286" t="s">
        <v>2815</v>
      </c>
      <c r="AF286" t="s">
        <v>2827</v>
      </c>
      <c r="AG286" t="s">
        <v>2846</v>
      </c>
      <c r="AH286" t="s">
        <v>2848</v>
      </c>
      <c r="AI286">
        <v>1</v>
      </c>
    </row>
    <row r="287" spans="1:35" x14ac:dyDescent="0.3">
      <c r="A287" t="s">
        <v>282</v>
      </c>
      <c r="B287">
        <v>1</v>
      </c>
      <c r="C287" s="1">
        <v>45511</v>
      </c>
      <c r="D287" s="1">
        <v>45511</v>
      </c>
      <c r="E287" t="s">
        <v>978</v>
      </c>
      <c r="F287" t="s">
        <v>1887</v>
      </c>
      <c r="G287" t="s">
        <v>1393</v>
      </c>
      <c r="H287" t="s">
        <v>2683</v>
      </c>
      <c r="I287" t="s">
        <v>2739</v>
      </c>
      <c r="J287" t="s">
        <v>2759</v>
      </c>
      <c r="K287" t="s">
        <v>1484</v>
      </c>
      <c r="L287" t="s">
        <v>2778</v>
      </c>
      <c r="M287" t="s">
        <v>2555</v>
      </c>
      <c r="N287" t="s">
        <v>2578</v>
      </c>
      <c r="O287" t="s">
        <v>2603</v>
      </c>
      <c r="P287" t="s">
        <v>2559</v>
      </c>
      <c r="Q287" t="s">
        <v>2559</v>
      </c>
      <c r="R287" t="s">
        <v>2603</v>
      </c>
      <c r="S287" t="s">
        <v>2607</v>
      </c>
      <c r="T287">
        <v>2</v>
      </c>
      <c r="U287" s="2">
        <v>3230.07</v>
      </c>
      <c r="V287" s="3">
        <v>0</v>
      </c>
      <c r="W287" s="2">
        <v>6460.14</v>
      </c>
      <c r="X287" s="2">
        <v>2723.04</v>
      </c>
      <c r="Y287" s="3">
        <v>0.42151408483407482</v>
      </c>
      <c r="Z287" t="s">
        <v>1494</v>
      </c>
      <c r="AA287" t="s">
        <v>1498</v>
      </c>
      <c r="AB287" t="s">
        <v>1501</v>
      </c>
      <c r="AC287">
        <v>0</v>
      </c>
      <c r="AD287">
        <v>2024</v>
      </c>
      <c r="AE287" t="s">
        <v>2815</v>
      </c>
      <c r="AF287" t="s">
        <v>2827</v>
      </c>
      <c r="AG287" t="s">
        <v>2846</v>
      </c>
      <c r="AH287" t="s">
        <v>2848</v>
      </c>
      <c r="AI287">
        <v>1</v>
      </c>
    </row>
    <row r="288" spans="1:35" x14ac:dyDescent="0.3">
      <c r="A288" t="s">
        <v>283</v>
      </c>
      <c r="B288">
        <v>3</v>
      </c>
      <c r="C288" s="1">
        <v>45511</v>
      </c>
      <c r="D288" s="1">
        <v>45511</v>
      </c>
      <c r="E288" t="s">
        <v>1118</v>
      </c>
      <c r="F288" t="s">
        <v>1789</v>
      </c>
      <c r="G288" t="s">
        <v>1373</v>
      </c>
      <c r="H288" t="s">
        <v>2696</v>
      </c>
      <c r="I288" t="s">
        <v>2740</v>
      </c>
      <c r="J288" t="s">
        <v>2762</v>
      </c>
      <c r="K288" t="s">
        <v>1487</v>
      </c>
      <c r="L288" t="s">
        <v>2785</v>
      </c>
      <c r="M288" t="s">
        <v>2564</v>
      </c>
      <c r="N288" t="s">
        <v>2582</v>
      </c>
      <c r="O288" t="s">
        <v>2601</v>
      </c>
      <c r="P288" t="s">
        <v>2550</v>
      </c>
      <c r="Q288" t="s">
        <v>2573</v>
      </c>
      <c r="R288" t="s">
        <v>2601</v>
      </c>
      <c r="S288" t="s">
        <v>2606</v>
      </c>
      <c r="T288">
        <v>1</v>
      </c>
      <c r="U288" s="2">
        <v>1404.85</v>
      </c>
      <c r="V288" s="3">
        <v>0.05</v>
      </c>
      <c r="W288" s="2">
        <v>1334.61</v>
      </c>
      <c r="X288" s="2">
        <v>61.52</v>
      </c>
      <c r="Y288" s="3">
        <v>4.6095863210975488E-2</v>
      </c>
      <c r="Z288" t="s">
        <v>1496</v>
      </c>
      <c r="AA288" t="s">
        <v>1498</v>
      </c>
      <c r="AB288" t="s">
        <v>1501</v>
      </c>
      <c r="AC288">
        <v>0</v>
      </c>
      <c r="AD288">
        <v>2024</v>
      </c>
      <c r="AE288" t="s">
        <v>2815</v>
      </c>
      <c r="AF288" t="s">
        <v>2827</v>
      </c>
      <c r="AG288" t="s">
        <v>2846</v>
      </c>
      <c r="AH288" t="s">
        <v>2848</v>
      </c>
      <c r="AI288">
        <v>1</v>
      </c>
    </row>
    <row r="289" spans="1:35" x14ac:dyDescent="0.3">
      <c r="A289" t="s">
        <v>284</v>
      </c>
      <c r="B289">
        <v>1</v>
      </c>
      <c r="C289" s="1">
        <v>45513</v>
      </c>
      <c r="D289" s="1">
        <v>45514</v>
      </c>
      <c r="E289" t="s">
        <v>1145</v>
      </c>
      <c r="F289" t="s">
        <v>1805</v>
      </c>
      <c r="G289" t="s">
        <v>1373</v>
      </c>
      <c r="H289" t="s">
        <v>2696</v>
      </c>
      <c r="I289" t="s">
        <v>2740</v>
      </c>
      <c r="J289" t="s">
        <v>2762</v>
      </c>
      <c r="K289" t="s">
        <v>1487</v>
      </c>
      <c r="L289" t="s">
        <v>2785</v>
      </c>
      <c r="M289" t="s">
        <v>2564</v>
      </c>
      <c r="N289" t="s">
        <v>2582</v>
      </c>
      <c r="O289" t="s">
        <v>2601</v>
      </c>
      <c r="P289" t="s">
        <v>2550</v>
      </c>
      <c r="Q289" t="s">
        <v>2573</v>
      </c>
      <c r="R289" t="s">
        <v>2601</v>
      </c>
      <c r="S289" t="s">
        <v>2608</v>
      </c>
      <c r="T289">
        <v>1</v>
      </c>
      <c r="U289" s="2">
        <v>1404.85</v>
      </c>
      <c r="V289" s="3">
        <v>0</v>
      </c>
      <c r="W289" s="2">
        <v>1404.85</v>
      </c>
      <c r="X289" s="2">
        <v>131.76</v>
      </c>
      <c r="Y289" s="3">
        <v>9.3789372530875187E-2</v>
      </c>
      <c r="Z289" t="s">
        <v>1495</v>
      </c>
      <c r="AA289" t="s">
        <v>1498</v>
      </c>
      <c r="AB289" t="s">
        <v>1501</v>
      </c>
      <c r="AC289">
        <v>1</v>
      </c>
      <c r="AD289">
        <v>2024</v>
      </c>
      <c r="AE289" t="s">
        <v>2815</v>
      </c>
      <c r="AF289" t="s">
        <v>2827</v>
      </c>
      <c r="AG289" t="s">
        <v>2846</v>
      </c>
      <c r="AH289" t="s">
        <v>2848</v>
      </c>
      <c r="AI289">
        <v>1</v>
      </c>
    </row>
    <row r="290" spans="1:35" x14ac:dyDescent="0.3">
      <c r="A290" t="s">
        <v>285</v>
      </c>
      <c r="B290">
        <v>2</v>
      </c>
      <c r="C290" s="1">
        <v>45513</v>
      </c>
      <c r="D290" s="1">
        <v>45513</v>
      </c>
      <c r="E290" t="s">
        <v>1008</v>
      </c>
      <c r="F290" t="s">
        <v>1884</v>
      </c>
      <c r="G290" t="s">
        <v>1426</v>
      </c>
      <c r="H290" t="s">
        <v>2661</v>
      </c>
      <c r="I290" t="s">
        <v>2738</v>
      </c>
      <c r="J290" t="s">
        <v>2754</v>
      </c>
      <c r="K290" t="s">
        <v>1489</v>
      </c>
      <c r="L290" t="s">
        <v>2787</v>
      </c>
      <c r="M290" t="s">
        <v>2564</v>
      </c>
      <c r="N290" t="s">
        <v>2582</v>
      </c>
      <c r="O290" t="s">
        <v>2601</v>
      </c>
      <c r="P290" t="s">
        <v>2566</v>
      </c>
      <c r="Q290" t="s">
        <v>2584</v>
      </c>
      <c r="R290" t="s">
        <v>2601</v>
      </c>
      <c r="S290" t="s">
        <v>2606</v>
      </c>
      <c r="T290">
        <v>3</v>
      </c>
      <c r="U290" s="2">
        <v>33135.4</v>
      </c>
      <c r="V290" s="3">
        <v>0</v>
      </c>
      <c r="W290" s="2">
        <v>99406.2</v>
      </c>
      <c r="X290" s="2">
        <v>25929.87</v>
      </c>
      <c r="Y290" s="3">
        <v>0.26084761312674659</v>
      </c>
      <c r="Z290" t="s">
        <v>1496</v>
      </c>
      <c r="AA290" t="s">
        <v>1498</v>
      </c>
      <c r="AB290" t="s">
        <v>1501</v>
      </c>
      <c r="AC290">
        <v>0</v>
      </c>
      <c r="AD290">
        <v>2024</v>
      </c>
      <c r="AE290" t="s">
        <v>2815</v>
      </c>
      <c r="AF290" t="s">
        <v>2827</v>
      </c>
      <c r="AG290" t="s">
        <v>2846</v>
      </c>
      <c r="AH290" t="s">
        <v>2848</v>
      </c>
      <c r="AI290">
        <v>1</v>
      </c>
    </row>
    <row r="291" spans="1:35" x14ac:dyDescent="0.3">
      <c r="A291" t="s">
        <v>286</v>
      </c>
      <c r="B291">
        <v>1</v>
      </c>
      <c r="C291" s="1">
        <v>45514</v>
      </c>
      <c r="D291" s="1">
        <v>45515</v>
      </c>
      <c r="E291" t="s">
        <v>1123</v>
      </c>
      <c r="F291" t="s">
        <v>1824</v>
      </c>
      <c r="G291" t="s">
        <v>1449</v>
      </c>
      <c r="H291" t="s">
        <v>2642</v>
      </c>
      <c r="I291" t="s">
        <v>2738</v>
      </c>
      <c r="J291" t="s">
        <v>2750</v>
      </c>
      <c r="K291" t="s">
        <v>1487</v>
      </c>
      <c r="L291" t="s">
        <v>2785</v>
      </c>
      <c r="M291" t="s">
        <v>2554</v>
      </c>
      <c r="N291" t="s">
        <v>2577</v>
      </c>
      <c r="O291" t="s">
        <v>2601</v>
      </c>
      <c r="P291" t="s">
        <v>2550</v>
      </c>
      <c r="Q291" t="s">
        <v>2573</v>
      </c>
      <c r="R291" t="s">
        <v>2601</v>
      </c>
      <c r="S291" t="s">
        <v>2606</v>
      </c>
      <c r="T291">
        <v>2</v>
      </c>
      <c r="U291" s="2">
        <v>22795.96</v>
      </c>
      <c r="V291" s="3">
        <v>0</v>
      </c>
      <c r="W291" s="2">
        <v>45591.92</v>
      </c>
      <c r="X291" s="2">
        <v>10194.620000000001</v>
      </c>
      <c r="Y291" s="3">
        <v>0.2236058494575355</v>
      </c>
      <c r="Z291" t="s">
        <v>1496</v>
      </c>
      <c r="AA291" t="s">
        <v>1499</v>
      </c>
      <c r="AB291" t="s">
        <v>1501</v>
      </c>
      <c r="AC291">
        <v>1</v>
      </c>
      <c r="AD291">
        <v>2024</v>
      </c>
      <c r="AE291" t="s">
        <v>2815</v>
      </c>
      <c r="AF291" t="s">
        <v>2827</v>
      </c>
      <c r="AG291" t="s">
        <v>2846</v>
      </c>
      <c r="AH291" t="s">
        <v>2848</v>
      </c>
      <c r="AI291">
        <v>1</v>
      </c>
    </row>
    <row r="292" spans="1:35" x14ac:dyDescent="0.3">
      <c r="A292" t="s">
        <v>287</v>
      </c>
      <c r="B292">
        <v>1</v>
      </c>
      <c r="C292" s="1">
        <v>45514</v>
      </c>
      <c r="E292" t="s">
        <v>1003</v>
      </c>
      <c r="F292" t="s">
        <v>1792</v>
      </c>
      <c r="G292" t="s">
        <v>1358</v>
      </c>
      <c r="H292" t="s">
        <v>2636</v>
      </c>
      <c r="I292" t="s">
        <v>2737</v>
      </c>
      <c r="J292" t="s">
        <v>2747</v>
      </c>
      <c r="K292" t="s">
        <v>1486</v>
      </c>
      <c r="L292" t="s">
        <v>2776</v>
      </c>
      <c r="M292" t="s">
        <v>2553</v>
      </c>
      <c r="N292" t="s">
        <v>2576</v>
      </c>
      <c r="O292" t="s">
        <v>2602</v>
      </c>
      <c r="P292" t="s">
        <v>2551</v>
      </c>
      <c r="Q292" t="s">
        <v>2574</v>
      </c>
      <c r="R292" t="s">
        <v>2602</v>
      </c>
      <c r="S292" t="s">
        <v>2606</v>
      </c>
      <c r="T292">
        <v>1</v>
      </c>
      <c r="U292" s="2">
        <v>37487.300000000003</v>
      </c>
      <c r="V292" s="3">
        <v>0.05</v>
      </c>
      <c r="W292" s="2">
        <v>35612.93</v>
      </c>
      <c r="X292" s="2">
        <v>1729.18</v>
      </c>
      <c r="Y292" s="3">
        <v>4.8554836684316621E-2</v>
      </c>
      <c r="Z292" t="s">
        <v>1494</v>
      </c>
      <c r="AA292" t="s">
        <v>1499</v>
      </c>
      <c r="AB292" t="s">
        <v>1503</v>
      </c>
      <c r="AD292">
        <v>2024</v>
      </c>
      <c r="AE292" t="s">
        <v>2815</v>
      </c>
      <c r="AF292" t="s">
        <v>2827</v>
      </c>
      <c r="AG292" t="s">
        <v>2846</v>
      </c>
      <c r="AH292" t="s">
        <v>2848</v>
      </c>
      <c r="AI292">
        <v>1</v>
      </c>
    </row>
    <row r="293" spans="1:35" x14ac:dyDescent="0.3">
      <c r="A293" t="s">
        <v>288</v>
      </c>
      <c r="B293">
        <v>1</v>
      </c>
      <c r="C293" s="1">
        <v>45515</v>
      </c>
      <c r="D293" s="1">
        <v>45517</v>
      </c>
      <c r="E293" t="s">
        <v>1146</v>
      </c>
      <c r="F293" t="s">
        <v>1704</v>
      </c>
      <c r="G293" t="s">
        <v>1378</v>
      </c>
      <c r="H293" t="s">
        <v>2704</v>
      </c>
      <c r="I293" t="s">
        <v>2740</v>
      </c>
      <c r="J293" t="s">
        <v>2764</v>
      </c>
      <c r="K293" t="s">
        <v>1480</v>
      </c>
      <c r="L293" t="s">
        <v>2789</v>
      </c>
      <c r="M293" t="s">
        <v>2553</v>
      </c>
      <c r="N293" t="s">
        <v>2576</v>
      </c>
      <c r="O293" t="s">
        <v>2602</v>
      </c>
      <c r="R293" t="s">
        <v>2790</v>
      </c>
      <c r="S293" t="s">
        <v>2606</v>
      </c>
      <c r="T293">
        <v>1</v>
      </c>
      <c r="U293" s="2">
        <v>1378.78</v>
      </c>
      <c r="V293" s="3">
        <v>0</v>
      </c>
      <c r="W293" s="2">
        <v>1378.78</v>
      </c>
      <c r="X293" s="2">
        <v>176.66</v>
      </c>
      <c r="Y293" s="3">
        <v>0.1281277651256908</v>
      </c>
      <c r="Z293" t="s">
        <v>1495</v>
      </c>
      <c r="AA293" t="s">
        <v>1499</v>
      </c>
      <c r="AB293" t="s">
        <v>1502</v>
      </c>
      <c r="AC293">
        <v>2</v>
      </c>
      <c r="AD293">
        <v>2024</v>
      </c>
      <c r="AE293" t="s">
        <v>2815</v>
      </c>
      <c r="AF293" t="s">
        <v>2827</v>
      </c>
      <c r="AG293" t="s">
        <v>2846</v>
      </c>
      <c r="AH293" t="s">
        <v>2848</v>
      </c>
      <c r="AI293">
        <v>1</v>
      </c>
    </row>
    <row r="294" spans="1:35" x14ac:dyDescent="0.3">
      <c r="A294" t="s">
        <v>289</v>
      </c>
      <c r="B294">
        <v>2</v>
      </c>
      <c r="C294" s="1">
        <v>45515</v>
      </c>
      <c r="D294" s="1">
        <v>45515</v>
      </c>
      <c r="E294" t="s">
        <v>986</v>
      </c>
      <c r="F294" t="s">
        <v>1955</v>
      </c>
      <c r="G294" t="s">
        <v>1454</v>
      </c>
      <c r="H294" t="s">
        <v>2631</v>
      </c>
      <c r="I294" t="s">
        <v>2737</v>
      </c>
      <c r="J294" t="s">
        <v>2746</v>
      </c>
      <c r="K294" t="s">
        <v>1483</v>
      </c>
      <c r="L294" t="s">
        <v>2781</v>
      </c>
      <c r="M294" t="s">
        <v>2568</v>
      </c>
      <c r="N294" t="s">
        <v>2586</v>
      </c>
      <c r="O294" t="s">
        <v>2603</v>
      </c>
      <c r="P294" t="s">
        <v>2568</v>
      </c>
      <c r="Q294" t="s">
        <v>2586</v>
      </c>
      <c r="R294" t="s">
        <v>2603</v>
      </c>
      <c r="S294" t="s">
        <v>2606</v>
      </c>
      <c r="T294">
        <v>1</v>
      </c>
      <c r="U294" s="2">
        <v>51141.75</v>
      </c>
      <c r="V294" s="3">
        <v>0</v>
      </c>
      <c r="W294" s="2">
        <v>51141.75</v>
      </c>
      <c r="X294" s="2">
        <v>6922.44</v>
      </c>
      <c r="Y294" s="3">
        <v>0.13535790230095759</v>
      </c>
      <c r="Z294" t="s">
        <v>1496</v>
      </c>
      <c r="AA294" t="s">
        <v>1498</v>
      </c>
      <c r="AB294" t="s">
        <v>1501</v>
      </c>
      <c r="AC294">
        <v>0</v>
      </c>
      <c r="AD294">
        <v>2024</v>
      </c>
      <c r="AE294" t="s">
        <v>2815</v>
      </c>
      <c r="AF294" t="s">
        <v>2827</v>
      </c>
      <c r="AG294" t="s">
        <v>2846</v>
      </c>
      <c r="AH294" t="s">
        <v>2848</v>
      </c>
      <c r="AI294">
        <v>1</v>
      </c>
    </row>
    <row r="295" spans="1:35" x14ac:dyDescent="0.3">
      <c r="A295" t="s">
        <v>290</v>
      </c>
      <c r="B295">
        <v>1</v>
      </c>
      <c r="C295" s="1">
        <v>45515</v>
      </c>
      <c r="D295" s="1">
        <v>45516</v>
      </c>
      <c r="E295" t="s">
        <v>1147</v>
      </c>
      <c r="F295" t="s">
        <v>1879</v>
      </c>
      <c r="G295" t="s">
        <v>1344</v>
      </c>
      <c r="H295" t="s">
        <v>2717</v>
      </c>
      <c r="I295" t="s">
        <v>2741</v>
      </c>
      <c r="J295" t="s">
        <v>2768</v>
      </c>
      <c r="K295" t="s">
        <v>1491</v>
      </c>
      <c r="L295" t="s">
        <v>2779</v>
      </c>
      <c r="M295" t="s">
        <v>2552</v>
      </c>
      <c r="N295" t="s">
        <v>2575</v>
      </c>
      <c r="O295" t="s">
        <v>2603</v>
      </c>
      <c r="P295" t="s">
        <v>2555</v>
      </c>
      <c r="Q295" t="s">
        <v>2578</v>
      </c>
      <c r="R295" t="s">
        <v>2603</v>
      </c>
      <c r="S295" t="s">
        <v>2607</v>
      </c>
      <c r="T295">
        <v>1</v>
      </c>
      <c r="U295" s="2">
        <v>555.59</v>
      </c>
      <c r="V295" s="3">
        <v>0</v>
      </c>
      <c r="W295" s="2">
        <v>555.59</v>
      </c>
      <c r="X295" s="2">
        <v>176.49</v>
      </c>
      <c r="Y295" s="3">
        <v>0.31766230493709391</v>
      </c>
      <c r="Z295" t="s">
        <v>1493</v>
      </c>
      <c r="AA295" t="s">
        <v>1499</v>
      </c>
      <c r="AB295" t="s">
        <v>1502</v>
      </c>
      <c r="AC295">
        <v>1</v>
      </c>
      <c r="AD295">
        <v>2024</v>
      </c>
      <c r="AE295" t="s">
        <v>2815</v>
      </c>
      <c r="AF295" t="s">
        <v>2827</v>
      </c>
      <c r="AG295" t="s">
        <v>2846</v>
      </c>
      <c r="AH295" t="s">
        <v>2848</v>
      </c>
      <c r="AI295">
        <v>1</v>
      </c>
    </row>
    <row r="296" spans="1:35" x14ac:dyDescent="0.3">
      <c r="A296" t="s">
        <v>291</v>
      </c>
      <c r="B296">
        <v>2</v>
      </c>
      <c r="C296" s="1">
        <v>45516</v>
      </c>
      <c r="D296" s="1">
        <v>45517</v>
      </c>
      <c r="E296" t="s">
        <v>1148</v>
      </c>
      <c r="F296" t="s">
        <v>1884</v>
      </c>
      <c r="G296" t="s">
        <v>1416</v>
      </c>
      <c r="H296" t="s">
        <v>2700</v>
      </c>
      <c r="I296" t="s">
        <v>2740</v>
      </c>
      <c r="J296" t="s">
        <v>2763</v>
      </c>
      <c r="K296" t="s">
        <v>1481</v>
      </c>
      <c r="L296" t="s">
        <v>2777</v>
      </c>
      <c r="M296" t="s">
        <v>2557</v>
      </c>
      <c r="N296" t="s">
        <v>2576</v>
      </c>
      <c r="O296" t="s">
        <v>2602</v>
      </c>
      <c r="P296" t="s">
        <v>2557</v>
      </c>
      <c r="Q296" t="s">
        <v>2576</v>
      </c>
      <c r="R296" t="s">
        <v>2602</v>
      </c>
      <c r="S296" t="s">
        <v>2607</v>
      </c>
      <c r="T296">
        <v>2</v>
      </c>
      <c r="U296" s="2">
        <v>1404.87</v>
      </c>
      <c r="V296" s="3">
        <v>0</v>
      </c>
      <c r="W296" s="2">
        <v>2809.74</v>
      </c>
      <c r="X296" s="2">
        <v>359.74</v>
      </c>
      <c r="Y296" s="3">
        <v>0.12803319880131259</v>
      </c>
      <c r="Z296" t="s">
        <v>1496</v>
      </c>
      <c r="AA296" t="s">
        <v>1498</v>
      </c>
      <c r="AB296" t="s">
        <v>1501</v>
      </c>
      <c r="AC296">
        <v>1</v>
      </c>
      <c r="AD296">
        <v>2024</v>
      </c>
      <c r="AE296" t="s">
        <v>2815</v>
      </c>
      <c r="AF296" t="s">
        <v>2827</v>
      </c>
      <c r="AG296" t="s">
        <v>2846</v>
      </c>
      <c r="AH296" t="s">
        <v>2848</v>
      </c>
      <c r="AI296">
        <v>1</v>
      </c>
    </row>
    <row r="297" spans="1:35" x14ac:dyDescent="0.3">
      <c r="A297" t="s">
        <v>292</v>
      </c>
      <c r="B297">
        <v>1</v>
      </c>
      <c r="C297" s="1">
        <v>45517</v>
      </c>
      <c r="D297" s="1">
        <v>45519</v>
      </c>
      <c r="E297" t="s">
        <v>1149</v>
      </c>
      <c r="F297" t="s">
        <v>2031</v>
      </c>
      <c r="G297" t="s">
        <v>1394</v>
      </c>
      <c r="H297" t="s">
        <v>2664</v>
      </c>
      <c r="I297" t="s">
        <v>2739</v>
      </c>
      <c r="J297" t="s">
        <v>2755</v>
      </c>
      <c r="K297" t="s">
        <v>1480</v>
      </c>
      <c r="L297" t="s">
        <v>2789</v>
      </c>
      <c r="M297" t="s">
        <v>2561</v>
      </c>
      <c r="N297" t="s">
        <v>2598</v>
      </c>
      <c r="O297" t="s">
        <v>2601</v>
      </c>
      <c r="R297" t="s">
        <v>2790</v>
      </c>
      <c r="S297" t="s">
        <v>2606</v>
      </c>
      <c r="T297">
        <v>1</v>
      </c>
      <c r="U297" s="2">
        <v>902.62</v>
      </c>
      <c r="V297" s="3">
        <v>0</v>
      </c>
      <c r="W297" s="2">
        <v>902.62</v>
      </c>
      <c r="X297" s="2">
        <v>250.99</v>
      </c>
      <c r="Y297" s="3">
        <v>0.27806829008885248</v>
      </c>
      <c r="Z297" t="s">
        <v>1494</v>
      </c>
      <c r="AA297" t="s">
        <v>1499</v>
      </c>
      <c r="AB297" t="s">
        <v>1501</v>
      </c>
      <c r="AC297">
        <v>2</v>
      </c>
      <c r="AD297">
        <v>2024</v>
      </c>
      <c r="AE297" t="s">
        <v>2815</v>
      </c>
      <c r="AF297" t="s">
        <v>2827</v>
      </c>
      <c r="AG297" t="s">
        <v>2846</v>
      </c>
      <c r="AH297" t="s">
        <v>2848</v>
      </c>
      <c r="AI297">
        <v>1</v>
      </c>
    </row>
    <row r="298" spans="1:35" x14ac:dyDescent="0.3">
      <c r="A298" t="s">
        <v>293</v>
      </c>
      <c r="B298">
        <v>2</v>
      </c>
      <c r="C298" s="1">
        <v>45519</v>
      </c>
      <c r="D298" s="1">
        <v>45520</v>
      </c>
      <c r="E298" t="s">
        <v>1092</v>
      </c>
      <c r="F298" t="s">
        <v>2003</v>
      </c>
      <c r="G298" t="s">
        <v>1392</v>
      </c>
      <c r="H298" t="s">
        <v>2655</v>
      </c>
      <c r="I298" t="s">
        <v>2738</v>
      </c>
      <c r="J298" t="s">
        <v>2753</v>
      </c>
      <c r="K298" t="s">
        <v>1478</v>
      </c>
      <c r="L298" t="s">
        <v>2782</v>
      </c>
      <c r="M298" t="s">
        <v>2560</v>
      </c>
      <c r="N298" t="s">
        <v>2579</v>
      </c>
      <c r="O298" t="s">
        <v>2604</v>
      </c>
      <c r="P298" t="s">
        <v>2565</v>
      </c>
      <c r="Q298" t="s">
        <v>2583</v>
      </c>
      <c r="R298" t="s">
        <v>2604</v>
      </c>
      <c r="S298" t="s">
        <v>2608</v>
      </c>
      <c r="T298">
        <v>2</v>
      </c>
      <c r="U298" s="2">
        <v>17688.330000000002</v>
      </c>
      <c r="V298" s="3">
        <v>0</v>
      </c>
      <c r="W298" s="2">
        <v>35376.660000000003</v>
      </c>
      <c r="X298" s="2">
        <v>5807.78</v>
      </c>
      <c r="Y298" s="3">
        <v>0.16416982270231281</v>
      </c>
      <c r="Z298" t="s">
        <v>1494</v>
      </c>
      <c r="AA298" t="s">
        <v>1500</v>
      </c>
      <c r="AB298" t="s">
        <v>1501</v>
      </c>
      <c r="AC298">
        <v>1</v>
      </c>
      <c r="AD298">
        <v>2024</v>
      </c>
      <c r="AE298" t="s">
        <v>2815</v>
      </c>
      <c r="AF298" t="s">
        <v>2827</v>
      </c>
      <c r="AG298" t="s">
        <v>2846</v>
      </c>
      <c r="AH298" t="s">
        <v>2848</v>
      </c>
      <c r="AI298">
        <v>1</v>
      </c>
    </row>
    <row r="299" spans="1:35" x14ac:dyDescent="0.3">
      <c r="A299" t="s">
        <v>294</v>
      </c>
      <c r="B299">
        <v>1</v>
      </c>
      <c r="C299" s="1">
        <v>45520</v>
      </c>
      <c r="D299" s="1">
        <v>45521</v>
      </c>
      <c r="E299" t="s">
        <v>975</v>
      </c>
      <c r="F299" t="s">
        <v>1956</v>
      </c>
      <c r="G299" t="s">
        <v>1387</v>
      </c>
      <c r="H299" t="s">
        <v>2730</v>
      </c>
      <c r="I299" t="s">
        <v>2742</v>
      </c>
      <c r="J299" t="s">
        <v>2771</v>
      </c>
      <c r="K299" t="s">
        <v>1480</v>
      </c>
      <c r="L299" t="s">
        <v>2789</v>
      </c>
      <c r="M299" t="s">
        <v>2559</v>
      </c>
      <c r="N299" t="s">
        <v>2559</v>
      </c>
      <c r="O299" t="s">
        <v>2603</v>
      </c>
      <c r="R299" t="s">
        <v>2790</v>
      </c>
      <c r="S299" t="s">
        <v>2608</v>
      </c>
      <c r="T299">
        <v>2</v>
      </c>
      <c r="U299" s="2">
        <v>2184.2199999999998</v>
      </c>
      <c r="V299" s="3">
        <v>0</v>
      </c>
      <c r="W299" s="2">
        <v>4368.4399999999996</v>
      </c>
      <c r="X299" s="2">
        <v>1084.22</v>
      </c>
      <c r="Y299" s="3">
        <v>0.24819386325553289</v>
      </c>
      <c r="Z299" t="s">
        <v>1497</v>
      </c>
      <c r="AA299" t="s">
        <v>1498</v>
      </c>
      <c r="AB299" t="s">
        <v>1501</v>
      </c>
      <c r="AC299">
        <v>1</v>
      </c>
      <c r="AD299">
        <v>2024</v>
      </c>
      <c r="AE299" t="s">
        <v>2815</v>
      </c>
      <c r="AF299" t="s">
        <v>2827</v>
      </c>
      <c r="AG299" t="s">
        <v>2846</v>
      </c>
      <c r="AH299" t="s">
        <v>2848</v>
      </c>
      <c r="AI299">
        <v>1</v>
      </c>
    </row>
    <row r="300" spans="1:35" x14ac:dyDescent="0.3">
      <c r="A300" t="s">
        <v>295</v>
      </c>
      <c r="B300">
        <v>2</v>
      </c>
      <c r="C300" s="1">
        <v>45520</v>
      </c>
      <c r="D300" s="1">
        <v>45520</v>
      </c>
      <c r="E300" t="s">
        <v>1080</v>
      </c>
      <c r="F300" t="s">
        <v>1978</v>
      </c>
      <c r="G300" t="s">
        <v>1377</v>
      </c>
      <c r="H300" t="s">
        <v>2652</v>
      </c>
      <c r="I300" t="s">
        <v>2738</v>
      </c>
      <c r="J300" t="s">
        <v>2752</v>
      </c>
      <c r="K300" t="s">
        <v>1481</v>
      </c>
      <c r="L300" t="s">
        <v>2777</v>
      </c>
      <c r="M300" t="s">
        <v>2562</v>
      </c>
      <c r="N300" t="s">
        <v>2574</v>
      </c>
      <c r="O300" t="s">
        <v>2602</v>
      </c>
      <c r="P300" t="s">
        <v>2557</v>
      </c>
      <c r="Q300" t="s">
        <v>2576</v>
      </c>
      <c r="R300" t="s">
        <v>2602</v>
      </c>
      <c r="S300" t="s">
        <v>2607</v>
      </c>
      <c r="T300">
        <v>1</v>
      </c>
      <c r="U300" s="2">
        <v>43870.05</v>
      </c>
      <c r="V300" s="3">
        <v>0</v>
      </c>
      <c r="W300" s="2">
        <v>43870.05</v>
      </c>
      <c r="X300" s="2">
        <v>8494.89</v>
      </c>
      <c r="Y300" s="3">
        <v>0.1936375727859895</v>
      </c>
      <c r="Z300" t="s">
        <v>1494</v>
      </c>
      <c r="AA300" t="s">
        <v>1498</v>
      </c>
      <c r="AB300" t="s">
        <v>1501</v>
      </c>
      <c r="AC300">
        <v>0</v>
      </c>
      <c r="AD300">
        <v>2024</v>
      </c>
      <c r="AE300" t="s">
        <v>2815</v>
      </c>
      <c r="AF300" t="s">
        <v>2827</v>
      </c>
      <c r="AG300" t="s">
        <v>2846</v>
      </c>
      <c r="AH300" t="s">
        <v>2848</v>
      </c>
      <c r="AI300">
        <v>1</v>
      </c>
    </row>
    <row r="301" spans="1:35" x14ac:dyDescent="0.3">
      <c r="A301" t="s">
        <v>296</v>
      </c>
      <c r="B301">
        <v>2</v>
      </c>
      <c r="C301" s="1">
        <v>45520</v>
      </c>
      <c r="D301" s="1">
        <v>45521</v>
      </c>
      <c r="E301" t="s">
        <v>1146</v>
      </c>
      <c r="F301" t="s">
        <v>1704</v>
      </c>
      <c r="G301" t="s">
        <v>1332</v>
      </c>
      <c r="H301" t="s">
        <v>2630</v>
      </c>
      <c r="I301" t="s">
        <v>2737</v>
      </c>
      <c r="J301" t="s">
        <v>2746</v>
      </c>
      <c r="K301" t="s">
        <v>1480</v>
      </c>
      <c r="L301" t="s">
        <v>2789</v>
      </c>
      <c r="M301" t="s">
        <v>2553</v>
      </c>
      <c r="N301" t="s">
        <v>2576</v>
      </c>
      <c r="O301" t="s">
        <v>2602</v>
      </c>
      <c r="R301" t="s">
        <v>2790</v>
      </c>
      <c r="S301" t="s">
        <v>2606</v>
      </c>
      <c r="T301">
        <v>1</v>
      </c>
      <c r="U301" s="2">
        <v>45652.65</v>
      </c>
      <c r="V301" s="3">
        <v>0</v>
      </c>
      <c r="W301" s="2">
        <v>45652.65</v>
      </c>
      <c r="X301" s="2">
        <v>7144.63</v>
      </c>
      <c r="Y301" s="3">
        <v>0.15649978697841199</v>
      </c>
      <c r="Z301" t="s">
        <v>1497</v>
      </c>
      <c r="AA301" t="s">
        <v>1499</v>
      </c>
      <c r="AB301" t="s">
        <v>1501</v>
      </c>
      <c r="AC301">
        <v>1</v>
      </c>
      <c r="AD301">
        <v>2024</v>
      </c>
      <c r="AE301" t="s">
        <v>2815</v>
      </c>
      <c r="AF301" t="s">
        <v>2827</v>
      </c>
      <c r="AG301" t="s">
        <v>2846</v>
      </c>
      <c r="AH301" t="s">
        <v>2848</v>
      </c>
      <c r="AI301">
        <v>1</v>
      </c>
    </row>
    <row r="302" spans="1:35" x14ac:dyDescent="0.3">
      <c r="A302" t="s">
        <v>297</v>
      </c>
      <c r="B302">
        <v>2</v>
      </c>
      <c r="C302" s="1">
        <v>45521</v>
      </c>
      <c r="D302" s="1">
        <v>45522</v>
      </c>
      <c r="E302" t="s">
        <v>1150</v>
      </c>
      <c r="F302" t="s">
        <v>1897</v>
      </c>
      <c r="G302" t="s">
        <v>1455</v>
      </c>
      <c r="H302" t="s">
        <v>2638</v>
      </c>
      <c r="I302" t="s">
        <v>2737</v>
      </c>
      <c r="J302" t="s">
        <v>2748</v>
      </c>
      <c r="K302" t="s">
        <v>1492</v>
      </c>
      <c r="L302" t="s">
        <v>2788</v>
      </c>
      <c r="M302" t="s">
        <v>2550</v>
      </c>
      <c r="N302" t="s">
        <v>2573</v>
      </c>
      <c r="O302" t="s">
        <v>2601</v>
      </c>
      <c r="P302" t="s">
        <v>2554</v>
      </c>
      <c r="Q302" t="s">
        <v>2577</v>
      </c>
      <c r="R302" t="s">
        <v>2601</v>
      </c>
      <c r="S302" t="s">
        <v>2607</v>
      </c>
      <c r="T302">
        <v>1</v>
      </c>
      <c r="U302" s="2">
        <v>50791.32</v>
      </c>
      <c r="V302" s="3">
        <v>0</v>
      </c>
      <c r="W302" s="2">
        <v>50791.32</v>
      </c>
      <c r="X302" s="2">
        <v>5901</v>
      </c>
      <c r="Y302" s="3">
        <v>0.11618126876797059</v>
      </c>
      <c r="Z302" t="s">
        <v>1496</v>
      </c>
      <c r="AA302" t="s">
        <v>1500</v>
      </c>
      <c r="AB302" t="s">
        <v>1501</v>
      </c>
      <c r="AC302">
        <v>1</v>
      </c>
      <c r="AD302">
        <v>2024</v>
      </c>
      <c r="AE302" t="s">
        <v>2815</v>
      </c>
      <c r="AF302" t="s">
        <v>2827</v>
      </c>
      <c r="AG302" t="s">
        <v>2846</v>
      </c>
      <c r="AH302" t="s">
        <v>2848</v>
      </c>
      <c r="AI302">
        <v>1</v>
      </c>
    </row>
    <row r="303" spans="1:35" x14ac:dyDescent="0.3">
      <c r="A303" t="s">
        <v>298</v>
      </c>
      <c r="B303">
        <v>1</v>
      </c>
      <c r="C303" s="1">
        <v>45524</v>
      </c>
      <c r="D303" s="1">
        <v>45527</v>
      </c>
      <c r="E303" t="s">
        <v>1151</v>
      </c>
      <c r="F303" t="s">
        <v>1919</v>
      </c>
      <c r="G303" t="s">
        <v>1411</v>
      </c>
      <c r="H303" t="s">
        <v>2617</v>
      </c>
      <c r="I303" t="s">
        <v>2737</v>
      </c>
      <c r="J303" t="s">
        <v>2744</v>
      </c>
      <c r="K303" t="s">
        <v>1480</v>
      </c>
      <c r="L303" t="s">
        <v>2789</v>
      </c>
      <c r="M303" t="s">
        <v>2572</v>
      </c>
      <c r="N303" t="s">
        <v>2582</v>
      </c>
      <c r="O303" t="s">
        <v>2601</v>
      </c>
      <c r="R303" t="s">
        <v>2790</v>
      </c>
      <c r="S303" t="s">
        <v>2608</v>
      </c>
      <c r="T303">
        <v>1</v>
      </c>
      <c r="U303" s="2">
        <v>65997.17</v>
      </c>
      <c r="V303" s="3">
        <v>0</v>
      </c>
      <c r="W303" s="2">
        <v>65997.17</v>
      </c>
      <c r="X303" s="2">
        <v>8206.18</v>
      </c>
      <c r="Y303" s="3">
        <v>0.1243413922142419</v>
      </c>
      <c r="Z303" t="s">
        <v>1495</v>
      </c>
      <c r="AA303" t="s">
        <v>1499</v>
      </c>
      <c r="AB303" t="s">
        <v>1501</v>
      </c>
      <c r="AC303">
        <v>3</v>
      </c>
      <c r="AD303">
        <v>2024</v>
      </c>
      <c r="AE303" t="s">
        <v>2815</v>
      </c>
      <c r="AF303" t="s">
        <v>2827</v>
      </c>
      <c r="AG303" t="s">
        <v>2846</v>
      </c>
      <c r="AH303" t="s">
        <v>2848</v>
      </c>
      <c r="AI303">
        <v>1</v>
      </c>
    </row>
    <row r="304" spans="1:35" x14ac:dyDescent="0.3">
      <c r="A304" t="s">
        <v>299</v>
      </c>
      <c r="B304">
        <v>1</v>
      </c>
      <c r="C304" s="1">
        <v>45526</v>
      </c>
      <c r="D304" s="1">
        <v>45526</v>
      </c>
      <c r="E304" t="s">
        <v>1066</v>
      </c>
      <c r="F304" t="s">
        <v>1808</v>
      </c>
      <c r="G304" t="s">
        <v>1357</v>
      </c>
      <c r="H304" t="s">
        <v>2689</v>
      </c>
      <c r="I304" t="s">
        <v>2740</v>
      </c>
      <c r="J304" t="s">
        <v>2760</v>
      </c>
      <c r="K304" t="s">
        <v>1481</v>
      </c>
      <c r="L304" t="s">
        <v>2777</v>
      </c>
      <c r="M304" t="s">
        <v>2551</v>
      </c>
      <c r="N304" t="s">
        <v>2574</v>
      </c>
      <c r="O304" t="s">
        <v>2602</v>
      </c>
      <c r="P304" t="s">
        <v>2557</v>
      </c>
      <c r="Q304" t="s">
        <v>2576</v>
      </c>
      <c r="R304" t="s">
        <v>2602</v>
      </c>
      <c r="S304" t="s">
        <v>2607</v>
      </c>
      <c r="T304">
        <v>1</v>
      </c>
      <c r="U304" s="2">
        <v>986.91</v>
      </c>
      <c r="V304" s="3">
        <v>0</v>
      </c>
      <c r="W304" s="2">
        <v>986.91</v>
      </c>
      <c r="X304" s="2">
        <v>128.72999999999999</v>
      </c>
      <c r="Y304" s="3">
        <v>0.13043742590509769</v>
      </c>
      <c r="Z304" t="s">
        <v>1494</v>
      </c>
      <c r="AA304" t="s">
        <v>1498</v>
      </c>
      <c r="AB304" t="s">
        <v>1501</v>
      </c>
      <c r="AC304">
        <v>0</v>
      </c>
      <c r="AD304">
        <v>2024</v>
      </c>
      <c r="AE304" t="s">
        <v>2815</v>
      </c>
      <c r="AF304" t="s">
        <v>2827</v>
      </c>
      <c r="AG304" t="s">
        <v>2846</v>
      </c>
      <c r="AH304" t="s">
        <v>2848</v>
      </c>
      <c r="AI304">
        <v>1</v>
      </c>
    </row>
    <row r="305" spans="1:35" x14ac:dyDescent="0.3">
      <c r="A305" t="s">
        <v>300</v>
      </c>
      <c r="B305">
        <v>2</v>
      </c>
      <c r="C305" s="1">
        <v>45528</v>
      </c>
      <c r="D305" s="1">
        <v>45530</v>
      </c>
      <c r="E305" t="s">
        <v>996</v>
      </c>
      <c r="F305" t="s">
        <v>1739</v>
      </c>
      <c r="G305" t="s">
        <v>1456</v>
      </c>
      <c r="H305" t="s">
        <v>2653</v>
      </c>
      <c r="I305" t="s">
        <v>2738</v>
      </c>
      <c r="J305" t="s">
        <v>2752</v>
      </c>
      <c r="K305" t="s">
        <v>1480</v>
      </c>
      <c r="L305" t="s">
        <v>2789</v>
      </c>
      <c r="M305" t="s">
        <v>2568</v>
      </c>
      <c r="N305" t="s">
        <v>2586</v>
      </c>
      <c r="O305" t="s">
        <v>2603</v>
      </c>
      <c r="R305" t="s">
        <v>2790</v>
      </c>
      <c r="S305" t="s">
        <v>2608</v>
      </c>
      <c r="T305">
        <v>1</v>
      </c>
      <c r="U305" s="2">
        <v>43108.17</v>
      </c>
      <c r="V305" s="3">
        <v>0</v>
      </c>
      <c r="W305" s="2">
        <v>43108.17</v>
      </c>
      <c r="X305" s="2">
        <v>7530.62</v>
      </c>
      <c r="Y305" s="3">
        <v>0.1746912476219705</v>
      </c>
      <c r="Z305" t="s">
        <v>1493</v>
      </c>
      <c r="AA305" t="s">
        <v>1498</v>
      </c>
      <c r="AB305" t="s">
        <v>1501</v>
      </c>
      <c r="AC305">
        <v>2</v>
      </c>
      <c r="AD305">
        <v>2024</v>
      </c>
      <c r="AE305" t="s">
        <v>2815</v>
      </c>
      <c r="AF305" t="s">
        <v>2827</v>
      </c>
      <c r="AG305" t="s">
        <v>2846</v>
      </c>
      <c r="AH305" t="s">
        <v>2848</v>
      </c>
      <c r="AI305">
        <v>1</v>
      </c>
    </row>
    <row r="306" spans="1:35" x14ac:dyDescent="0.3">
      <c r="A306" t="s">
        <v>301</v>
      </c>
      <c r="B306">
        <v>1</v>
      </c>
      <c r="C306" s="1">
        <v>45528</v>
      </c>
      <c r="D306" s="1">
        <v>45529</v>
      </c>
      <c r="E306" t="s">
        <v>970</v>
      </c>
      <c r="F306" t="s">
        <v>1904</v>
      </c>
      <c r="G306" t="s">
        <v>1450</v>
      </c>
      <c r="H306" t="s">
        <v>2723</v>
      </c>
      <c r="I306" t="s">
        <v>2742</v>
      </c>
      <c r="J306" t="s">
        <v>2770</v>
      </c>
      <c r="K306" t="s">
        <v>1481</v>
      </c>
      <c r="L306" t="s">
        <v>2777</v>
      </c>
      <c r="M306" t="s">
        <v>2551</v>
      </c>
      <c r="N306" t="s">
        <v>2592</v>
      </c>
      <c r="O306" t="s">
        <v>2602</v>
      </c>
      <c r="P306" t="s">
        <v>2557</v>
      </c>
      <c r="Q306" t="s">
        <v>2576</v>
      </c>
      <c r="R306" t="s">
        <v>2602</v>
      </c>
      <c r="S306" t="s">
        <v>2606</v>
      </c>
      <c r="T306">
        <v>1</v>
      </c>
      <c r="U306" s="2">
        <v>7983.56</v>
      </c>
      <c r="V306" s="3">
        <v>0</v>
      </c>
      <c r="W306" s="2">
        <v>7983.56</v>
      </c>
      <c r="X306" s="2">
        <v>1968.35</v>
      </c>
      <c r="Y306" s="3">
        <v>0.2465504110947998</v>
      </c>
      <c r="Z306" t="s">
        <v>1496</v>
      </c>
      <c r="AA306" t="s">
        <v>1498</v>
      </c>
      <c r="AB306" t="s">
        <v>1501</v>
      </c>
      <c r="AC306">
        <v>1</v>
      </c>
      <c r="AD306">
        <v>2024</v>
      </c>
      <c r="AE306" t="s">
        <v>2815</v>
      </c>
      <c r="AF306" t="s">
        <v>2827</v>
      </c>
      <c r="AG306" t="s">
        <v>2846</v>
      </c>
      <c r="AH306" t="s">
        <v>2848</v>
      </c>
      <c r="AI306">
        <v>1</v>
      </c>
    </row>
    <row r="307" spans="1:35" x14ac:dyDescent="0.3">
      <c r="A307" t="s">
        <v>302</v>
      </c>
      <c r="B307">
        <v>1</v>
      </c>
      <c r="C307" s="1">
        <v>45529</v>
      </c>
      <c r="D307" s="1">
        <v>45529</v>
      </c>
      <c r="E307" t="s">
        <v>1152</v>
      </c>
      <c r="F307" t="s">
        <v>1864</v>
      </c>
      <c r="G307" t="s">
        <v>1384</v>
      </c>
      <c r="H307" t="s">
        <v>2659</v>
      </c>
      <c r="I307" t="s">
        <v>2738</v>
      </c>
      <c r="J307" t="s">
        <v>2754</v>
      </c>
      <c r="K307" t="s">
        <v>1482</v>
      </c>
      <c r="L307" t="s">
        <v>2783</v>
      </c>
      <c r="M307" t="s">
        <v>2565</v>
      </c>
      <c r="N307" t="s">
        <v>2589</v>
      </c>
      <c r="O307" t="s">
        <v>2604</v>
      </c>
      <c r="P307" t="s">
        <v>2560</v>
      </c>
      <c r="Q307" t="s">
        <v>2579</v>
      </c>
      <c r="R307" t="s">
        <v>2604</v>
      </c>
      <c r="S307" t="s">
        <v>2608</v>
      </c>
      <c r="T307">
        <v>1</v>
      </c>
      <c r="U307" s="2">
        <v>35937.699999999997</v>
      </c>
      <c r="V307" s="3">
        <v>0</v>
      </c>
      <c r="W307" s="2">
        <v>35937.699999999997</v>
      </c>
      <c r="X307" s="2">
        <v>10629.44</v>
      </c>
      <c r="Y307" s="3">
        <v>0.29577407569210051</v>
      </c>
      <c r="Z307" t="s">
        <v>1494</v>
      </c>
      <c r="AA307" t="s">
        <v>1498</v>
      </c>
      <c r="AB307" t="s">
        <v>1501</v>
      </c>
      <c r="AC307">
        <v>0</v>
      </c>
      <c r="AD307">
        <v>2024</v>
      </c>
      <c r="AE307" t="s">
        <v>2815</v>
      </c>
      <c r="AF307" t="s">
        <v>2827</v>
      </c>
      <c r="AG307" t="s">
        <v>2846</v>
      </c>
      <c r="AH307" t="s">
        <v>2848</v>
      </c>
      <c r="AI307">
        <v>1</v>
      </c>
    </row>
    <row r="308" spans="1:35" x14ac:dyDescent="0.3">
      <c r="A308" t="s">
        <v>303</v>
      </c>
      <c r="B308">
        <v>2</v>
      </c>
      <c r="C308" s="1">
        <v>45530</v>
      </c>
      <c r="D308" s="1">
        <v>45533</v>
      </c>
      <c r="E308" t="s">
        <v>1153</v>
      </c>
      <c r="F308" t="s">
        <v>1846</v>
      </c>
      <c r="G308" t="s">
        <v>1433</v>
      </c>
      <c r="H308" t="s">
        <v>2675</v>
      </c>
      <c r="I308" t="s">
        <v>2739</v>
      </c>
      <c r="J308" t="s">
        <v>2757</v>
      </c>
      <c r="K308" t="s">
        <v>1480</v>
      </c>
      <c r="L308" t="s">
        <v>2789</v>
      </c>
      <c r="M308" t="s">
        <v>2561</v>
      </c>
      <c r="N308" t="s">
        <v>2580</v>
      </c>
      <c r="O308" t="s">
        <v>2601</v>
      </c>
      <c r="R308" t="s">
        <v>2790</v>
      </c>
      <c r="S308" t="s">
        <v>2606</v>
      </c>
      <c r="T308">
        <v>1</v>
      </c>
      <c r="U308" s="2">
        <v>2067.91</v>
      </c>
      <c r="V308" s="3">
        <v>0</v>
      </c>
      <c r="W308" s="2">
        <v>2067.91</v>
      </c>
      <c r="X308" s="2">
        <v>576.48</v>
      </c>
      <c r="Y308" s="3">
        <v>0.27877422131524099</v>
      </c>
      <c r="Z308" t="s">
        <v>1494</v>
      </c>
      <c r="AA308" t="s">
        <v>1498</v>
      </c>
      <c r="AB308" t="s">
        <v>1501</v>
      </c>
      <c r="AC308">
        <v>3</v>
      </c>
      <c r="AD308">
        <v>2024</v>
      </c>
      <c r="AE308" t="s">
        <v>2815</v>
      </c>
      <c r="AF308" t="s">
        <v>2827</v>
      </c>
      <c r="AG308" t="s">
        <v>2846</v>
      </c>
      <c r="AH308" t="s">
        <v>2848</v>
      </c>
      <c r="AI308">
        <v>1</v>
      </c>
    </row>
    <row r="309" spans="1:35" x14ac:dyDescent="0.3">
      <c r="A309" t="s">
        <v>304</v>
      </c>
      <c r="B309">
        <v>1</v>
      </c>
      <c r="C309" s="1">
        <v>45530</v>
      </c>
      <c r="D309" s="1">
        <v>45532</v>
      </c>
      <c r="E309" t="s">
        <v>968</v>
      </c>
      <c r="F309" t="s">
        <v>1991</v>
      </c>
      <c r="G309" t="s">
        <v>1426</v>
      </c>
      <c r="H309" t="s">
        <v>2661</v>
      </c>
      <c r="I309" t="s">
        <v>2738</v>
      </c>
      <c r="J309" t="s">
        <v>2754</v>
      </c>
      <c r="K309" t="s">
        <v>1480</v>
      </c>
      <c r="L309" t="s">
        <v>2789</v>
      </c>
      <c r="M309" t="s">
        <v>2570</v>
      </c>
      <c r="N309" t="s">
        <v>2590</v>
      </c>
      <c r="O309" t="s">
        <v>2605</v>
      </c>
      <c r="R309" t="s">
        <v>2790</v>
      </c>
      <c r="S309" t="s">
        <v>2606</v>
      </c>
      <c r="T309">
        <v>1</v>
      </c>
      <c r="U309" s="2">
        <v>33135.4</v>
      </c>
      <c r="V309" s="3">
        <v>0.15</v>
      </c>
      <c r="W309" s="2">
        <v>28165.09</v>
      </c>
      <c r="X309" s="2">
        <v>3672.98</v>
      </c>
      <c r="Y309" s="3">
        <v>0.13040895661970189</v>
      </c>
      <c r="Z309" t="s">
        <v>1494</v>
      </c>
      <c r="AA309" t="s">
        <v>1498</v>
      </c>
      <c r="AB309" t="s">
        <v>1501</v>
      </c>
      <c r="AC309">
        <v>2</v>
      </c>
      <c r="AD309">
        <v>2024</v>
      </c>
      <c r="AE309" t="s">
        <v>2815</v>
      </c>
      <c r="AF309" t="s">
        <v>2827</v>
      </c>
      <c r="AG309" t="s">
        <v>2846</v>
      </c>
      <c r="AH309" t="s">
        <v>2848</v>
      </c>
      <c r="AI309">
        <v>1</v>
      </c>
    </row>
    <row r="310" spans="1:35" x14ac:dyDescent="0.3">
      <c r="A310" t="s">
        <v>305</v>
      </c>
      <c r="B310">
        <v>1</v>
      </c>
      <c r="C310" s="1">
        <v>45531</v>
      </c>
      <c r="D310" s="1">
        <v>45532</v>
      </c>
      <c r="E310" t="s">
        <v>1138</v>
      </c>
      <c r="F310" t="s">
        <v>1889</v>
      </c>
      <c r="G310" t="s">
        <v>1333</v>
      </c>
      <c r="H310" t="s">
        <v>2620</v>
      </c>
      <c r="I310" t="s">
        <v>2737</v>
      </c>
      <c r="J310" t="s">
        <v>2744</v>
      </c>
      <c r="K310" t="s">
        <v>1480</v>
      </c>
      <c r="L310" t="s">
        <v>2789</v>
      </c>
      <c r="M310" t="s">
        <v>2559</v>
      </c>
      <c r="N310" t="s">
        <v>2559</v>
      </c>
      <c r="O310" t="s">
        <v>2603</v>
      </c>
      <c r="R310" t="s">
        <v>2790</v>
      </c>
      <c r="S310" t="s">
        <v>2606</v>
      </c>
      <c r="T310">
        <v>1</v>
      </c>
      <c r="U310" s="2">
        <v>16375.46</v>
      </c>
      <c r="V310" s="3">
        <v>0</v>
      </c>
      <c r="W310" s="2">
        <v>16375.46</v>
      </c>
      <c r="X310" s="2">
        <v>2074.31</v>
      </c>
      <c r="Y310" s="3">
        <v>0.12667186143167891</v>
      </c>
      <c r="Z310" t="s">
        <v>1497</v>
      </c>
      <c r="AA310" t="s">
        <v>1498</v>
      </c>
      <c r="AB310" t="s">
        <v>1501</v>
      </c>
      <c r="AC310">
        <v>1</v>
      </c>
      <c r="AD310">
        <v>2024</v>
      </c>
      <c r="AE310" t="s">
        <v>2815</v>
      </c>
      <c r="AF310" t="s">
        <v>2827</v>
      </c>
      <c r="AG310" t="s">
        <v>2846</v>
      </c>
      <c r="AH310" t="s">
        <v>2848</v>
      </c>
      <c r="AI310">
        <v>1</v>
      </c>
    </row>
    <row r="311" spans="1:35" x14ac:dyDescent="0.3">
      <c r="A311" t="s">
        <v>306</v>
      </c>
      <c r="B311">
        <v>1</v>
      </c>
      <c r="C311" s="1">
        <v>45531</v>
      </c>
      <c r="D311" s="1">
        <v>45534</v>
      </c>
      <c r="E311" t="s">
        <v>1154</v>
      </c>
      <c r="F311" t="s">
        <v>1761</v>
      </c>
      <c r="G311" t="s">
        <v>1414</v>
      </c>
      <c r="H311" t="s">
        <v>2641</v>
      </c>
      <c r="I311" t="s">
        <v>2738</v>
      </c>
      <c r="J311" t="s">
        <v>2749</v>
      </c>
      <c r="K311" t="s">
        <v>1480</v>
      </c>
      <c r="L311" t="s">
        <v>2789</v>
      </c>
      <c r="M311" t="s">
        <v>2558</v>
      </c>
      <c r="N311" t="s">
        <v>2558</v>
      </c>
      <c r="O311" t="s">
        <v>2603</v>
      </c>
      <c r="R311" t="s">
        <v>2790</v>
      </c>
      <c r="S311" t="s">
        <v>2606</v>
      </c>
      <c r="T311">
        <v>1</v>
      </c>
      <c r="U311" s="2">
        <v>20329.61</v>
      </c>
      <c r="V311" s="3">
        <v>0</v>
      </c>
      <c r="W311" s="2">
        <v>20329.61</v>
      </c>
      <c r="X311" s="2">
        <v>4962.38</v>
      </c>
      <c r="Y311" s="3">
        <v>0.2440961730205351</v>
      </c>
      <c r="Z311" t="s">
        <v>1494</v>
      </c>
      <c r="AA311" t="s">
        <v>1499</v>
      </c>
      <c r="AB311" t="s">
        <v>1502</v>
      </c>
      <c r="AC311">
        <v>3</v>
      </c>
      <c r="AD311">
        <v>2024</v>
      </c>
      <c r="AE311" t="s">
        <v>2815</v>
      </c>
      <c r="AF311" t="s">
        <v>2827</v>
      </c>
      <c r="AG311" t="s">
        <v>2846</v>
      </c>
      <c r="AH311" t="s">
        <v>2848</v>
      </c>
      <c r="AI311">
        <v>1</v>
      </c>
    </row>
    <row r="312" spans="1:35" x14ac:dyDescent="0.3">
      <c r="A312" t="s">
        <v>307</v>
      </c>
      <c r="B312">
        <v>1</v>
      </c>
      <c r="C312" s="1">
        <v>45531</v>
      </c>
      <c r="D312" s="1">
        <v>45532</v>
      </c>
      <c r="E312" t="s">
        <v>1155</v>
      </c>
      <c r="F312" t="s">
        <v>1776</v>
      </c>
      <c r="G312" t="s">
        <v>1342</v>
      </c>
      <c r="H312" t="s">
        <v>2623</v>
      </c>
      <c r="I312" t="s">
        <v>2737</v>
      </c>
      <c r="J312" t="s">
        <v>2745</v>
      </c>
      <c r="K312" t="s">
        <v>1492</v>
      </c>
      <c r="L312" t="s">
        <v>2788</v>
      </c>
      <c r="M312" t="s">
        <v>2561</v>
      </c>
      <c r="N312" t="s">
        <v>2580</v>
      </c>
      <c r="O312" t="s">
        <v>2601</v>
      </c>
      <c r="P312" t="s">
        <v>2554</v>
      </c>
      <c r="Q312" t="s">
        <v>2577</v>
      </c>
      <c r="R312" t="s">
        <v>2601</v>
      </c>
      <c r="S312" t="s">
        <v>2606</v>
      </c>
      <c r="T312">
        <v>4</v>
      </c>
      <c r="U312" s="2">
        <v>18924.84</v>
      </c>
      <c r="V312" s="3">
        <v>0</v>
      </c>
      <c r="W312" s="2">
        <v>75699.360000000001</v>
      </c>
      <c r="X312" s="2">
        <v>11126.4</v>
      </c>
      <c r="Y312" s="3">
        <v>0.1469814275840641</v>
      </c>
      <c r="Z312" t="s">
        <v>1493</v>
      </c>
      <c r="AA312" t="s">
        <v>1498</v>
      </c>
      <c r="AB312" t="s">
        <v>1501</v>
      </c>
      <c r="AC312">
        <v>1</v>
      </c>
      <c r="AD312">
        <v>2024</v>
      </c>
      <c r="AE312" t="s">
        <v>2815</v>
      </c>
      <c r="AF312" t="s">
        <v>2827</v>
      </c>
      <c r="AG312" t="s">
        <v>2846</v>
      </c>
      <c r="AH312" t="s">
        <v>2848</v>
      </c>
      <c r="AI312">
        <v>1</v>
      </c>
    </row>
    <row r="313" spans="1:35" x14ac:dyDescent="0.3">
      <c r="A313" t="s">
        <v>308</v>
      </c>
      <c r="B313">
        <v>1</v>
      </c>
      <c r="C313" s="1">
        <v>45532</v>
      </c>
      <c r="D313" s="1">
        <v>45533</v>
      </c>
      <c r="E313" t="s">
        <v>985</v>
      </c>
      <c r="F313" t="s">
        <v>1754</v>
      </c>
      <c r="G313" t="s">
        <v>1431</v>
      </c>
      <c r="H313" t="s">
        <v>2658</v>
      </c>
      <c r="I313" t="s">
        <v>2738</v>
      </c>
      <c r="J313" t="s">
        <v>2754</v>
      </c>
      <c r="K313" t="s">
        <v>1480</v>
      </c>
      <c r="L313" t="s">
        <v>2789</v>
      </c>
      <c r="M313" t="s">
        <v>2558</v>
      </c>
      <c r="N313" t="s">
        <v>2558</v>
      </c>
      <c r="O313" t="s">
        <v>2603</v>
      </c>
      <c r="R313" t="s">
        <v>2790</v>
      </c>
      <c r="S313" t="s">
        <v>2606</v>
      </c>
      <c r="T313">
        <v>1</v>
      </c>
      <c r="U313" s="2">
        <v>9677.85</v>
      </c>
      <c r="V313" s="3">
        <v>0</v>
      </c>
      <c r="W313" s="2">
        <v>9677.85</v>
      </c>
      <c r="X313" s="2">
        <v>1902.17</v>
      </c>
      <c r="Y313" s="3">
        <v>0.19654882024416581</v>
      </c>
      <c r="Z313" t="s">
        <v>1495</v>
      </c>
      <c r="AA313" t="s">
        <v>1498</v>
      </c>
      <c r="AB313" t="s">
        <v>1501</v>
      </c>
      <c r="AC313">
        <v>1</v>
      </c>
      <c r="AD313">
        <v>2024</v>
      </c>
      <c r="AE313" t="s">
        <v>2815</v>
      </c>
      <c r="AF313" t="s">
        <v>2827</v>
      </c>
      <c r="AG313" t="s">
        <v>2846</v>
      </c>
      <c r="AH313" t="s">
        <v>2848</v>
      </c>
      <c r="AI313">
        <v>1</v>
      </c>
    </row>
    <row r="314" spans="1:35" x14ac:dyDescent="0.3">
      <c r="A314" t="s">
        <v>309</v>
      </c>
      <c r="B314">
        <v>1</v>
      </c>
      <c r="C314" s="1">
        <v>45533</v>
      </c>
      <c r="D314" s="1">
        <v>45534</v>
      </c>
      <c r="E314" t="s">
        <v>1098</v>
      </c>
      <c r="F314" t="s">
        <v>1705</v>
      </c>
      <c r="G314" t="s">
        <v>1380</v>
      </c>
      <c r="H314" t="s">
        <v>2701</v>
      </c>
      <c r="I314" t="s">
        <v>2740</v>
      </c>
      <c r="J314" t="s">
        <v>2764</v>
      </c>
      <c r="K314" t="s">
        <v>1482</v>
      </c>
      <c r="L314" t="s">
        <v>2783</v>
      </c>
      <c r="M314" t="s">
        <v>2567</v>
      </c>
      <c r="N314" t="s">
        <v>2585</v>
      </c>
      <c r="O314" t="s">
        <v>2604</v>
      </c>
      <c r="P314" t="s">
        <v>2560</v>
      </c>
      <c r="Q314" t="s">
        <v>2579</v>
      </c>
      <c r="R314" t="s">
        <v>2604</v>
      </c>
      <c r="S314" t="s">
        <v>2608</v>
      </c>
      <c r="T314">
        <v>2</v>
      </c>
      <c r="U314" s="2">
        <v>694.66</v>
      </c>
      <c r="V314" s="3">
        <v>0.05</v>
      </c>
      <c r="W314" s="2">
        <v>1319.85</v>
      </c>
      <c r="X314" s="2">
        <v>114.67</v>
      </c>
      <c r="Y314" s="3">
        <v>8.6881084971777101E-2</v>
      </c>
      <c r="Z314" t="s">
        <v>1496</v>
      </c>
      <c r="AA314" t="s">
        <v>1498</v>
      </c>
      <c r="AB314" t="s">
        <v>1501</v>
      </c>
      <c r="AC314">
        <v>1</v>
      </c>
      <c r="AD314">
        <v>2024</v>
      </c>
      <c r="AE314" t="s">
        <v>2815</v>
      </c>
      <c r="AF314" t="s">
        <v>2827</v>
      </c>
      <c r="AG314" t="s">
        <v>2846</v>
      </c>
      <c r="AH314" t="s">
        <v>2848</v>
      </c>
      <c r="AI314">
        <v>1</v>
      </c>
    </row>
    <row r="315" spans="1:35" x14ac:dyDescent="0.3">
      <c r="A315" t="s">
        <v>310</v>
      </c>
      <c r="B315">
        <v>1</v>
      </c>
      <c r="C315" s="1">
        <v>45534</v>
      </c>
      <c r="D315" s="1">
        <v>45535</v>
      </c>
      <c r="E315" t="s">
        <v>1043</v>
      </c>
      <c r="F315" t="s">
        <v>1940</v>
      </c>
      <c r="G315" t="s">
        <v>1452</v>
      </c>
      <c r="H315" t="s">
        <v>2616</v>
      </c>
      <c r="I315" t="s">
        <v>2737</v>
      </c>
      <c r="J315" t="s">
        <v>2743</v>
      </c>
      <c r="K315" t="s">
        <v>1492</v>
      </c>
      <c r="L315" t="s">
        <v>2788</v>
      </c>
      <c r="M315" t="s">
        <v>2566</v>
      </c>
      <c r="N315" t="s">
        <v>2584</v>
      </c>
      <c r="O315" t="s">
        <v>2601</v>
      </c>
      <c r="P315" t="s">
        <v>2554</v>
      </c>
      <c r="Q315" t="s">
        <v>2577</v>
      </c>
      <c r="R315" t="s">
        <v>2601</v>
      </c>
      <c r="S315" t="s">
        <v>2606</v>
      </c>
      <c r="T315">
        <v>1</v>
      </c>
      <c r="U315" s="2">
        <v>74213.429999999993</v>
      </c>
      <c r="V315" s="3">
        <v>0.1</v>
      </c>
      <c r="W315" s="2">
        <v>66792.09</v>
      </c>
      <c r="X315" s="2">
        <v>3294.08</v>
      </c>
      <c r="Y315" s="3">
        <v>4.931841480031543E-2</v>
      </c>
      <c r="Z315" t="s">
        <v>1495</v>
      </c>
      <c r="AA315" t="s">
        <v>1498</v>
      </c>
      <c r="AB315" t="s">
        <v>1501</v>
      </c>
      <c r="AC315">
        <v>1</v>
      </c>
      <c r="AD315">
        <v>2024</v>
      </c>
      <c r="AE315" t="s">
        <v>2815</v>
      </c>
      <c r="AF315" t="s">
        <v>2827</v>
      </c>
      <c r="AG315" t="s">
        <v>2846</v>
      </c>
      <c r="AH315" t="s">
        <v>2848</v>
      </c>
      <c r="AI315">
        <v>1</v>
      </c>
    </row>
    <row r="316" spans="1:35" x14ac:dyDescent="0.3">
      <c r="A316" t="s">
        <v>311</v>
      </c>
      <c r="B316">
        <v>2</v>
      </c>
      <c r="C316" s="1">
        <v>45535</v>
      </c>
      <c r="D316" s="1">
        <v>45536</v>
      </c>
      <c r="E316" t="s">
        <v>998</v>
      </c>
      <c r="F316" t="s">
        <v>1999</v>
      </c>
      <c r="G316" t="s">
        <v>1444</v>
      </c>
      <c r="H316" t="s">
        <v>2717</v>
      </c>
      <c r="I316" t="s">
        <v>2741</v>
      </c>
      <c r="J316" t="s">
        <v>2768</v>
      </c>
      <c r="K316" t="s">
        <v>1488</v>
      </c>
      <c r="L316" t="s">
        <v>2780</v>
      </c>
      <c r="M316" t="s">
        <v>2555</v>
      </c>
      <c r="N316" t="s">
        <v>2578</v>
      </c>
      <c r="O316" t="s">
        <v>2603</v>
      </c>
      <c r="P316" t="s">
        <v>2552</v>
      </c>
      <c r="Q316" t="s">
        <v>2575</v>
      </c>
      <c r="R316" t="s">
        <v>2603</v>
      </c>
      <c r="S316" t="s">
        <v>2606</v>
      </c>
      <c r="T316">
        <v>1</v>
      </c>
      <c r="U316" s="2">
        <v>1054.31</v>
      </c>
      <c r="V316" s="3">
        <v>0</v>
      </c>
      <c r="W316" s="2">
        <v>1054.31</v>
      </c>
      <c r="X316" s="2">
        <v>310.83999999999997</v>
      </c>
      <c r="Y316" s="3">
        <v>0.29482789691836359</v>
      </c>
      <c r="Z316" t="s">
        <v>1495</v>
      </c>
      <c r="AA316" t="s">
        <v>1498</v>
      </c>
      <c r="AB316" t="s">
        <v>1501</v>
      </c>
      <c r="AC316">
        <v>1</v>
      </c>
      <c r="AD316">
        <v>2024</v>
      </c>
      <c r="AE316" t="s">
        <v>2815</v>
      </c>
      <c r="AF316" t="s">
        <v>2827</v>
      </c>
      <c r="AG316" t="s">
        <v>2846</v>
      </c>
      <c r="AH316" t="s">
        <v>2848</v>
      </c>
      <c r="AI316">
        <v>1</v>
      </c>
    </row>
    <row r="317" spans="1:35" x14ac:dyDescent="0.3">
      <c r="A317" t="s">
        <v>312</v>
      </c>
      <c r="B317">
        <v>2</v>
      </c>
      <c r="C317" s="1">
        <v>45536</v>
      </c>
      <c r="D317" s="1">
        <v>45538</v>
      </c>
      <c r="E317" t="s">
        <v>1156</v>
      </c>
      <c r="F317" t="s">
        <v>1729</v>
      </c>
      <c r="G317" t="s">
        <v>1341</v>
      </c>
      <c r="H317" t="s">
        <v>2678</v>
      </c>
      <c r="I317" t="s">
        <v>2739</v>
      </c>
      <c r="J317" t="s">
        <v>2758</v>
      </c>
      <c r="K317" t="s">
        <v>1480</v>
      </c>
      <c r="L317" t="s">
        <v>2789</v>
      </c>
      <c r="M317" t="s">
        <v>2570</v>
      </c>
      <c r="N317" t="s">
        <v>2590</v>
      </c>
      <c r="O317" t="s">
        <v>2605</v>
      </c>
      <c r="R317" t="s">
        <v>2790</v>
      </c>
      <c r="S317" t="s">
        <v>2606</v>
      </c>
      <c r="T317">
        <v>1</v>
      </c>
      <c r="U317" s="2">
        <v>1648.45</v>
      </c>
      <c r="V317" s="3">
        <v>0.15</v>
      </c>
      <c r="W317" s="2">
        <v>1401.18</v>
      </c>
      <c r="X317" s="2">
        <v>247.06</v>
      </c>
      <c r="Y317" s="3">
        <v>0.1763228136285131</v>
      </c>
      <c r="Z317" t="s">
        <v>1496</v>
      </c>
      <c r="AA317" t="s">
        <v>1498</v>
      </c>
      <c r="AB317" t="s">
        <v>1502</v>
      </c>
      <c r="AC317">
        <v>2</v>
      </c>
      <c r="AD317">
        <v>2024</v>
      </c>
      <c r="AE317" t="s">
        <v>2816</v>
      </c>
      <c r="AF317" t="s">
        <v>2828</v>
      </c>
      <c r="AG317" t="s">
        <v>2846</v>
      </c>
      <c r="AH317" t="s">
        <v>2848</v>
      </c>
      <c r="AI317">
        <v>1</v>
      </c>
    </row>
    <row r="318" spans="1:35" x14ac:dyDescent="0.3">
      <c r="A318" t="s">
        <v>313</v>
      </c>
      <c r="B318">
        <v>1</v>
      </c>
      <c r="C318" s="1">
        <v>45536</v>
      </c>
      <c r="D318" s="1">
        <v>45539</v>
      </c>
      <c r="E318" t="s">
        <v>1026</v>
      </c>
      <c r="F318" t="s">
        <v>1736</v>
      </c>
      <c r="G318" t="s">
        <v>1428</v>
      </c>
      <c r="H318" t="s">
        <v>2702</v>
      </c>
      <c r="I318" t="s">
        <v>2740</v>
      </c>
      <c r="J318" t="s">
        <v>2764</v>
      </c>
      <c r="K318" t="s">
        <v>1480</v>
      </c>
      <c r="L318" t="s">
        <v>2789</v>
      </c>
      <c r="M318" t="s">
        <v>2571</v>
      </c>
      <c r="N318" t="s">
        <v>2590</v>
      </c>
      <c r="O318" t="s">
        <v>2605</v>
      </c>
      <c r="R318" t="s">
        <v>2790</v>
      </c>
      <c r="S318" t="s">
        <v>2607</v>
      </c>
      <c r="T318">
        <v>1</v>
      </c>
      <c r="U318" s="2">
        <v>460.36</v>
      </c>
      <c r="V318" s="3">
        <v>0.25</v>
      </c>
      <c r="W318" s="2">
        <v>345.27</v>
      </c>
      <c r="X318" s="2">
        <v>-70.959999999999994</v>
      </c>
      <c r="Y318" s="3">
        <v>-0.2055203174327338</v>
      </c>
      <c r="Z318" t="s">
        <v>1495</v>
      </c>
      <c r="AA318" t="s">
        <v>1498</v>
      </c>
      <c r="AB318" t="s">
        <v>1501</v>
      </c>
      <c r="AC318">
        <v>3</v>
      </c>
      <c r="AD318">
        <v>2024</v>
      </c>
      <c r="AE318" t="s">
        <v>2816</v>
      </c>
      <c r="AF318" t="s">
        <v>2828</v>
      </c>
      <c r="AG318" t="s">
        <v>2846</v>
      </c>
      <c r="AH318" t="s">
        <v>2848</v>
      </c>
      <c r="AI318">
        <v>1</v>
      </c>
    </row>
    <row r="319" spans="1:35" x14ac:dyDescent="0.3">
      <c r="A319" t="s">
        <v>314</v>
      </c>
      <c r="B319">
        <v>1</v>
      </c>
      <c r="C319" s="1">
        <v>45537</v>
      </c>
      <c r="D319" s="1">
        <v>45539</v>
      </c>
      <c r="E319" t="s">
        <v>1157</v>
      </c>
      <c r="F319" t="s">
        <v>1865</v>
      </c>
      <c r="G319" t="s">
        <v>1339</v>
      </c>
      <c r="H319" t="s">
        <v>2715</v>
      </c>
      <c r="I319" t="s">
        <v>2741</v>
      </c>
      <c r="J319" t="s">
        <v>2767</v>
      </c>
      <c r="K319" t="s">
        <v>1480</v>
      </c>
      <c r="L319" t="s">
        <v>2789</v>
      </c>
      <c r="M319" t="s">
        <v>2551</v>
      </c>
      <c r="N319" t="s">
        <v>2574</v>
      </c>
      <c r="O319" t="s">
        <v>2602</v>
      </c>
      <c r="R319" t="s">
        <v>2790</v>
      </c>
      <c r="S319" t="s">
        <v>2606</v>
      </c>
      <c r="T319">
        <v>3</v>
      </c>
      <c r="U319" s="2">
        <v>763.54</v>
      </c>
      <c r="V319" s="3">
        <v>0</v>
      </c>
      <c r="W319" s="2">
        <v>2290.62</v>
      </c>
      <c r="X319" s="2">
        <v>722.94</v>
      </c>
      <c r="Y319" s="3">
        <v>0.31560887445320479</v>
      </c>
      <c r="Z319" t="s">
        <v>1496</v>
      </c>
      <c r="AA319" t="s">
        <v>1498</v>
      </c>
      <c r="AB319" t="s">
        <v>1501</v>
      </c>
      <c r="AC319">
        <v>2</v>
      </c>
      <c r="AD319">
        <v>2024</v>
      </c>
      <c r="AE319" t="s">
        <v>2816</v>
      </c>
      <c r="AF319" t="s">
        <v>2828</v>
      </c>
      <c r="AG319" t="s">
        <v>2846</v>
      </c>
      <c r="AH319" t="s">
        <v>2848</v>
      </c>
      <c r="AI319">
        <v>1</v>
      </c>
    </row>
    <row r="320" spans="1:35" x14ac:dyDescent="0.3">
      <c r="A320" t="s">
        <v>315</v>
      </c>
      <c r="B320">
        <v>1</v>
      </c>
      <c r="C320" s="1">
        <v>45537</v>
      </c>
      <c r="D320" s="1">
        <v>45537</v>
      </c>
      <c r="E320" t="s">
        <v>1153</v>
      </c>
      <c r="F320" t="s">
        <v>1846</v>
      </c>
      <c r="G320" t="s">
        <v>1357</v>
      </c>
      <c r="H320" t="s">
        <v>2689</v>
      </c>
      <c r="I320" t="s">
        <v>2740</v>
      </c>
      <c r="J320" t="s">
        <v>2760</v>
      </c>
      <c r="K320" t="s">
        <v>1492</v>
      </c>
      <c r="L320" t="s">
        <v>2788</v>
      </c>
      <c r="M320" t="s">
        <v>2561</v>
      </c>
      <c r="N320" t="s">
        <v>2580</v>
      </c>
      <c r="O320" t="s">
        <v>2601</v>
      </c>
      <c r="P320" t="s">
        <v>2554</v>
      </c>
      <c r="Q320" t="s">
        <v>2577</v>
      </c>
      <c r="R320" t="s">
        <v>2601</v>
      </c>
      <c r="S320" t="s">
        <v>2606</v>
      </c>
      <c r="T320">
        <v>2</v>
      </c>
      <c r="U320" s="2">
        <v>986.91</v>
      </c>
      <c r="V320" s="3">
        <v>0</v>
      </c>
      <c r="W320" s="2">
        <v>1973.82</v>
      </c>
      <c r="X320" s="2">
        <v>257.45999999999998</v>
      </c>
      <c r="Y320" s="3">
        <v>0.13043742590509769</v>
      </c>
      <c r="Z320" t="s">
        <v>1496</v>
      </c>
      <c r="AA320" t="s">
        <v>1498</v>
      </c>
      <c r="AB320" t="s">
        <v>1502</v>
      </c>
      <c r="AC320">
        <v>0</v>
      </c>
      <c r="AD320">
        <v>2024</v>
      </c>
      <c r="AE320" t="s">
        <v>2816</v>
      </c>
      <c r="AF320" t="s">
        <v>2828</v>
      </c>
      <c r="AG320" t="s">
        <v>2846</v>
      </c>
      <c r="AH320" t="s">
        <v>2848</v>
      </c>
      <c r="AI320">
        <v>1</v>
      </c>
    </row>
    <row r="321" spans="1:35" x14ac:dyDescent="0.3">
      <c r="A321" t="s">
        <v>316</v>
      </c>
      <c r="B321">
        <v>1</v>
      </c>
      <c r="C321" s="1">
        <v>45540</v>
      </c>
      <c r="D321" s="1">
        <v>45542</v>
      </c>
      <c r="E321" t="s">
        <v>968</v>
      </c>
      <c r="F321" t="s">
        <v>1991</v>
      </c>
      <c r="G321" t="s">
        <v>1361</v>
      </c>
      <c r="H321" t="s">
        <v>2669</v>
      </c>
      <c r="I321" t="s">
        <v>2739</v>
      </c>
      <c r="J321" t="s">
        <v>2756</v>
      </c>
      <c r="K321" t="s">
        <v>1480</v>
      </c>
      <c r="L321" t="s">
        <v>2789</v>
      </c>
      <c r="M321" t="s">
        <v>2570</v>
      </c>
      <c r="N321" t="s">
        <v>2590</v>
      </c>
      <c r="O321" t="s">
        <v>2605</v>
      </c>
      <c r="R321" t="s">
        <v>2790</v>
      </c>
      <c r="S321" t="s">
        <v>2606</v>
      </c>
      <c r="T321">
        <v>1</v>
      </c>
      <c r="U321" s="2">
        <v>4840.8599999999997</v>
      </c>
      <c r="V321" s="3">
        <v>0.1</v>
      </c>
      <c r="W321" s="2">
        <v>4356.7700000000004</v>
      </c>
      <c r="X321" s="2">
        <v>951.36</v>
      </c>
      <c r="Y321" s="3">
        <v>0.21836360422973899</v>
      </c>
      <c r="Z321" t="s">
        <v>1497</v>
      </c>
      <c r="AA321" t="s">
        <v>1498</v>
      </c>
      <c r="AB321" t="s">
        <v>1501</v>
      </c>
      <c r="AC321">
        <v>2</v>
      </c>
      <c r="AD321">
        <v>2024</v>
      </c>
      <c r="AE321" t="s">
        <v>2816</v>
      </c>
      <c r="AF321" t="s">
        <v>2828</v>
      </c>
      <c r="AG321" t="s">
        <v>2846</v>
      </c>
      <c r="AH321" t="s">
        <v>2848</v>
      </c>
      <c r="AI321">
        <v>1</v>
      </c>
    </row>
    <row r="322" spans="1:35" x14ac:dyDescent="0.3">
      <c r="A322" t="s">
        <v>317</v>
      </c>
      <c r="B322">
        <v>1</v>
      </c>
      <c r="C322" s="1">
        <v>45541</v>
      </c>
      <c r="D322" s="1">
        <v>45543</v>
      </c>
      <c r="E322" t="s">
        <v>972</v>
      </c>
      <c r="F322" t="s">
        <v>1806</v>
      </c>
      <c r="G322" t="s">
        <v>1409</v>
      </c>
      <c r="H322" t="s">
        <v>2731</v>
      </c>
      <c r="I322" t="s">
        <v>2742</v>
      </c>
      <c r="J322" t="s">
        <v>2771</v>
      </c>
      <c r="K322" t="s">
        <v>1480</v>
      </c>
      <c r="L322" t="s">
        <v>2789</v>
      </c>
      <c r="M322" t="s">
        <v>2555</v>
      </c>
      <c r="N322" t="s">
        <v>2578</v>
      </c>
      <c r="O322" t="s">
        <v>2603</v>
      </c>
      <c r="R322" t="s">
        <v>2790</v>
      </c>
      <c r="S322" t="s">
        <v>2606</v>
      </c>
      <c r="T322">
        <v>3</v>
      </c>
      <c r="U322" s="2">
        <v>10956.72</v>
      </c>
      <c r="V322" s="3">
        <v>0.15</v>
      </c>
      <c r="W322" s="2">
        <v>27939.64</v>
      </c>
      <c r="X322" s="2">
        <v>2005.48</v>
      </c>
      <c r="Y322" s="3">
        <v>7.1779020774784499E-2</v>
      </c>
      <c r="Z322" t="s">
        <v>1494</v>
      </c>
      <c r="AA322" t="s">
        <v>1498</v>
      </c>
      <c r="AB322" t="s">
        <v>1501</v>
      </c>
      <c r="AC322">
        <v>2</v>
      </c>
      <c r="AD322">
        <v>2024</v>
      </c>
      <c r="AE322" t="s">
        <v>2816</v>
      </c>
      <c r="AF322" t="s">
        <v>2828</v>
      </c>
      <c r="AG322" t="s">
        <v>2846</v>
      </c>
      <c r="AH322" t="s">
        <v>2848</v>
      </c>
      <c r="AI322">
        <v>1</v>
      </c>
    </row>
    <row r="323" spans="1:35" x14ac:dyDescent="0.3">
      <c r="A323" t="s">
        <v>318</v>
      </c>
      <c r="B323">
        <v>2</v>
      </c>
      <c r="C323" s="1">
        <v>45543</v>
      </c>
      <c r="D323" s="1">
        <v>45543</v>
      </c>
      <c r="E323" t="s">
        <v>1158</v>
      </c>
      <c r="F323" t="s">
        <v>1981</v>
      </c>
      <c r="G323" t="s">
        <v>1359</v>
      </c>
      <c r="H323" t="s">
        <v>2663</v>
      </c>
      <c r="I323" t="s">
        <v>2739</v>
      </c>
      <c r="J323" t="s">
        <v>2755</v>
      </c>
      <c r="K323" t="s">
        <v>1491</v>
      </c>
      <c r="L323" t="s">
        <v>2779</v>
      </c>
      <c r="M323" t="s">
        <v>2555</v>
      </c>
      <c r="N323" t="s">
        <v>2578</v>
      </c>
      <c r="O323" t="s">
        <v>2603</v>
      </c>
      <c r="P323" t="s">
        <v>2555</v>
      </c>
      <c r="Q323" t="s">
        <v>2578</v>
      </c>
      <c r="R323" t="s">
        <v>2603</v>
      </c>
      <c r="S323" t="s">
        <v>2606</v>
      </c>
      <c r="T323">
        <v>2</v>
      </c>
      <c r="U323" s="2">
        <v>5570.41</v>
      </c>
      <c r="V323" s="3">
        <v>0.15</v>
      </c>
      <c r="W323" s="2">
        <v>9469.7000000000007</v>
      </c>
      <c r="X323" s="2">
        <v>1169.48</v>
      </c>
      <c r="Y323" s="3">
        <v>0.1234970484809445</v>
      </c>
      <c r="Z323" t="s">
        <v>1494</v>
      </c>
      <c r="AA323" t="s">
        <v>1498</v>
      </c>
      <c r="AB323" t="s">
        <v>1501</v>
      </c>
      <c r="AC323">
        <v>0</v>
      </c>
      <c r="AD323">
        <v>2024</v>
      </c>
      <c r="AE323" t="s">
        <v>2816</v>
      </c>
      <c r="AF323" t="s">
        <v>2828</v>
      </c>
      <c r="AG323" t="s">
        <v>2846</v>
      </c>
      <c r="AH323" t="s">
        <v>2848</v>
      </c>
      <c r="AI323">
        <v>1</v>
      </c>
    </row>
    <row r="324" spans="1:35" x14ac:dyDescent="0.3">
      <c r="A324" t="s">
        <v>319</v>
      </c>
      <c r="B324">
        <v>1</v>
      </c>
      <c r="C324" s="1">
        <v>45545</v>
      </c>
      <c r="D324" s="1">
        <v>45547</v>
      </c>
      <c r="E324" t="s">
        <v>1037</v>
      </c>
      <c r="F324" t="s">
        <v>1649</v>
      </c>
      <c r="G324" t="s">
        <v>1396</v>
      </c>
      <c r="H324" t="s">
        <v>2711</v>
      </c>
      <c r="I324" t="s">
        <v>2741</v>
      </c>
      <c r="J324" t="s">
        <v>2766</v>
      </c>
      <c r="K324" t="s">
        <v>1480</v>
      </c>
      <c r="L324" t="s">
        <v>2789</v>
      </c>
      <c r="M324" t="s">
        <v>2550</v>
      </c>
      <c r="N324" t="s">
        <v>2573</v>
      </c>
      <c r="O324" t="s">
        <v>2601</v>
      </c>
      <c r="R324" t="s">
        <v>2790</v>
      </c>
      <c r="S324" t="s">
        <v>2606</v>
      </c>
      <c r="T324">
        <v>2</v>
      </c>
      <c r="U324" s="2">
        <v>1866.05</v>
      </c>
      <c r="V324" s="3">
        <v>0</v>
      </c>
      <c r="W324" s="2">
        <v>3732.1</v>
      </c>
      <c r="X324" s="2">
        <v>1216.68</v>
      </c>
      <c r="Y324" s="3">
        <v>0.32600412636317361</v>
      </c>
      <c r="Z324" t="s">
        <v>1496</v>
      </c>
      <c r="AA324" t="s">
        <v>1499</v>
      </c>
      <c r="AB324" t="s">
        <v>1501</v>
      </c>
      <c r="AC324">
        <v>2</v>
      </c>
      <c r="AD324">
        <v>2024</v>
      </c>
      <c r="AE324" t="s">
        <v>2816</v>
      </c>
      <c r="AF324" t="s">
        <v>2828</v>
      </c>
      <c r="AG324" t="s">
        <v>2846</v>
      </c>
      <c r="AH324" t="s">
        <v>2848</v>
      </c>
      <c r="AI324">
        <v>1</v>
      </c>
    </row>
    <row r="325" spans="1:35" x14ac:dyDescent="0.3">
      <c r="A325" t="s">
        <v>320</v>
      </c>
      <c r="B325">
        <v>1</v>
      </c>
      <c r="C325" s="1">
        <v>45545</v>
      </c>
      <c r="D325" s="1">
        <v>45546</v>
      </c>
      <c r="E325" t="s">
        <v>1159</v>
      </c>
      <c r="F325" t="s">
        <v>1910</v>
      </c>
      <c r="G325" t="s">
        <v>1433</v>
      </c>
      <c r="H325" t="s">
        <v>2675</v>
      </c>
      <c r="I325" t="s">
        <v>2739</v>
      </c>
      <c r="J325" t="s">
        <v>2757</v>
      </c>
      <c r="K325" t="s">
        <v>1483</v>
      </c>
      <c r="L325" t="s">
        <v>2781</v>
      </c>
      <c r="M325" t="s">
        <v>2555</v>
      </c>
      <c r="N325" t="s">
        <v>2578</v>
      </c>
      <c r="O325" t="s">
        <v>2603</v>
      </c>
      <c r="P325" t="s">
        <v>2568</v>
      </c>
      <c r="Q325" t="s">
        <v>2586</v>
      </c>
      <c r="R325" t="s">
        <v>2603</v>
      </c>
      <c r="S325" t="s">
        <v>2606</v>
      </c>
      <c r="T325">
        <v>1</v>
      </c>
      <c r="U325" s="2">
        <v>2067.91</v>
      </c>
      <c r="V325" s="3">
        <v>0</v>
      </c>
      <c r="W325" s="2">
        <v>2067.91</v>
      </c>
      <c r="X325" s="2">
        <v>576.48</v>
      </c>
      <c r="Y325" s="3">
        <v>0.27877422131524099</v>
      </c>
      <c r="Z325" t="s">
        <v>1497</v>
      </c>
      <c r="AA325" t="s">
        <v>1498</v>
      </c>
      <c r="AB325" t="s">
        <v>1502</v>
      </c>
      <c r="AC325">
        <v>1</v>
      </c>
      <c r="AD325">
        <v>2024</v>
      </c>
      <c r="AE325" t="s">
        <v>2816</v>
      </c>
      <c r="AF325" t="s">
        <v>2828</v>
      </c>
      <c r="AG325" t="s">
        <v>2846</v>
      </c>
      <c r="AH325" t="s">
        <v>2848</v>
      </c>
      <c r="AI325">
        <v>1</v>
      </c>
    </row>
    <row r="326" spans="1:35" x14ac:dyDescent="0.3">
      <c r="A326" t="s">
        <v>321</v>
      </c>
      <c r="B326">
        <v>1</v>
      </c>
      <c r="C326" s="1">
        <v>45546</v>
      </c>
      <c r="D326" s="1">
        <v>45546</v>
      </c>
      <c r="E326" t="s">
        <v>1149</v>
      </c>
      <c r="F326" t="s">
        <v>2031</v>
      </c>
      <c r="G326" t="s">
        <v>1381</v>
      </c>
      <c r="H326" t="s">
        <v>2682</v>
      </c>
      <c r="I326" t="s">
        <v>2739</v>
      </c>
      <c r="J326" t="s">
        <v>2759</v>
      </c>
      <c r="K326" t="s">
        <v>1492</v>
      </c>
      <c r="L326" t="s">
        <v>2788</v>
      </c>
      <c r="M326" t="s">
        <v>2561</v>
      </c>
      <c r="N326" t="s">
        <v>2598</v>
      </c>
      <c r="O326" t="s">
        <v>2601</v>
      </c>
      <c r="P326" t="s">
        <v>2554</v>
      </c>
      <c r="Q326" t="s">
        <v>2577</v>
      </c>
      <c r="R326" t="s">
        <v>2601</v>
      </c>
      <c r="S326" t="s">
        <v>2606</v>
      </c>
      <c r="T326">
        <v>2</v>
      </c>
      <c r="U326" s="2">
        <v>4870.55</v>
      </c>
      <c r="V326" s="3">
        <v>0</v>
      </c>
      <c r="W326" s="2">
        <v>9741.1</v>
      </c>
      <c r="X326" s="2">
        <v>3953.86</v>
      </c>
      <c r="Y326" s="3">
        <v>0.40589461149151529</v>
      </c>
      <c r="Z326" t="s">
        <v>1496</v>
      </c>
      <c r="AA326" t="s">
        <v>1499</v>
      </c>
      <c r="AB326" t="s">
        <v>1501</v>
      </c>
      <c r="AC326">
        <v>0</v>
      </c>
      <c r="AD326">
        <v>2024</v>
      </c>
      <c r="AE326" t="s">
        <v>2816</v>
      </c>
      <c r="AF326" t="s">
        <v>2828</v>
      </c>
      <c r="AG326" t="s">
        <v>2846</v>
      </c>
      <c r="AH326" t="s">
        <v>2848</v>
      </c>
      <c r="AI326">
        <v>1</v>
      </c>
    </row>
    <row r="327" spans="1:35" x14ac:dyDescent="0.3">
      <c r="A327" t="s">
        <v>322</v>
      </c>
      <c r="B327">
        <v>2</v>
      </c>
      <c r="C327" s="1">
        <v>45547</v>
      </c>
      <c r="D327" s="1">
        <v>45548</v>
      </c>
      <c r="E327" t="s">
        <v>1160</v>
      </c>
      <c r="F327" t="s">
        <v>1830</v>
      </c>
      <c r="G327" t="s">
        <v>1332</v>
      </c>
      <c r="H327" t="s">
        <v>2630</v>
      </c>
      <c r="I327" t="s">
        <v>2737</v>
      </c>
      <c r="J327" t="s">
        <v>2746</v>
      </c>
      <c r="K327" t="s">
        <v>1488</v>
      </c>
      <c r="L327" t="s">
        <v>2780</v>
      </c>
      <c r="M327" t="s">
        <v>2555</v>
      </c>
      <c r="N327" t="s">
        <v>2578</v>
      </c>
      <c r="O327" t="s">
        <v>2603</v>
      </c>
      <c r="P327" t="s">
        <v>2552</v>
      </c>
      <c r="Q327" t="s">
        <v>2575</v>
      </c>
      <c r="R327" t="s">
        <v>2603</v>
      </c>
      <c r="S327" t="s">
        <v>2606</v>
      </c>
      <c r="T327">
        <v>1</v>
      </c>
      <c r="U327" s="2">
        <v>45652.65</v>
      </c>
      <c r="V327" s="3">
        <v>0</v>
      </c>
      <c r="W327" s="2">
        <v>45652.65</v>
      </c>
      <c r="X327" s="2">
        <v>7144.63</v>
      </c>
      <c r="Y327" s="3">
        <v>0.15649978697841199</v>
      </c>
      <c r="Z327" t="s">
        <v>1497</v>
      </c>
      <c r="AA327" t="s">
        <v>1498</v>
      </c>
      <c r="AB327" t="s">
        <v>1501</v>
      </c>
      <c r="AC327">
        <v>1</v>
      </c>
      <c r="AD327">
        <v>2024</v>
      </c>
      <c r="AE327" t="s">
        <v>2816</v>
      </c>
      <c r="AF327" t="s">
        <v>2828</v>
      </c>
      <c r="AG327" t="s">
        <v>2846</v>
      </c>
      <c r="AH327" t="s">
        <v>2848</v>
      </c>
      <c r="AI327">
        <v>1</v>
      </c>
    </row>
    <row r="328" spans="1:35" x14ac:dyDescent="0.3">
      <c r="A328" t="s">
        <v>323</v>
      </c>
      <c r="B328">
        <v>1</v>
      </c>
      <c r="C328" s="1">
        <v>45548</v>
      </c>
      <c r="D328" s="1">
        <v>45549</v>
      </c>
      <c r="E328" t="s">
        <v>1161</v>
      </c>
      <c r="F328" t="s">
        <v>1959</v>
      </c>
      <c r="G328" t="s">
        <v>1447</v>
      </c>
      <c r="H328" t="s">
        <v>2728</v>
      </c>
      <c r="I328" t="s">
        <v>2742</v>
      </c>
      <c r="J328" t="s">
        <v>2771</v>
      </c>
      <c r="K328" t="s">
        <v>1489</v>
      </c>
      <c r="L328" t="s">
        <v>2787</v>
      </c>
      <c r="M328" t="s">
        <v>2554</v>
      </c>
      <c r="N328" t="s">
        <v>2577</v>
      </c>
      <c r="O328" t="s">
        <v>2601</v>
      </c>
      <c r="P328" t="s">
        <v>2566</v>
      </c>
      <c r="Q328" t="s">
        <v>2584</v>
      </c>
      <c r="R328" t="s">
        <v>2601</v>
      </c>
      <c r="S328" t="s">
        <v>2606</v>
      </c>
      <c r="T328">
        <v>1</v>
      </c>
      <c r="U328" s="2">
        <v>4260.03</v>
      </c>
      <c r="V328" s="3">
        <v>0.2</v>
      </c>
      <c r="W328" s="2">
        <v>3408.02</v>
      </c>
      <c r="X328" s="2">
        <v>-121.13</v>
      </c>
      <c r="Y328" s="3">
        <v>-3.5542631792066938E-2</v>
      </c>
      <c r="Z328" t="s">
        <v>1495</v>
      </c>
      <c r="AA328" t="s">
        <v>1500</v>
      </c>
      <c r="AB328" t="s">
        <v>1501</v>
      </c>
      <c r="AC328">
        <v>1</v>
      </c>
      <c r="AD328">
        <v>2024</v>
      </c>
      <c r="AE328" t="s">
        <v>2816</v>
      </c>
      <c r="AF328" t="s">
        <v>2828</v>
      </c>
      <c r="AG328" t="s">
        <v>2846</v>
      </c>
      <c r="AH328" t="s">
        <v>2848</v>
      </c>
      <c r="AI328">
        <v>1</v>
      </c>
    </row>
    <row r="329" spans="1:35" x14ac:dyDescent="0.3">
      <c r="A329" t="s">
        <v>324</v>
      </c>
      <c r="B329">
        <v>1</v>
      </c>
      <c r="C329" s="1">
        <v>45548</v>
      </c>
      <c r="D329" s="1">
        <v>45549</v>
      </c>
      <c r="E329" t="s">
        <v>1162</v>
      </c>
      <c r="F329" t="s">
        <v>1810</v>
      </c>
      <c r="G329" t="s">
        <v>1406</v>
      </c>
      <c r="H329" t="s">
        <v>2712</v>
      </c>
      <c r="I329" t="s">
        <v>2741</v>
      </c>
      <c r="J329" t="s">
        <v>2766</v>
      </c>
      <c r="K329" t="s">
        <v>1483</v>
      </c>
      <c r="L329" t="s">
        <v>2781</v>
      </c>
      <c r="M329" t="s">
        <v>2559</v>
      </c>
      <c r="N329" t="s">
        <v>2559</v>
      </c>
      <c r="O329" t="s">
        <v>2603</v>
      </c>
      <c r="P329" t="s">
        <v>2568</v>
      </c>
      <c r="Q329" t="s">
        <v>2586</v>
      </c>
      <c r="R329" t="s">
        <v>2603</v>
      </c>
      <c r="S329" t="s">
        <v>2608</v>
      </c>
      <c r="T329">
        <v>1</v>
      </c>
      <c r="U329" s="2">
        <v>150.38</v>
      </c>
      <c r="V329" s="3">
        <v>0.05</v>
      </c>
      <c r="W329" s="2">
        <v>142.86000000000001</v>
      </c>
      <c r="X329" s="2">
        <v>41.09</v>
      </c>
      <c r="Y329" s="3">
        <v>0.28762424751504972</v>
      </c>
      <c r="Z329" t="s">
        <v>1497</v>
      </c>
      <c r="AA329" t="s">
        <v>1500</v>
      </c>
      <c r="AB329" t="s">
        <v>1501</v>
      </c>
      <c r="AC329">
        <v>1</v>
      </c>
      <c r="AD329">
        <v>2024</v>
      </c>
      <c r="AE329" t="s">
        <v>2816</v>
      </c>
      <c r="AF329" t="s">
        <v>2828</v>
      </c>
      <c r="AG329" t="s">
        <v>2846</v>
      </c>
      <c r="AH329" t="s">
        <v>2848</v>
      </c>
      <c r="AI329">
        <v>1</v>
      </c>
    </row>
    <row r="330" spans="1:35" x14ac:dyDescent="0.3">
      <c r="A330" t="s">
        <v>325</v>
      </c>
      <c r="B330">
        <v>3</v>
      </c>
      <c r="C330" s="1">
        <v>45549</v>
      </c>
      <c r="D330" s="1">
        <v>45552</v>
      </c>
      <c r="E330" t="s">
        <v>1163</v>
      </c>
      <c r="F330" t="s">
        <v>1735</v>
      </c>
      <c r="G330" t="s">
        <v>1419</v>
      </c>
      <c r="H330" t="s">
        <v>2619</v>
      </c>
      <c r="I330" t="s">
        <v>2737</v>
      </c>
      <c r="J330" t="s">
        <v>2744</v>
      </c>
      <c r="K330" t="s">
        <v>1480</v>
      </c>
      <c r="L330" t="s">
        <v>2789</v>
      </c>
      <c r="M330" t="s">
        <v>2570</v>
      </c>
      <c r="N330" t="s">
        <v>2590</v>
      </c>
      <c r="O330" t="s">
        <v>2605</v>
      </c>
      <c r="R330" t="s">
        <v>2790</v>
      </c>
      <c r="S330" t="s">
        <v>2606</v>
      </c>
      <c r="T330">
        <v>1</v>
      </c>
      <c r="U330" s="2">
        <v>29006.55</v>
      </c>
      <c r="V330" s="3">
        <v>0</v>
      </c>
      <c r="W330" s="2">
        <v>29006.55</v>
      </c>
      <c r="X330" s="2">
        <v>5136.18</v>
      </c>
      <c r="Y330" s="3">
        <v>0.1770696618522368</v>
      </c>
      <c r="Z330" t="s">
        <v>1495</v>
      </c>
      <c r="AA330" t="s">
        <v>1499</v>
      </c>
      <c r="AB330" t="s">
        <v>1501</v>
      </c>
      <c r="AC330">
        <v>3</v>
      </c>
      <c r="AD330">
        <v>2024</v>
      </c>
      <c r="AE330" t="s">
        <v>2816</v>
      </c>
      <c r="AF330" t="s">
        <v>2828</v>
      </c>
      <c r="AG330" t="s">
        <v>2846</v>
      </c>
      <c r="AH330" t="s">
        <v>2848</v>
      </c>
      <c r="AI330">
        <v>1</v>
      </c>
    </row>
    <row r="331" spans="1:35" x14ac:dyDescent="0.3">
      <c r="A331" t="s">
        <v>326</v>
      </c>
      <c r="B331">
        <v>1</v>
      </c>
      <c r="C331" s="1">
        <v>45550</v>
      </c>
      <c r="D331" s="1">
        <v>45552</v>
      </c>
      <c r="E331" t="s">
        <v>1164</v>
      </c>
      <c r="F331" t="s">
        <v>1665</v>
      </c>
      <c r="G331" t="s">
        <v>1457</v>
      </c>
      <c r="H331" t="s">
        <v>2687</v>
      </c>
      <c r="I331" t="s">
        <v>2740</v>
      </c>
      <c r="J331" t="s">
        <v>2760</v>
      </c>
      <c r="K331" t="s">
        <v>1480</v>
      </c>
      <c r="L331" t="s">
        <v>2789</v>
      </c>
      <c r="M331" t="s">
        <v>2570</v>
      </c>
      <c r="N331" t="s">
        <v>2590</v>
      </c>
      <c r="O331" t="s">
        <v>2605</v>
      </c>
      <c r="R331" t="s">
        <v>2790</v>
      </c>
      <c r="S331" t="s">
        <v>2606</v>
      </c>
      <c r="T331">
        <v>1</v>
      </c>
      <c r="U331" s="2">
        <v>1423.62</v>
      </c>
      <c r="V331" s="3">
        <v>0</v>
      </c>
      <c r="W331" s="2">
        <v>1423.62</v>
      </c>
      <c r="X331" s="2">
        <v>201.63</v>
      </c>
      <c r="Y331" s="3">
        <v>0.14163189615206309</v>
      </c>
      <c r="Z331" t="s">
        <v>1497</v>
      </c>
      <c r="AA331" t="s">
        <v>1500</v>
      </c>
      <c r="AB331" t="s">
        <v>1501</v>
      </c>
      <c r="AC331">
        <v>2</v>
      </c>
      <c r="AD331">
        <v>2024</v>
      </c>
      <c r="AE331" t="s">
        <v>2816</v>
      </c>
      <c r="AF331" t="s">
        <v>2828</v>
      </c>
      <c r="AG331" t="s">
        <v>2846</v>
      </c>
      <c r="AH331" t="s">
        <v>2848</v>
      </c>
      <c r="AI331">
        <v>1</v>
      </c>
    </row>
    <row r="332" spans="1:35" x14ac:dyDescent="0.3">
      <c r="A332" t="s">
        <v>327</v>
      </c>
      <c r="B332">
        <v>1</v>
      </c>
      <c r="C332" s="1">
        <v>45550</v>
      </c>
      <c r="D332" s="1">
        <v>45551</v>
      </c>
      <c r="E332" t="s">
        <v>1165</v>
      </c>
      <c r="F332" t="s">
        <v>1956</v>
      </c>
      <c r="G332" t="s">
        <v>1458</v>
      </c>
      <c r="H332" t="s">
        <v>2734</v>
      </c>
      <c r="I332" t="s">
        <v>2742</v>
      </c>
      <c r="J332" t="s">
        <v>2772</v>
      </c>
      <c r="K332" t="s">
        <v>1483</v>
      </c>
      <c r="L332" t="s">
        <v>2781</v>
      </c>
      <c r="M332" t="s">
        <v>2558</v>
      </c>
      <c r="N332" t="s">
        <v>2558</v>
      </c>
      <c r="O332" t="s">
        <v>2603</v>
      </c>
      <c r="P332" t="s">
        <v>2568</v>
      </c>
      <c r="Q332" t="s">
        <v>2586</v>
      </c>
      <c r="R332" t="s">
        <v>2603</v>
      </c>
      <c r="S332" t="s">
        <v>2608</v>
      </c>
      <c r="T332">
        <v>1</v>
      </c>
      <c r="U332" s="2">
        <v>6241.95</v>
      </c>
      <c r="V332" s="3">
        <v>0.05</v>
      </c>
      <c r="W332" s="2">
        <v>5929.85</v>
      </c>
      <c r="X332" s="2">
        <v>1308.73</v>
      </c>
      <c r="Y332" s="3">
        <v>0.22070204136698229</v>
      </c>
      <c r="Z332" t="s">
        <v>1496</v>
      </c>
      <c r="AA332" t="s">
        <v>1499</v>
      </c>
      <c r="AB332" t="s">
        <v>1501</v>
      </c>
      <c r="AC332">
        <v>1</v>
      </c>
      <c r="AD332">
        <v>2024</v>
      </c>
      <c r="AE332" t="s">
        <v>2816</v>
      </c>
      <c r="AF332" t="s">
        <v>2828</v>
      </c>
      <c r="AG332" t="s">
        <v>2846</v>
      </c>
      <c r="AH332" t="s">
        <v>2848</v>
      </c>
      <c r="AI332">
        <v>1</v>
      </c>
    </row>
    <row r="333" spans="1:35" x14ac:dyDescent="0.3">
      <c r="A333" t="s">
        <v>328</v>
      </c>
      <c r="B333">
        <v>1</v>
      </c>
      <c r="C333" s="1">
        <v>45551</v>
      </c>
      <c r="D333" s="1">
        <v>45552</v>
      </c>
      <c r="E333" t="s">
        <v>1166</v>
      </c>
      <c r="F333" t="s">
        <v>1725</v>
      </c>
      <c r="G333" t="s">
        <v>1345</v>
      </c>
      <c r="H333" t="s">
        <v>2635</v>
      </c>
      <c r="I333" t="s">
        <v>2737</v>
      </c>
      <c r="J333" t="s">
        <v>2747</v>
      </c>
      <c r="K333" t="s">
        <v>1480</v>
      </c>
      <c r="L333" t="s">
        <v>2789</v>
      </c>
      <c r="M333" t="s">
        <v>2572</v>
      </c>
      <c r="N333" t="s">
        <v>2582</v>
      </c>
      <c r="O333" t="s">
        <v>2601</v>
      </c>
      <c r="R333" t="s">
        <v>2790</v>
      </c>
      <c r="S333" t="s">
        <v>2608</v>
      </c>
      <c r="T333">
        <v>1</v>
      </c>
      <c r="U333" s="2">
        <v>8112.78</v>
      </c>
      <c r="V333" s="3">
        <v>0</v>
      </c>
      <c r="W333" s="2">
        <v>8112.78</v>
      </c>
      <c r="X333" s="2">
        <v>1235.06</v>
      </c>
      <c r="Y333" s="3">
        <v>0.15223634808290129</v>
      </c>
      <c r="Z333" t="s">
        <v>1494</v>
      </c>
      <c r="AA333" t="s">
        <v>1498</v>
      </c>
      <c r="AB333" t="s">
        <v>1501</v>
      </c>
      <c r="AC333">
        <v>1</v>
      </c>
      <c r="AD333">
        <v>2024</v>
      </c>
      <c r="AE333" t="s">
        <v>2816</v>
      </c>
      <c r="AF333" t="s">
        <v>2828</v>
      </c>
      <c r="AG333" t="s">
        <v>2846</v>
      </c>
      <c r="AH333" t="s">
        <v>2848</v>
      </c>
      <c r="AI333">
        <v>1</v>
      </c>
    </row>
    <row r="334" spans="1:35" x14ac:dyDescent="0.3">
      <c r="A334" t="s">
        <v>329</v>
      </c>
      <c r="B334">
        <v>1</v>
      </c>
      <c r="C334" s="1">
        <v>45551</v>
      </c>
      <c r="D334" s="1">
        <v>45553</v>
      </c>
      <c r="E334" t="s">
        <v>1020</v>
      </c>
      <c r="F334" t="s">
        <v>1746</v>
      </c>
      <c r="G334" t="s">
        <v>1380</v>
      </c>
      <c r="H334" t="s">
        <v>2701</v>
      </c>
      <c r="I334" t="s">
        <v>2740</v>
      </c>
      <c r="J334" t="s">
        <v>2764</v>
      </c>
      <c r="K334" t="s">
        <v>1480</v>
      </c>
      <c r="L334" t="s">
        <v>2789</v>
      </c>
      <c r="M334" t="s">
        <v>2569</v>
      </c>
      <c r="N334" t="s">
        <v>2587</v>
      </c>
      <c r="O334" t="s">
        <v>2604</v>
      </c>
      <c r="R334" t="s">
        <v>2790</v>
      </c>
      <c r="S334" t="s">
        <v>2608</v>
      </c>
      <c r="T334">
        <v>1</v>
      </c>
      <c r="U334" s="2">
        <v>694.66</v>
      </c>
      <c r="V334" s="3">
        <v>0.05</v>
      </c>
      <c r="W334" s="2">
        <v>659.93</v>
      </c>
      <c r="X334" s="2">
        <v>57.34</v>
      </c>
      <c r="Y334" s="3">
        <v>8.6888003273074429E-2</v>
      </c>
      <c r="Z334" t="s">
        <v>1496</v>
      </c>
      <c r="AA334" t="s">
        <v>1499</v>
      </c>
      <c r="AB334" t="s">
        <v>1501</v>
      </c>
      <c r="AC334">
        <v>2</v>
      </c>
      <c r="AD334">
        <v>2024</v>
      </c>
      <c r="AE334" t="s">
        <v>2816</v>
      </c>
      <c r="AF334" t="s">
        <v>2828</v>
      </c>
      <c r="AG334" t="s">
        <v>2846</v>
      </c>
      <c r="AH334" t="s">
        <v>2848</v>
      </c>
      <c r="AI334">
        <v>1</v>
      </c>
    </row>
    <row r="335" spans="1:35" x14ac:dyDescent="0.3">
      <c r="A335" t="s">
        <v>330</v>
      </c>
      <c r="B335">
        <v>2</v>
      </c>
      <c r="C335" s="1">
        <v>45552</v>
      </c>
      <c r="D335" s="1">
        <v>45554</v>
      </c>
      <c r="E335" t="s">
        <v>1075</v>
      </c>
      <c r="F335" t="s">
        <v>1664</v>
      </c>
      <c r="G335" t="s">
        <v>1397</v>
      </c>
      <c r="H335" t="s">
        <v>2650</v>
      </c>
      <c r="I335" t="s">
        <v>2738</v>
      </c>
      <c r="J335" t="s">
        <v>2751</v>
      </c>
      <c r="K335" t="s">
        <v>1480</v>
      </c>
      <c r="L335" t="s">
        <v>2789</v>
      </c>
      <c r="M335" t="s">
        <v>2570</v>
      </c>
      <c r="N335" t="s">
        <v>2590</v>
      </c>
      <c r="O335" t="s">
        <v>2605</v>
      </c>
      <c r="R335" t="s">
        <v>2790</v>
      </c>
      <c r="S335" t="s">
        <v>2606</v>
      </c>
      <c r="T335">
        <v>1</v>
      </c>
      <c r="U335" s="2">
        <v>42202.74</v>
      </c>
      <c r="V335" s="3">
        <v>0</v>
      </c>
      <c r="W335" s="2">
        <v>42202.74</v>
      </c>
      <c r="X335" s="2">
        <v>7787.76</v>
      </c>
      <c r="Y335" s="3">
        <v>0.18453209436164569</v>
      </c>
      <c r="Z335" t="s">
        <v>1495</v>
      </c>
      <c r="AA335" t="s">
        <v>1499</v>
      </c>
      <c r="AB335" t="s">
        <v>1501</v>
      </c>
      <c r="AC335">
        <v>2</v>
      </c>
      <c r="AD335">
        <v>2024</v>
      </c>
      <c r="AE335" t="s">
        <v>2816</v>
      </c>
      <c r="AF335" t="s">
        <v>2828</v>
      </c>
      <c r="AG335" t="s">
        <v>2846</v>
      </c>
      <c r="AH335" t="s">
        <v>2848</v>
      </c>
      <c r="AI335">
        <v>1</v>
      </c>
    </row>
    <row r="336" spans="1:35" x14ac:dyDescent="0.3">
      <c r="A336" t="s">
        <v>331</v>
      </c>
      <c r="B336">
        <v>1</v>
      </c>
      <c r="C336" s="1">
        <v>45552</v>
      </c>
      <c r="D336" s="1">
        <v>45552</v>
      </c>
      <c r="E336" t="s">
        <v>978</v>
      </c>
      <c r="F336" t="s">
        <v>1887</v>
      </c>
      <c r="G336" t="s">
        <v>1459</v>
      </c>
      <c r="H336" t="s">
        <v>2688</v>
      </c>
      <c r="I336" t="s">
        <v>2740</v>
      </c>
      <c r="J336" t="s">
        <v>2760</v>
      </c>
      <c r="K336" t="s">
        <v>1483</v>
      </c>
      <c r="L336" t="s">
        <v>2781</v>
      </c>
      <c r="M336" t="s">
        <v>2555</v>
      </c>
      <c r="N336" t="s">
        <v>2578</v>
      </c>
      <c r="O336" t="s">
        <v>2603</v>
      </c>
      <c r="P336" t="s">
        <v>2568</v>
      </c>
      <c r="Q336" t="s">
        <v>2586</v>
      </c>
      <c r="R336" t="s">
        <v>2603</v>
      </c>
      <c r="S336" t="s">
        <v>2607</v>
      </c>
      <c r="T336">
        <v>1</v>
      </c>
      <c r="U336" s="2">
        <v>814.23</v>
      </c>
      <c r="V336" s="3">
        <v>0.1</v>
      </c>
      <c r="W336" s="2">
        <v>732.81</v>
      </c>
      <c r="X336" s="2">
        <v>28.38</v>
      </c>
      <c r="Y336" s="3">
        <v>3.8727637450362312E-2</v>
      </c>
      <c r="Z336" t="s">
        <v>1497</v>
      </c>
      <c r="AA336" t="s">
        <v>1498</v>
      </c>
      <c r="AB336" t="s">
        <v>1501</v>
      </c>
      <c r="AC336">
        <v>0</v>
      </c>
      <c r="AD336">
        <v>2024</v>
      </c>
      <c r="AE336" t="s">
        <v>2816</v>
      </c>
      <c r="AF336" t="s">
        <v>2828</v>
      </c>
      <c r="AG336" t="s">
        <v>2846</v>
      </c>
      <c r="AH336" t="s">
        <v>2848</v>
      </c>
      <c r="AI336">
        <v>1</v>
      </c>
    </row>
    <row r="337" spans="1:35" x14ac:dyDescent="0.3">
      <c r="A337" t="s">
        <v>332</v>
      </c>
      <c r="B337">
        <v>1</v>
      </c>
      <c r="C337" s="1">
        <v>45553</v>
      </c>
      <c r="D337" s="1">
        <v>45555</v>
      </c>
      <c r="E337" t="s">
        <v>1073</v>
      </c>
      <c r="F337" t="s">
        <v>1779</v>
      </c>
      <c r="G337" t="s">
        <v>1411</v>
      </c>
      <c r="H337" t="s">
        <v>2617</v>
      </c>
      <c r="I337" t="s">
        <v>2737</v>
      </c>
      <c r="J337" t="s">
        <v>2744</v>
      </c>
      <c r="K337" t="s">
        <v>1480</v>
      </c>
      <c r="L337" t="s">
        <v>2789</v>
      </c>
      <c r="M337" t="s">
        <v>2570</v>
      </c>
      <c r="N337" t="s">
        <v>2590</v>
      </c>
      <c r="O337" t="s">
        <v>2605</v>
      </c>
      <c r="R337" t="s">
        <v>2790</v>
      </c>
      <c r="S337" t="s">
        <v>2607</v>
      </c>
      <c r="T337">
        <v>1</v>
      </c>
      <c r="U337" s="2">
        <v>65997.17</v>
      </c>
      <c r="V337" s="3">
        <v>0</v>
      </c>
      <c r="W337" s="2">
        <v>65997.17</v>
      </c>
      <c r="X337" s="2">
        <v>8206.18</v>
      </c>
      <c r="Y337" s="3">
        <v>0.1243413922142419</v>
      </c>
      <c r="Z337" t="s">
        <v>1497</v>
      </c>
      <c r="AA337" t="s">
        <v>1499</v>
      </c>
      <c r="AB337" t="s">
        <v>1501</v>
      </c>
      <c r="AC337">
        <v>2</v>
      </c>
      <c r="AD337">
        <v>2024</v>
      </c>
      <c r="AE337" t="s">
        <v>2816</v>
      </c>
      <c r="AF337" t="s">
        <v>2828</v>
      </c>
      <c r="AG337" t="s">
        <v>2846</v>
      </c>
      <c r="AH337" t="s">
        <v>2848</v>
      </c>
      <c r="AI337">
        <v>1</v>
      </c>
    </row>
    <row r="338" spans="1:35" x14ac:dyDescent="0.3">
      <c r="A338" t="s">
        <v>333</v>
      </c>
      <c r="B338">
        <v>2</v>
      </c>
      <c r="C338" s="1">
        <v>45553</v>
      </c>
      <c r="D338" s="1">
        <v>45553</v>
      </c>
      <c r="E338" t="s">
        <v>1167</v>
      </c>
      <c r="F338" t="s">
        <v>1819</v>
      </c>
      <c r="G338" t="s">
        <v>1438</v>
      </c>
      <c r="H338" t="s">
        <v>2621</v>
      </c>
      <c r="I338" t="s">
        <v>2737</v>
      </c>
      <c r="J338" t="s">
        <v>2744</v>
      </c>
      <c r="K338" t="s">
        <v>1482</v>
      </c>
      <c r="L338" t="s">
        <v>2783</v>
      </c>
      <c r="M338" t="s">
        <v>2567</v>
      </c>
      <c r="N338" t="s">
        <v>2585</v>
      </c>
      <c r="O338" t="s">
        <v>2604</v>
      </c>
      <c r="P338" t="s">
        <v>2560</v>
      </c>
      <c r="Q338" t="s">
        <v>2579</v>
      </c>
      <c r="R338" t="s">
        <v>2604</v>
      </c>
      <c r="S338" t="s">
        <v>2608</v>
      </c>
      <c r="T338">
        <v>1</v>
      </c>
      <c r="U338" s="2">
        <v>77432.27</v>
      </c>
      <c r="V338" s="3">
        <v>0.05</v>
      </c>
      <c r="W338" s="2">
        <v>73560.66</v>
      </c>
      <c r="X338" s="2">
        <v>4845.91</v>
      </c>
      <c r="Y338" s="3">
        <v>6.5876380119482339E-2</v>
      </c>
      <c r="Z338" t="s">
        <v>1496</v>
      </c>
      <c r="AA338" t="s">
        <v>1498</v>
      </c>
      <c r="AB338" t="s">
        <v>1501</v>
      </c>
      <c r="AC338">
        <v>0</v>
      </c>
      <c r="AD338">
        <v>2024</v>
      </c>
      <c r="AE338" t="s">
        <v>2816</v>
      </c>
      <c r="AF338" t="s">
        <v>2828</v>
      </c>
      <c r="AG338" t="s">
        <v>2846</v>
      </c>
      <c r="AH338" t="s">
        <v>2848</v>
      </c>
      <c r="AI338">
        <v>1</v>
      </c>
    </row>
    <row r="339" spans="1:35" x14ac:dyDescent="0.3">
      <c r="A339" t="s">
        <v>334</v>
      </c>
      <c r="B339">
        <v>1</v>
      </c>
      <c r="C339" s="1">
        <v>45554</v>
      </c>
      <c r="D339" s="1">
        <v>45554</v>
      </c>
      <c r="E339" t="s">
        <v>1037</v>
      </c>
      <c r="F339" t="s">
        <v>1649</v>
      </c>
      <c r="G339" t="s">
        <v>1388</v>
      </c>
      <c r="H339" t="s">
        <v>2662</v>
      </c>
      <c r="I339" t="s">
        <v>2739</v>
      </c>
      <c r="J339" t="s">
        <v>2755</v>
      </c>
      <c r="K339" t="s">
        <v>1479</v>
      </c>
      <c r="L339" t="s">
        <v>2786</v>
      </c>
      <c r="M339" t="s">
        <v>2550</v>
      </c>
      <c r="N339" t="s">
        <v>2573</v>
      </c>
      <c r="O339" t="s">
        <v>2601</v>
      </c>
      <c r="P339" t="s">
        <v>2564</v>
      </c>
      <c r="Q339" t="s">
        <v>2582</v>
      </c>
      <c r="R339" t="s">
        <v>2601</v>
      </c>
      <c r="S339" t="s">
        <v>2606</v>
      </c>
      <c r="T339">
        <v>1</v>
      </c>
      <c r="U339" s="2">
        <v>5746.05</v>
      </c>
      <c r="V339" s="3">
        <v>0</v>
      </c>
      <c r="W339" s="2">
        <v>5746.05</v>
      </c>
      <c r="X339" s="2">
        <v>1765.7</v>
      </c>
      <c r="Y339" s="3">
        <v>0.30728935529624701</v>
      </c>
      <c r="Z339" t="s">
        <v>1496</v>
      </c>
      <c r="AA339" t="s">
        <v>1499</v>
      </c>
      <c r="AB339" t="s">
        <v>1501</v>
      </c>
      <c r="AC339">
        <v>0</v>
      </c>
      <c r="AD339">
        <v>2024</v>
      </c>
      <c r="AE339" t="s">
        <v>2816</v>
      </c>
      <c r="AF339" t="s">
        <v>2828</v>
      </c>
      <c r="AG339" t="s">
        <v>2846</v>
      </c>
      <c r="AH339" t="s">
        <v>2848</v>
      </c>
      <c r="AI339">
        <v>1</v>
      </c>
    </row>
    <row r="340" spans="1:35" x14ac:dyDescent="0.3">
      <c r="A340" t="s">
        <v>335</v>
      </c>
      <c r="B340">
        <v>1</v>
      </c>
      <c r="C340" s="1">
        <v>45554</v>
      </c>
      <c r="D340" s="1">
        <v>45555</v>
      </c>
      <c r="E340" t="s">
        <v>1100</v>
      </c>
      <c r="F340" t="s">
        <v>1954</v>
      </c>
      <c r="G340" t="s">
        <v>1394</v>
      </c>
      <c r="H340" t="s">
        <v>2664</v>
      </c>
      <c r="I340" t="s">
        <v>2739</v>
      </c>
      <c r="J340" t="s">
        <v>2755</v>
      </c>
      <c r="K340" t="s">
        <v>1480</v>
      </c>
      <c r="L340" t="s">
        <v>2789</v>
      </c>
      <c r="M340" t="s">
        <v>2556</v>
      </c>
      <c r="N340" t="s">
        <v>2574</v>
      </c>
      <c r="O340" t="s">
        <v>2602</v>
      </c>
      <c r="R340" t="s">
        <v>2790</v>
      </c>
      <c r="S340" t="s">
        <v>2608</v>
      </c>
      <c r="T340">
        <v>1</v>
      </c>
      <c r="U340" s="2">
        <v>902.62</v>
      </c>
      <c r="V340" s="3">
        <v>0</v>
      </c>
      <c r="W340" s="2">
        <v>902.62</v>
      </c>
      <c r="X340" s="2">
        <v>250.99</v>
      </c>
      <c r="Y340" s="3">
        <v>0.27806829008885248</v>
      </c>
      <c r="Z340" t="s">
        <v>1494</v>
      </c>
      <c r="AA340" t="s">
        <v>1498</v>
      </c>
      <c r="AB340" t="s">
        <v>1501</v>
      </c>
      <c r="AC340">
        <v>1</v>
      </c>
      <c r="AD340">
        <v>2024</v>
      </c>
      <c r="AE340" t="s">
        <v>2816</v>
      </c>
      <c r="AF340" t="s">
        <v>2828</v>
      </c>
      <c r="AG340" t="s">
        <v>2846</v>
      </c>
      <c r="AH340" t="s">
        <v>2848</v>
      </c>
      <c r="AI340">
        <v>1</v>
      </c>
    </row>
    <row r="341" spans="1:35" x14ac:dyDescent="0.3">
      <c r="A341" t="s">
        <v>336</v>
      </c>
      <c r="B341">
        <v>1</v>
      </c>
      <c r="C341" s="1">
        <v>45555</v>
      </c>
      <c r="D341" s="1">
        <v>45556</v>
      </c>
      <c r="E341" t="s">
        <v>1040</v>
      </c>
      <c r="F341" t="s">
        <v>1742</v>
      </c>
      <c r="G341" t="s">
        <v>1435</v>
      </c>
      <c r="H341" t="s">
        <v>2633</v>
      </c>
      <c r="I341" t="s">
        <v>2737</v>
      </c>
      <c r="J341" t="s">
        <v>2747</v>
      </c>
      <c r="K341" t="s">
        <v>1484</v>
      </c>
      <c r="L341" t="s">
        <v>2778</v>
      </c>
      <c r="M341" t="s">
        <v>2568</v>
      </c>
      <c r="N341" t="s">
        <v>2593</v>
      </c>
      <c r="O341" t="s">
        <v>2603</v>
      </c>
      <c r="P341" t="s">
        <v>2559</v>
      </c>
      <c r="Q341" t="s">
        <v>2559</v>
      </c>
      <c r="R341" t="s">
        <v>2603</v>
      </c>
      <c r="S341" t="s">
        <v>2606</v>
      </c>
      <c r="T341">
        <v>1</v>
      </c>
      <c r="U341" s="2">
        <v>62926.96</v>
      </c>
      <c r="V341" s="3">
        <v>0.05</v>
      </c>
      <c r="W341" s="2">
        <v>59780.61</v>
      </c>
      <c r="X341" s="2">
        <v>6068.13</v>
      </c>
      <c r="Y341" s="3">
        <v>0.10150665909899551</v>
      </c>
      <c r="Z341" t="s">
        <v>1496</v>
      </c>
      <c r="AA341" t="s">
        <v>1498</v>
      </c>
      <c r="AB341" t="s">
        <v>1502</v>
      </c>
      <c r="AC341">
        <v>1</v>
      </c>
      <c r="AD341">
        <v>2024</v>
      </c>
      <c r="AE341" t="s">
        <v>2816</v>
      </c>
      <c r="AF341" t="s">
        <v>2828</v>
      </c>
      <c r="AG341" t="s">
        <v>2846</v>
      </c>
      <c r="AH341" t="s">
        <v>2848</v>
      </c>
      <c r="AI341">
        <v>1</v>
      </c>
    </row>
    <row r="342" spans="1:35" x14ac:dyDescent="0.3">
      <c r="A342" t="s">
        <v>337</v>
      </c>
      <c r="B342">
        <v>1</v>
      </c>
      <c r="C342" s="1">
        <v>45556</v>
      </c>
      <c r="E342" t="s">
        <v>1168</v>
      </c>
      <c r="F342" t="s">
        <v>1984</v>
      </c>
      <c r="G342" t="s">
        <v>1427</v>
      </c>
      <c r="H342" t="s">
        <v>2712</v>
      </c>
      <c r="I342" t="s">
        <v>2741</v>
      </c>
      <c r="J342" t="s">
        <v>2766</v>
      </c>
      <c r="K342" t="s">
        <v>1480</v>
      </c>
      <c r="L342" t="s">
        <v>2789</v>
      </c>
      <c r="M342" t="s">
        <v>2559</v>
      </c>
      <c r="N342" t="s">
        <v>2559</v>
      </c>
      <c r="O342" t="s">
        <v>2603</v>
      </c>
      <c r="R342" t="s">
        <v>2790</v>
      </c>
      <c r="S342" t="s">
        <v>2606</v>
      </c>
      <c r="T342">
        <v>1</v>
      </c>
      <c r="U342" s="2">
        <v>687.56</v>
      </c>
      <c r="V342" s="3">
        <v>0</v>
      </c>
      <c r="W342" s="2">
        <v>687.56</v>
      </c>
      <c r="X342" s="2">
        <v>235.13</v>
      </c>
      <c r="Y342" s="3">
        <v>0.3419774274245157</v>
      </c>
      <c r="Z342" t="s">
        <v>1495</v>
      </c>
      <c r="AA342" t="s">
        <v>1499</v>
      </c>
      <c r="AB342" t="s">
        <v>1503</v>
      </c>
      <c r="AD342">
        <v>2024</v>
      </c>
      <c r="AE342" t="s">
        <v>2816</v>
      </c>
      <c r="AF342" t="s">
        <v>2828</v>
      </c>
      <c r="AG342" t="s">
        <v>2846</v>
      </c>
      <c r="AH342" t="s">
        <v>2848</v>
      </c>
      <c r="AI342">
        <v>1</v>
      </c>
    </row>
    <row r="343" spans="1:35" x14ac:dyDescent="0.3">
      <c r="A343" t="s">
        <v>338</v>
      </c>
      <c r="B343">
        <v>1</v>
      </c>
      <c r="C343" s="1">
        <v>45556</v>
      </c>
      <c r="D343" s="1">
        <v>45556</v>
      </c>
      <c r="E343" t="s">
        <v>1162</v>
      </c>
      <c r="F343" t="s">
        <v>1810</v>
      </c>
      <c r="G343" t="s">
        <v>1460</v>
      </c>
      <c r="H343" t="s">
        <v>2667</v>
      </c>
      <c r="I343" t="s">
        <v>2739</v>
      </c>
      <c r="J343" t="s">
        <v>2755</v>
      </c>
      <c r="K343" t="s">
        <v>1491</v>
      </c>
      <c r="L343" t="s">
        <v>2779</v>
      </c>
      <c r="M343" t="s">
        <v>2559</v>
      </c>
      <c r="N343" t="s">
        <v>2559</v>
      </c>
      <c r="O343" t="s">
        <v>2603</v>
      </c>
      <c r="P343" t="s">
        <v>2555</v>
      </c>
      <c r="Q343" t="s">
        <v>2578</v>
      </c>
      <c r="R343" t="s">
        <v>2603</v>
      </c>
      <c r="S343" t="s">
        <v>2608</v>
      </c>
      <c r="T343">
        <v>3</v>
      </c>
      <c r="U343" s="2">
        <v>4883.8599999999997</v>
      </c>
      <c r="V343" s="3">
        <v>0</v>
      </c>
      <c r="W343" s="2">
        <v>14651.58</v>
      </c>
      <c r="X343" s="2">
        <v>5032.47</v>
      </c>
      <c r="Y343" s="3">
        <v>0.34347626672345238</v>
      </c>
      <c r="Z343" t="s">
        <v>1495</v>
      </c>
      <c r="AA343" t="s">
        <v>1499</v>
      </c>
      <c r="AB343" t="s">
        <v>1501</v>
      </c>
      <c r="AC343">
        <v>0</v>
      </c>
      <c r="AD343">
        <v>2024</v>
      </c>
      <c r="AE343" t="s">
        <v>2816</v>
      </c>
      <c r="AF343" t="s">
        <v>2828</v>
      </c>
      <c r="AG343" t="s">
        <v>2846</v>
      </c>
      <c r="AH343" t="s">
        <v>2848</v>
      </c>
      <c r="AI343">
        <v>1</v>
      </c>
    </row>
    <row r="344" spans="1:35" x14ac:dyDescent="0.3">
      <c r="A344" t="s">
        <v>339</v>
      </c>
      <c r="B344">
        <v>1</v>
      </c>
      <c r="C344" s="1">
        <v>45557</v>
      </c>
      <c r="D344" s="1">
        <v>45557</v>
      </c>
      <c r="E344" t="s">
        <v>1068</v>
      </c>
      <c r="F344" t="s">
        <v>1744</v>
      </c>
      <c r="G344" t="s">
        <v>1449</v>
      </c>
      <c r="H344" t="s">
        <v>2642</v>
      </c>
      <c r="I344" t="s">
        <v>2738</v>
      </c>
      <c r="J344" t="s">
        <v>2750</v>
      </c>
      <c r="K344" t="s">
        <v>1490</v>
      </c>
      <c r="L344" t="s">
        <v>2784</v>
      </c>
      <c r="M344" t="s">
        <v>2560</v>
      </c>
      <c r="N344" t="s">
        <v>2579</v>
      </c>
      <c r="O344" t="s">
        <v>2604</v>
      </c>
      <c r="P344" t="s">
        <v>2567</v>
      </c>
      <c r="Q344" t="s">
        <v>2585</v>
      </c>
      <c r="R344" t="s">
        <v>2604</v>
      </c>
      <c r="S344" t="s">
        <v>2606</v>
      </c>
      <c r="T344">
        <v>2</v>
      </c>
      <c r="U344" s="2">
        <v>22795.96</v>
      </c>
      <c r="V344" s="3">
        <v>0</v>
      </c>
      <c r="W344" s="2">
        <v>45591.92</v>
      </c>
      <c r="X344" s="2">
        <v>10194.620000000001</v>
      </c>
      <c r="Y344" s="3">
        <v>0.2236058494575355</v>
      </c>
      <c r="Z344" t="s">
        <v>1494</v>
      </c>
      <c r="AA344" t="s">
        <v>1500</v>
      </c>
      <c r="AB344" t="s">
        <v>1501</v>
      </c>
      <c r="AC344">
        <v>0</v>
      </c>
      <c r="AD344">
        <v>2024</v>
      </c>
      <c r="AE344" t="s">
        <v>2816</v>
      </c>
      <c r="AF344" t="s">
        <v>2828</v>
      </c>
      <c r="AG344" t="s">
        <v>2846</v>
      </c>
      <c r="AH344" t="s">
        <v>2848</v>
      </c>
      <c r="AI344">
        <v>1</v>
      </c>
    </row>
    <row r="345" spans="1:35" x14ac:dyDescent="0.3">
      <c r="A345" t="s">
        <v>340</v>
      </c>
      <c r="B345">
        <v>1</v>
      </c>
      <c r="C345" s="1">
        <v>45558</v>
      </c>
      <c r="D345" s="1">
        <v>45560</v>
      </c>
      <c r="E345" t="s">
        <v>1169</v>
      </c>
      <c r="F345" t="s">
        <v>1787</v>
      </c>
      <c r="G345" t="s">
        <v>1409</v>
      </c>
      <c r="H345" t="s">
        <v>2731</v>
      </c>
      <c r="I345" t="s">
        <v>2742</v>
      </c>
      <c r="J345" t="s">
        <v>2771</v>
      </c>
      <c r="K345" t="s">
        <v>1480</v>
      </c>
      <c r="L345" t="s">
        <v>2789</v>
      </c>
      <c r="M345" t="s">
        <v>2556</v>
      </c>
      <c r="N345" t="s">
        <v>2592</v>
      </c>
      <c r="O345" t="s">
        <v>2602</v>
      </c>
      <c r="R345" t="s">
        <v>2790</v>
      </c>
      <c r="S345" t="s">
        <v>2606</v>
      </c>
      <c r="T345">
        <v>1</v>
      </c>
      <c r="U345" s="2">
        <v>10956.72</v>
      </c>
      <c r="V345" s="3">
        <v>0.05</v>
      </c>
      <c r="W345" s="2">
        <v>10408.879999999999</v>
      </c>
      <c r="X345" s="2">
        <v>1764.16</v>
      </c>
      <c r="Y345" s="3">
        <v>0.16948605421524701</v>
      </c>
      <c r="Z345" t="s">
        <v>1497</v>
      </c>
      <c r="AA345" t="s">
        <v>1499</v>
      </c>
      <c r="AB345" t="s">
        <v>1501</v>
      </c>
      <c r="AC345">
        <v>2</v>
      </c>
      <c r="AD345">
        <v>2024</v>
      </c>
      <c r="AE345" t="s">
        <v>2816</v>
      </c>
      <c r="AF345" t="s">
        <v>2828</v>
      </c>
      <c r="AG345" t="s">
        <v>2846</v>
      </c>
      <c r="AH345" t="s">
        <v>2848</v>
      </c>
      <c r="AI345">
        <v>1</v>
      </c>
    </row>
    <row r="346" spans="1:35" x14ac:dyDescent="0.3">
      <c r="A346" t="s">
        <v>341</v>
      </c>
      <c r="B346">
        <v>1</v>
      </c>
      <c r="C346" s="1">
        <v>45559</v>
      </c>
      <c r="D346" s="1">
        <v>45559</v>
      </c>
      <c r="E346" t="s">
        <v>1170</v>
      </c>
      <c r="F346" t="s">
        <v>1837</v>
      </c>
      <c r="G346" t="s">
        <v>1461</v>
      </c>
      <c r="H346" t="s">
        <v>2692</v>
      </c>
      <c r="I346" t="s">
        <v>2740</v>
      </c>
      <c r="J346" t="s">
        <v>2761</v>
      </c>
      <c r="K346" t="s">
        <v>1487</v>
      </c>
      <c r="L346" t="s">
        <v>2785</v>
      </c>
      <c r="M346" t="s">
        <v>2561</v>
      </c>
      <c r="N346" t="s">
        <v>2580</v>
      </c>
      <c r="O346" t="s">
        <v>2601</v>
      </c>
      <c r="P346" t="s">
        <v>2550</v>
      </c>
      <c r="Q346" t="s">
        <v>2573</v>
      </c>
      <c r="R346" t="s">
        <v>2601</v>
      </c>
      <c r="S346" t="s">
        <v>2607</v>
      </c>
      <c r="T346">
        <v>1</v>
      </c>
      <c r="U346" s="2">
        <v>933.23</v>
      </c>
      <c r="V346" s="3">
        <v>0</v>
      </c>
      <c r="W346" s="2">
        <v>933.23</v>
      </c>
      <c r="X346" s="2">
        <v>62.65</v>
      </c>
      <c r="Y346" s="3">
        <v>6.7132432519314639E-2</v>
      </c>
      <c r="Z346" t="s">
        <v>1496</v>
      </c>
      <c r="AA346" t="s">
        <v>1499</v>
      </c>
      <c r="AB346" t="s">
        <v>1501</v>
      </c>
      <c r="AC346">
        <v>0</v>
      </c>
      <c r="AD346">
        <v>2024</v>
      </c>
      <c r="AE346" t="s">
        <v>2816</v>
      </c>
      <c r="AF346" t="s">
        <v>2828</v>
      </c>
      <c r="AG346" t="s">
        <v>2846</v>
      </c>
      <c r="AH346" t="s">
        <v>2848</v>
      </c>
      <c r="AI346">
        <v>1</v>
      </c>
    </row>
    <row r="347" spans="1:35" x14ac:dyDescent="0.3">
      <c r="A347" t="s">
        <v>342</v>
      </c>
      <c r="B347">
        <v>1</v>
      </c>
      <c r="C347" s="1">
        <v>45559</v>
      </c>
      <c r="D347" s="1">
        <v>45560</v>
      </c>
      <c r="E347" t="s">
        <v>1020</v>
      </c>
      <c r="F347" t="s">
        <v>1746</v>
      </c>
      <c r="G347" t="s">
        <v>1344</v>
      </c>
      <c r="H347" t="s">
        <v>2717</v>
      </c>
      <c r="I347" t="s">
        <v>2741</v>
      </c>
      <c r="J347" t="s">
        <v>2768</v>
      </c>
      <c r="K347" t="s">
        <v>1482</v>
      </c>
      <c r="L347" t="s">
        <v>2783</v>
      </c>
      <c r="M347" t="s">
        <v>2569</v>
      </c>
      <c r="N347" t="s">
        <v>2587</v>
      </c>
      <c r="O347" t="s">
        <v>2604</v>
      </c>
      <c r="P347" t="s">
        <v>2560</v>
      </c>
      <c r="Q347" t="s">
        <v>2579</v>
      </c>
      <c r="R347" t="s">
        <v>2604</v>
      </c>
      <c r="S347" t="s">
        <v>2608</v>
      </c>
      <c r="T347">
        <v>1</v>
      </c>
      <c r="U347" s="2">
        <v>555.59</v>
      </c>
      <c r="V347" s="3">
        <v>0.2</v>
      </c>
      <c r="W347" s="2">
        <v>444.47</v>
      </c>
      <c r="X347" s="2">
        <v>65.37</v>
      </c>
      <c r="Y347" s="3">
        <v>0.14707404324251361</v>
      </c>
      <c r="Z347" t="s">
        <v>1494</v>
      </c>
      <c r="AA347" t="s">
        <v>1499</v>
      </c>
      <c r="AB347" t="s">
        <v>1501</v>
      </c>
      <c r="AC347">
        <v>1</v>
      </c>
      <c r="AD347">
        <v>2024</v>
      </c>
      <c r="AE347" t="s">
        <v>2816</v>
      </c>
      <c r="AF347" t="s">
        <v>2828</v>
      </c>
      <c r="AG347" t="s">
        <v>2846</v>
      </c>
      <c r="AH347" t="s">
        <v>2848</v>
      </c>
      <c r="AI347">
        <v>1</v>
      </c>
    </row>
    <row r="348" spans="1:35" x14ac:dyDescent="0.3">
      <c r="A348" t="s">
        <v>343</v>
      </c>
      <c r="B348">
        <v>1</v>
      </c>
      <c r="C348" s="1">
        <v>45559</v>
      </c>
      <c r="D348" s="1">
        <v>45559</v>
      </c>
      <c r="E348" t="s">
        <v>1080</v>
      </c>
      <c r="F348" t="s">
        <v>1978</v>
      </c>
      <c r="G348" t="s">
        <v>1349</v>
      </c>
      <c r="H348" t="s">
        <v>2668</v>
      </c>
      <c r="I348" t="s">
        <v>2739</v>
      </c>
      <c r="J348" t="s">
        <v>2756</v>
      </c>
      <c r="K348" t="s">
        <v>1485</v>
      </c>
      <c r="L348" t="s">
        <v>2775</v>
      </c>
      <c r="M348" t="s">
        <v>2562</v>
      </c>
      <c r="N348" t="s">
        <v>2574</v>
      </c>
      <c r="O348" t="s">
        <v>2602</v>
      </c>
      <c r="P348" t="s">
        <v>2562</v>
      </c>
      <c r="Q348" t="s">
        <v>2574</v>
      </c>
      <c r="R348" t="s">
        <v>2602</v>
      </c>
      <c r="S348" t="s">
        <v>2607</v>
      </c>
      <c r="T348">
        <v>1</v>
      </c>
      <c r="U348" s="2">
        <v>2650.66</v>
      </c>
      <c r="V348" s="3">
        <v>0</v>
      </c>
      <c r="W348" s="2">
        <v>2650.66</v>
      </c>
      <c r="X348" s="2">
        <v>861.03</v>
      </c>
      <c r="Y348" s="3">
        <v>0.32483607856156582</v>
      </c>
      <c r="Z348" t="s">
        <v>1494</v>
      </c>
      <c r="AA348" t="s">
        <v>1500</v>
      </c>
      <c r="AB348" t="s">
        <v>1501</v>
      </c>
      <c r="AC348">
        <v>0</v>
      </c>
      <c r="AD348">
        <v>2024</v>
      </c>
      <c r="AE348" t="s">
        <v>2816</v>
      </c>
      <c r="AF348" t="s">
        <v>2828</v>
      </c>
      <c r="AG348" t="s">
        <v>2846</v>
      </c>
      <c r="AH348" t="s">
        <v>2848</v>
      </c>
      <c r="AI348">
        <v>1</v>
      </c>
    </row>
    <row r="349" spans="1:35" x14ac:dyDescent="0.3">
      <c r="A349" t="s">
        <v>344</v>
      </c>
      <c r="B349">
        <v>1</v>
      </c>
      <c r="C349" s="1">
        <v>45561</v>
      </c>
      <c r="D349" s="1">
        <v>45561</v>
      </c>
      <c r="E349" t="s">
        <v>1171</v>
      </c>
      <c r="F349" t="s">
        <v>1779</v>
      </c>
      <c r="G349" t="s">
        <v>1445</v>
      </c>
      <c r="H349" t="s">
        <v>2697</v>
      </c>
      <c r="I349" t="s">
        <v>2740</v>
      </c>
      <c r="J349" t="s">
        <v>2762</v>
      </c>
      <c r="K349" t="s">
        <v>1486</v>
      </c>
      <c r="L349" t="s">
        <v>2776</v>
      </c>
      <c r="M349" t="s">
        <v>2556</v>
      </c>
      <c r="N349" t="s">
        <v>2574</v>
      </c>
      <c r="O349" t="s">
        <v>2602</v>
      </c>
      <c r="P349" t="s">
        <v>2551</v>
      </c>
      <c r="Q349" t="s">
        <v>2574</v>
      </c>
      <c r="R349" t="s">
        <v>2602</v>
      </c>
      <c r="S349" t="s">
        <v>2607</v>
      </c>
      <c r="T349">
        <v>2</v>
      </c>
      <c r="U349" s="2">
        <v>516.78</v>
      </c>
      <c r="V349" s="3">
        <v>0.05</v>
      </c>
      <c r="W349" s="2">
        <v>981.88</v>
      </c>
      <c r="X349" s="2">
        <v>92.84</v>
      </c>
      <c r="Y349" s="3">
        <v>9.4553305902961668E-2</v>
      </c>
      <c r="Z349" t="s">
        <v>1497</v>
      </c>
      <c r="AA349" t="s">
        <v>1499</v>
      </c>
      <c r="AB349" t="s">
        <v>1501</v>
      </c>
      <c r="AC349">
        <v>0</v>
      </c>
      <c r="AD349">
        <v>2024</v>
      </c>
      <c r="AE349" t="s">
        <v>2816</v>
      </c>
      <c r="AF349" t="s">
        <v>2828</v>
      </c>
      <c r="AG349" t="s">
        <v>2846</v>
      </c>
      <c r="AH349" t="s">
        <v>2848</v>
      </c>
      <c r="AI349">
        <v>1</v>
      </c>
    </row>
    <row r="350" spans="1:35" x14ac:dyDescent="0.3">
      <c r="A350" t="s">
        <v>345</v>
      </c>
      <c r="B350">
        <v>1</v>
      </c>
      <c r="C350" s="1">
        <v>45561</v>
      </c>
      <c r="D350" s="1">
        <v>45563</v>
      </c>
      <c r="E350" t="s">
        <v>1172</v>
      </c>
      <c r="F350" t="s">
        <v>1778</v>
      </c>
      <c r="G350" t="s">
        <v>1350</v>
      </c>
      <c r="H350" t="s">
        <v>2634</v>
      </c>
      <c r="I350" t="s">
        <v>2737</v>
      </c>
      <c r="J350" t="s">
        <v>2747</v>
      </c>
      <c r="K350" t="s">
        <v>1480</v>
      </c>
      <c r="L350" t="s">
        <v>2789</v>
      </c>
      <c r="M350" t="s">
        <v>2569</v>
      </c>
      <c r="N350" t="s">
        <v>2587</v>
      </c>
      <c r="O350" t="s">
        <v>2604</v>
      </c>
      <c r="R350" t="s">
        <v>2790</v>
      </c>
      <c r="S350" t="s">
        <v>2606</v>
      </c>
      <c r="T350">
        <v>2</v>
      </c>
      <c r="U350" s="2">
        <v>53290.400000000001</v>
      </c>
      <c r="V350" s="3">
        <v>0.15</v>
      </c>
      <c r="W350" s="2">
        <v>90593.68</v>
      </c>
      <c r="X350" s="2">
        <v>-1523.76</v>
      </c>
      <c r="Y350" s="3">
        <v>-1.6819716342243739E-2</v>
      </c>
      <c r="Z350" t="s">
        <v>1496</v>
      </c>
      <c r="AA350" t="s">
        <v>1498</v>
      </c>
      <c r="AB350" t="s">
        <v>1501</v>
      </c>
      <c r="AC350">
        <v>2</v>
      </c>
      <c r="AD350">
        <v>2024</v>
      </c>
      <c r="AE350" t="s">
        <v>2816</v>
      </c>
      <c r="AF350" t="s">
        <v>2828</v>
      </c>
      <c r="AG350" t="s">
        <v>2846</v>
      </c>
      <c r="AH350" t="s">
        <v>2848</v>
      </c>
      <c r="AI350">
        <v>1</v>
      </c>
    </row>
    <row r="351" spans="1:35" x14ac:dyDescent="0.3">
      <c r="A351" t="s">
        <v>346</v>
      </c>
      <c r="B351">
        <v>1</v>
      </c>
      <c r="C351" s="1">
        <v>45563</v>
      </c>
      <c r="D351" s="1">
        <v>45563</v>
      </c>
      <c r="E351" t="s">
        <v>1009</v>
      </c>
      <c r="F351" t="s">
        <v>1819</v>
      </c>
      <c r="G351" t="s">
        <v>1416</v>
      </c>
      <c r="H351" t="s">
        <v>2700</v>
      </c>
      <c r="I351" t="s">
        <v>2740</v>
      </c>
      <c r="J351" t="s">
        <v>2763</v>
      </c>
      <c r="K351" t="s">
        <v>1486</v>
      </c>
      <c r="L351" t="s">
        <v>2776</v>
      </c>
      <c r="M351" t="s">
        <v>2556</v>
      </c>
      <c r="N351" t="s">
        <v>2574</v>
      </c>
      <c r="O351" t="s">
        <v>2602</v>
      </c>
      <c r="P351" t="s">
        <v>2551</v>
      </c>
      <c r="Q351" t="s">
        <v>2574</v>
      </c>
      <c r="R351" t="s">
        <v>2602</v>
      </c>
      <c r="S351" t="s">
        <v>2608</v>
      </c>
      <c r="T351">
        <v>1</v>
      </c>
      <c r="U351" s="2">
        <v>1404.87</v>
      </c>
      <c r="V351" s="3">
        <v>0</v>
      </c>
      <c r="W351" s="2">
        <v>1404.87</v>
      </c>
      <c r="X351" s="2">
        <v>179.87</v>
      </c>
      <c r="Y351" s="3">
        <v>0.12803319880131259</v>
      </c>
      <c r="Z351" t="s">
        <v>1494</v>
      </c>
      <c r="AA351" t="s">
        <v>1499</v>
      </c>
      <c r="AB351" t="s">
        <v>1501</v>
      </c>
      <c r="AC351">
        <v>0</v>
      </c>
      <c r="AD351">
        <v>2024</v>
      </c>
      <c r="AE351" t="s">
        <v>2816</v>
      </c>
      <c r="AF351" t="s">
        <v>2828</v>
      </c>
      <c r="AG351" t="s">
        <v>2846</v>
      </c>
      <c r="AH351" t="s">
        <v>2848</v>
      </c>
      <c r="AI351">
        <v>1</v>
      </c>
    </row>
    <row r="352" spans="1:35" x14ac:dyDescent="0.3">
      <c r="A352" t="s">
        <v>347</v>
      </c>
      <c r="B352">
        <v>1</v>
      </c>
      <c r="C352" s="1">
        <v>45563</v>
      </c>
      <c r="D352" s="1">
        <v>45564</v>
      </c>
      <c r="E352" t="s">
        <v>1173</v>
      </c>
      <c r="F352" t="s">
        <v>2036</v>
      </c>
      <c r="G352" t="s">
        <v>1461</v>
      </c>
      <c r="H352" t="s">
        <v>2692</v>
      </c>
      <c r="I352" t="s">
        <v>2740</v>
      </c>
      <c r="J352" t="s">
        <v>2761</v>
      </c>
      <c r="K352" t="s">
        <v>1480</v>
      </c>
      <c r="L352" t="s">
        <v>2789</v>
      </c>
      <c r="M352" t="s">
        <v>2564</v>
      </c>
      <c r="N352" t="s">
        <v>2582</v>
      </c>
      <c r="O352" t="s">
        <v>2601</v>
      </c>
      <c r="R352" t="s">
        <v>2790</v>
      </c>
      <c r="S352" t="s">
        <v>2606</v>
      </c>
      <c r="T352">
        <v>3</v>
      </c>
      <c r="U352" s="2">
        <v>933.23</v>
      </c>
      <c r="V352" s="3">
        <v>0</v>
      </c>
      <c r="W352" s="2">
        <v>2799.69</v>
      </c>
      <c r="X352" s="2">
        <v>187.95</v>
      </c>
      <c r="Y352" s="3">
        <v>6.7132432519314639E-2</v>
      </c>
      <c r="Z352" t="s">
        <v>1497</v>
      </c>
      <c r="AA352" t="s">
        <v>1499</v>
      </c>
      <c r="AB352" t="s">
        <v>1501</v>
      </c>
      <c r="AC352">
        <v>1</v>
      </c>
      <c r="AD352">
        <v>2024</v>
      </c>
      <c r="AE352" t="s">
        <v>2816</v>
      </c>
      <c r="AF352" t="s">
        <v>2828</v>
      </c>
      <c r="AG352" t="s">
        <v>2846</v>
      </c>
      <c r="AH352" t="s">
        <v>2848</v>
      </c>
      <c r="AI352">
        <v>1</v>
      </c>
    </row>
    <row r="353" spans="1:35" x14ac:dyDescent="0.3">
      <c r="A353" t="s">
        <v>348</v>
      </c>
      <c r="B353">
        <v>1</v>
      </c>
      <c r="C353" s="1">
        <v>45564</v>
      </c>
      <c r="D353" s="1">
        <v>45567</v>
      </c>
      <c r="E353" t="s">
        <v>1158</v>
      </c>
      <c r="F353" t="s">
        <v>1981</v>
      </c>
      <c r="G353" t="s">
        <v>1448</v>
      </c>
      <c r="H353" t="s">
        <v>2679</v>
      </c>
      <c r="I353" t="s">
        <v>2739</v>
      </c>
      <c r="J353" t="s">
        <v>2758</v>
      </c>
      <c r="K353" t="s">
        <v>1480</v>
      </c>
      <c r="L353" t="s">
        <v>2789</v>
      </c>
      <c r="M353" t="s">
        <v>2555</v>
      </c>
      <c r="N353" t="s">
        <v>2578</v>
      </c>
      <c r="O353" t="s">
        <v>2603</v>
      </c>
      <c r="R353" t="s">
        <v>2790</v>
      </c>
      <c r="S353" t="s">
        <v>2606</v>
      </c>
      <c r="T353">
        <v>1</v>
      </c>
      <c r="U353" s="2">
        <v>579.75</v>
      </c>
      <c r="V353" s="3">
        <v>0</v>
      </c>
      <c r="W353" s="2">
        <v>579.75</v>
      </c>
      <c r="X353" s="2">
        <v>188.26</v>
      </c>
      <c r="Y353" s="3">
        <v>0.32472617507546347</v>
      </c>
      <c r="Z353" t="s">
        <v>1497</v>
      </c>
      <c r="AA353" t="s">
        <v>1498</v>
      </c>
      <c r="AB353" t="s">
        <v>1501</v>
      </c>
      <c r="AC353">
        <v>3</v>
      </c>
      <c r="AD353">
        <v>2024</v>
      </c>
      <c r="AE353" t="s">
        <v>2816</v>
      </c>
      <c r="AF353" t="s">
        <v>2828</v>
      </c>
      <c r="AG353" t="s">
        <v>2846</v>
      </c>
      <c r="AH353" t="s">
        <v>2848</v>
      </c>
      <c r="AI353">
        <v>1</v>
      </c>
    </row>
    <row r="354" spans="1:35" x14ac:dyDescent="0.3">
      <c r="A354" t="s">
        <v>349</v>
      </c>
      <c r="B354">
        <v>1</v>
      </c>
      <c r="C354" s="1">
        <v>45564</v>
      </c>
      <c r="D354" s="1">
        <v>45564</v>
      </c>
      <c r="E354" t="s">
        <v>1080</v>
      </c>
      <c r="F354" t="s">
        <v>1978</v>
      </c>
      <c r="G354" t="s">
        <v>1448</v>
      </c>
      <c r="H354" t="s">
        <v>2679</v>
      </c>
      <c r="I354" t="s">
        <v>2739</v>
      </c>
      <c r="J354" t="s">
        <v>2758</v>
      </c>
      <c r="K354" t="s">
        <v>1486</v>
      </c>
      <c r="L354" t="s">
        <v>2776</v>
      </c>
      <c r="M354" t="s">
        <v>2562</v>
      </c>
      <c r="N354" t="s">
        <v>2574</v>
      </c>
      <c r="O354" t="s">
        <v>2602</v>
      </c>
      <c r="P354" t="s">
        <v>2551</v>
      </c>
      <c r="Q354" t="s">
        <v>2574</v>
      </c>
      <c r="R354" t="s">
        <v>2602</v>
      </c>
      <c r="S354" t="s">
        <v>2607</v>
      </c>
      <c r="T354">
        <v>1</v>
      </c>
      <c r="U354" s="2">
        <v>579.75</v>
      </c>
      <c r="V354" s="3">
        <v>0.1</v>
      </c>
      <c r="W354" s="2">
        <v>521.77</v>
      </c>
      <c r="X354" s="2">
        <v>130.28</v>
      </c>
      <c r="Y354" s="3">
        <v>0.2496885600935278</v>
      </c>
      <c r="Z354" t="s">
        <v>1497</v>
      </c>
      <c r="AA354" t="s">
        <v>1498</v>
      </c>
      <c r="AB354" t="s">
        <v>1502</v>
      </c>
      <c r="AC354">
        <v>0</v>
      </c>
      <c r="AD354">
        <v>2024</v>
      </c>
      <c r="AE354" t="s">
        <v>2816</v>
      </c>
      <c r="AF354" t="s">
        <v>2828</v>
      </c>
      <c r="AG354" t="s">
        <v>2846</v>
      </c>
      <c r="AH354" t="s">
        <v>2848</v>
      </c>
      <c r="AI354">
        <v>1</v>
      </c>
    </row>
    <row r="355" spans="1:35" x14ac:dyDescent="0.3">
      <c r="A355" t="s">
        <v>350</v>
      </c>
      <c r="B355">
        <v>1</v>
      </c>
      <c r="C355" s="1">
        <v>45565</v>
      </c>
      <c r="D355" s="1">
        <v>45565</v>
      </c>
      <c r="E355" t="s">
        <v>1174</v>
      </c>
      <c r="F355" t="s">
        <v>1963</v>
      </c>
      <c r="G355" t="s">
        <v>1456</v>
      </c>
      <c r="H355" t="s">
        <v>2653</v>
      </c>
      <c r="I355" t="s">
        <v>2738</v>
      </c>
      <c r="J355" t="s">
        <v>2752</v>
      </c>
      <c r="K355" t="s">
        <v>1490</v>
      </c>
      <c r="L355" t="s">
        <v>2784</v>
      </c>
      <c r="M355" t="s">
        <v>2569</v>
      </c>
      <c r="N355" t="s">
        <v>2594</v>
      </c>
      <c r="O355" t="s">
        <v>2604</v>
      </c>
      <c r="P355" t="s">
        <v>2567</v>
      </c>
      <c r="Q355" t="s">
        <v>2585</v>
      </c>
      <c r="R355" t="s">
        <v>2604</v>
      </c>
      <c r="S355" t="s">
        <v>2606</v>
      </c>
      <c r="T355">
        <v>1</v>
      </c>
      <c r="U355" s="2">
        <v>43108.17</v>
      </c>
      <c r="V355" s="3">
        <v>0</v>
      </c>
      <c r="W355" s="2">
        <v>43108.17</v>
      </c>
      <c r="X355" s="2">
        <v>7530.62</v>
      </c>
      <c r="Y355" s="3">
        <v>0.1746912476219705</v>
      </c>
      <c r="Z355" t="s">
        <v>1495</v>
      </c>
      <c r="AA355" t="s">
        <v>1498</v>
      </c>
      <c r="AB355" t="s">
        <v>1501</v>
      </c>
      <c r="AC355">
        <v>0</v>
      </c>
      <c r="AD355">
        <v>2024</v>
      </c>
      <c r="AE355" t="s">
        <v>2816</v>
      </c>
      <c r="AF355" t="s">
        <v>2828</v>
      </c>
      <c r="AG355" t="s">
        <v>2846</v>
      </c>
      <c r="AH355" t="s">
        <v>2848</v>
      </c>
      <c r="AI355">
        <v>1</v>
      </c>
    </row>
    <row r="356" spans="1:35" x14ac:dyDescent="0.3">
      <c r="A356" t="s">
        <v>351</v>
      </c>
      <c r="B356">
        <v>2</v>
      </c>
      <c r="C356" s="1">
        <v>45565</v>
      </c>
      <c r="D356" s="1">
        <v>45566</v>
      </c>
      <c r="E356" t="s">
        <v>1175</v>
      </c>
      <c r="F356" t="s">
        <v>1850</v>
      </c>
      <c r="G356" t="s">
        <v>1404</v>
      </c>
      <c r="H356" t="s">
        <v>2643</v>
      </c>
      <c r="I356" t="s">
        <v>2738</v>
      </c>
      <c r="J356" t="s">
        <v>2750</v>
      </c>
      <c r="K356" t="s">
        <v>1482</v>
      </c>
      <c r="L356" t="s">
        <v>2783</v>
      </c>
      <c r="M356" t="s">
        <v>2569</v>
      </c>
      <c r="N356" t="s">
        <v>2587</v>
      </c>
      <c r="O356" t="s">
        <v>2604</v>
      </c>
      <c r="P356" t="s">
        <v>2560</v>
      </c>
      <c r="Q356" t="s">
        <v>2579</v>
      </c>
      <c r="R356" t="s">
        <v>2604</v>
      </c>
      <c r="S356" t="s">
        <v>2606</v>
      </c>
      <c r="T356">
        <v>1</v>
      </c>
      <c r="U356" s="2">
        <v>44125.88</v>
      </c>
      <c r="V356" s="3">
        <v>0</v>
      </c>
      <c r="W356" s="2">
        <v>44125.88</v>
      </c>
      <c r="X356" s="2">
        <v>9811.19</v>
      </c>
      <c r="Y356" s="3">
        <v>0.22234548070202789</v>
      </c>
      <c r="Z356" t="s">
        <v>1496</v>
      </c>
      <c r="AA356" t="s">
        <v>1498</v>
      </c>
      <c r="AB356" t="s">
        <v>1501</v>
      </c>
      <c r="AC356">
        <v>1</v>
      </c>
      <c r="AD356">
        <v>2024</v>
      </c>
      <c r="AE356" t="s">
        <v>2816</v>
      </c>
      <c r="AF356" t="s">
        <v>2828</v>
      </c>
      <c r="AG356" t="s">
        <v>2846</v>
      </c>
      <c r="AH356" t="s">
        <v>2848</v>
      </c>
      <c r="AI356">
        <v>1</v>
      </c>
    </row>
    <row r="357" spans="1:35" x14ac:dyDescent="0.3">
      <c r="A357" t="s">
        <v>352</v>
      </c>
      <c r="B357">
        <v>1</v>
      </c>
      <c r="C357" s="1">
        <v>45566</v>
      </c>
      <c r="D357" s="1">
        <v>45569</v>
      </c>
      <c r="E357" t="s">
        <v>993</v>
      </c>
      <c r="F357" t="s">
        <v>1784</v>
      </c>
      <c r="G357" t="s">
        <v>1344</v>
      </c>
      <c r="H357" t="s">
        <v>2717</v>
      </c>
      <c r="I357" t="s">
        <v>2741</v>
      </c>
      <c r="J357" t="s">
        <v>2768</v>
      </c>
      <c r="K357" t="s">
        <v>1480</v>
      </c>
      <c r="L357" t="s">
        <v>2789</v>
      </c>
      <c r="M357" t="s">
        <v>2563</v>
      </c>
      <c r="N357" t="s">
        <v>2595</v>
      </c>
      <c r="O357" t="s">
        <v>2604</v>
      </c>
      <c r="R357" t="s">
        <v>2790</v>
      </c>
      <c r="S357" t="s">
        <v>2606</v>
      </c>
      <c r="T357">
        <v>1</v>
      </c>
      <c r="U357" s="2">
        <v>555.59</v>
      </c>
      <c r="V357" s="3">
        <v>0.1</v>
      </c>
      <c r="W357" s="2">
        <v>500.03</v>
      </c>
      <c r="X357" s="2">
        <v>120.93</v>
      </c>
      <c r="Y357" s="3">
        <v>0.24184548927064381</v>
      </c>
      <c r="Z357" t="s">
        <v>1497</v>
      </c>
      <c r="AA357" t="s">
        <v>1498</v>
      </c>
      <c r="AB357" t="s">
        <v>1501</v>
      </c>
      <c r="AC357">
        <v>3</v>
      </c>
      <c r="AD357">
        <v>2024</v>
      </c>
      <c r="AE357" t="s">
        <v>2817</v>
      </c>
      <c r="AF357" t="s">
        <v>2829</v>
      </c>
      <c r="AG357" t="s">
        <v>2847</v>
      </c>
      <c r="AH357" t="s">
        <v>2848</v>
      </c>
      <c r="AI357">
        <v>1</v>
      </c>
    </row>
    <row r="358" spans="1:35" x14ac:dyDescent="0.3">
      <c r="A358" t="s">
        <v>353</v>
      </c>
      <c r="B358">
        <v>1</v>
      </c>
      <c r="C358" s="1">
        <v>45567</v>
      </c>
      <c r="D358" s="1">
        <v>45568</v>
      </c>
      <c r="E358" t="s">
        <v>1176</v>
      </c>
      <c r="F358" t="s">
        <v>1653</v>
      </c>
      <c r="G358" t="s">
        <v>1374</v>
      </c>
      <c r="H358" t="s">
        <v>2707</v>
      </c>
      <c r="I358" t="s">
        <v>2741</v>
      </c>
      <c r="J358" t="s">
        <v>2765</v>
      </c>
      <c r="K358" t="s">
        <v>1480</v>
      </c>
      <c r="L358" t="s">
        <v>2789</v>
      </c>
      <c r="M358" t="s">
        <v>2554</v>
      </c>
      <c r="N358" t="s">
        <v>2577</v>
      </c>
      <c r="O358" t="s">
        <v>2601</v>
      </c>
      <c r="R358" t="s">
        <v>2790</v>
      </c>
      <c r="S358" t="s">
        <v>2608</v>
      </c>
      <c r="T358">
        <v>1</v>
      </c>
      <c r="U358" s="2">
        <v>1645.17</v>
      </c>
      <c r="V358" s="3">
        <v>0</v>
      </c>
      <c r="W358" s="2">
        <v>1645.17</v>
      </c>
      <c r="X358" s="2">
        <v>340.93</v>
      </c>
      <c r="Y358" s="3">
        <v>0.20723086367974131</v>
      </c>
      <c r="Z358" t="s">
        <v>1493</v>
      </c>
      <c r="AA358" t="s">
        <v>1498</v>
      </c>
      <c r="AB358" t="s">
        <v>1502</v>
      </c>
      <c r="AC358">
        <v>1</v>
      </c>
      <c r="AD358">
        <v>2024</v>
      </c>
      <c r="AE358" t="s">
        <v>2817</v>
      </c>
      <c r="AF358" t="s">
        <v>2829</v>
      </c>
      <c r="AG358" t="s">
        <v>2847</v>
      </c>
      <c r="AH358" t="s">
        <v>2848</v>
      </c>
      <c r="AI358">
        <v>1</v>
      </c>
    </row>
    <row r="359" spans="1:35" x14ac:dyDescent="0.3">
      <c r="A359" t="s">
        <v>354</v>
      </c>
      <c r="B359">
        <v>1</v>
      </c>
      <c r="C359" s="1">
        <v>45567</v>
      </c>
      <c r="D359" s="1">
        <v>45567</v>
      </c>
      <c r="E359" t="s">
        <v>1177</v>
      </c>
      <c r="F359" t="s">
        <v>1950</v>
      </c>
      <c r="G359" t="s">
        <v>1413</v>
      </c>
      <c r="H359" t="s">
        <v>2716</v>
      </c>
      <c r="I359" t="s">
        <v>2741</v>
      </c>
      <c r="J359" t="s">
        <v>2768</v>
      </c>
      <c r="K359" t="s">
        <v>1489</v>
      </c>
      <c r="L359" t="s">
        <v>2787</v>
      </c>
      <c r="M359" t="s">
        <v>2564</v>
      </c>
      <c r="N359" t="s">
        <v>2582</v>
      </c>
      <c r="O359" t="s">
        <v>2601</v>
      </c>
      <c r="P359" t="s">
        <v>2566</v>
      </c>
      <c r="Q359" t="s">
        <v>2584</v>
      </c>
      <c r="R359" t="s">
        <v>2601</v>
      </c>
      <c r="S359" t="s">
        <v>2607</v>
      </c>
      <c r="T359">
        <v>1</v>
      </c>
      <c r="U359" s="2">
        <v>771.89</v>
      </c>
      <c r="V359" s="3">
        <v>0</v>
      </c>
      <c r="W359" s="2">
        <v>771.89</v>
      </c>
      <c r="X359" s="2">
        <v>220.44</v>
      </c>
      <c r="Y359" s="3">
        <v>0.28558473357602759</v>
      </c>
      <c r="Z359" t="s">
        <v>1495</v>
      </c>
      <c r="AA359" t="s">
        <v>1499</v>
      </c>
      <c r="AB359" t="s">
        <v>1501</v>
      </c>
      <c r="AC359">
        <v>0</v>
      </c>
      <c r="AD359">
        <v>2024</v>
      </c>
      <c r="AE359" t="s">
        <v>2817</v>
      </c>
      <c r="AF359" t="s">
        <v>2829</v>
      </c>
      <c r="AG359" t="s">
        <v>2847</v>
      </c>
      <c r="AH359" t="s">
        <v>2848</v>
      </c>
      <c r="AI359">
        <v>1</v>
      </c>
    </row>
    <row r="360" spans="1:35" x14ac:dyDescent="0.3">
      <c r="A360" t="s">
        <v>355</v>
      </c>
      <c r="B360">
        <v>2</v>
      </c>
      <c r="C360" s="1">
        <v>45568</v>
      </c>
      <c r="D360" s="1">
        <v>45570</v>
      </c>
      <c r="E360" t="s">
        <v>1178</v>
      </c>
      <c r="F360" t="s">
        <v>1951</v>
      </c>
      <c r="G360" t="s">
        <v>1374</v>
      </c>
      <c r="H360" t="s">
        <v>2707</v>
      </c>
      <c r="I360" t="s">
        <v>2741</v>
      </c>
      <c r="J360" t="s">
        <v>2765</v>
      </c>
      <c r="K360" t="s">
        <v>1480</v>
      </c>
      <c r="L360" t="s">
        <v>2789</v>
      </c>
      <c r="M360" t="s">
        <v>2571</v>
      </c>
      <c r="N360" t="s">
        <v>2590</v>
      </c>
      <c r="O360" t="s">
        <v>2605</v>
      </c>
      <c r="R360" t="s">
        <v>2790</v>
      </c>
      <c r="S360" t="s">
        <v>2606</v>
      </c>
      <c r="T360">
        <v>1</v>
      </c>
      <c r="U360" s="2">
        <v>1645.17</v>
      </c>
      <c r="V360" s="3">
        <v>0</v>
      </c>
      <c r="W360" s="2">
        <v>1645.17</v>
      </c>
      <c r="X360" s="2">
        <v>340.93</v>
      </c>
      <c r="Y360" s="3">
        <v>0.20723086367974131</v>
      </c>
      <c r="Z360" t="s">
        <v>1496</v>
      </c>
      <c r="AA360" t="s">
        <v>1500</v>
      </c>
      <c r="AB360" t="s">
        <v>1501</v>
      </c>
      <c r="AC360">
        <v>2</v>
      </c>
      <c r="AD360">
        <v>2024</v>
      </c>
      <c r="AE360" t="s">
        <v>2817</v>
      </c>
      <c r="AF360" t="s">
        <v>2829</v>
      </c>
      <c r="AG360" t="s">
        <v>2847</v>
      </c>
      <c r="AH360" t="s">
        <v>2848</v>
      </c>
      <c r="AI360">
        <v>1</v>
      </c>
    </row>
    <row r="361" spans="1:35" x14ac:dyDescent="0.3">
      <c r="A361" t="s">
        <v>356</v>
      </c>
      <c r="B361">
        <v>1</v>
      </c>
      <c r="C361" s="1">
        <v>45568</v>
      </c>
      <c r="D361" s="1">
        <v>45570</v>
      </c>
      <c r="E361" t="s">
        <v>1179</v>
      </c>
      <c r="F361" t="s">
        <v>1916</v>
      </c>
      <c r="G361" t="s">
        <v>1339</v>
      </c>
      <c r="H361" t="s">
        <v>2715</v>
      </c>
      <c r="I361" t="s">
        <v>2741</v>
      </c>
      <c r="J361" t="s">
        <v>2767</v>
      </c>
      <c r="K361" t="s">
        <v>1480</v>
      </c>
      <c r="L361" t="s">
        <v>2789</v>
      </c>
      <c r="M361" t="s">
        <v>2551</v>
      </c>
      <c r="N361" t="s">
        <v>2574</v>
      </c>
      <c r="O361" t="s">
        <v>2602</v>
      </c>
      <c r="R361" t="s">
        <v>2790</v>
      </c>
      <c r="S361" t="s">
        <v>2606</v>
      </c>
      <c r="T361">
        <v>1</v>
      </c>
      <c r="U361" s="2">
        <v>763.54</v>
      </c>
      <c r="V361" s="3">
        <v>0</v>
      </c>
      <c r="W361" s="2">
        <v>763.54</v>
      </c>
      <c r="X361" s="2">
        <v>240.98</v>
      </c>
      <c r="Y361" s="3">
        <v>0.31560887445320479</v>
      </c>
      <c r="Z361" t="s">
        <v>1495</v>
      </c>
      <c r="AA361" t="s">
        <v>1498</v>
      </c>
      <c r="AB361" t="s">
        <v>1501</v>
      </c>
      <c r="AC361">
        <v>2</v>
      </c>
      <c r="AD361">
        <v>2024</v>
      </c>
      <c r="AE361" t="s">
        <v>2817</v>
      </c>
      <c r="AF361" t="s">
        <v>2829</v>
      </c>
      <c r="AG361" t="s">
        <v>2847</v>
      </c>
      <c r="AH361" t="s">
        <v>2848</v>
      </c>
      <c r="AI361">
        <v>1</v>
      </c>
    </row>
    <row r="362" spans="1:35" x14ac:dyDescent="0.3">
      <c r="A362" t="s">
        <v>357</v>
      </c>
      <c r="B362">
        <v>1</v>
      </c>
      <c r="C362" s="1">
        <v>45570</v>
      </c>
      <c r="D362" s="1">
        <v>45571</v>
      </c>
      <c r="E362" t="s">
        <v>1080</v>
      </c>
      <c r="F362" t="s">
        <v>1978</v>
      </c>
      <c r="G362" t="s">
        <v>1352</v>
      </c>
      <c r="H362" t="s">
        <v>2666</v>
      </c>
      <c r="I362" t="s">
        <v>2739</v>
      </c>
      <c r="J362" t="s">
        <v>2755</v>
      </c>
      <c r="K362" t="s">
        <v>1481</v>
      </c>
      <c r="L362" t="s">
        <v>2777</v>
      </c>
      <c r="M362" t="s">
        <v>2562</v>
      </c>
      <c r="N362" t="s">
        <v>2574</v>
      </c>
      <c r="O362" t="s">
        <v>2602</v>
      </c>
      <c r="P362" t="s">
        <v>2557</v>
      </c>
      <c r="Q362" t="s">
        <v>2576</v>
      </c>
      <c r="R362" t="s">
        <v>2602</v>
      </c>
      <c r="S362" t="s">
        <v>2607</v>
      </c>
      <c r="T362">
        <v>1</v>
      </c>
      <c r="U362" s="2">
        <v>3696.44</v>
      </c>
      <c r="V362" s="3">
        <v>0</v>
      </c>
      <c r="W362" s="2">
        <v>3696.44</v>
      </c>
      <c r="X362" s="2">
        <v>1613.88</v>
      </c>
      <c r="Y362" s="3">
        <v>0.43660386750495073</v>
      </c>
      <c r="Z362" t="s">
        <v>1495</v>
      </c>
      <c r="AA362" t="s">
        <v>1498</v>
      </c>
      <c r="AB362" t="s">
        <v>1501</v>
      </c>
      <c r="AC362">
        <v>1</v>
      </c>
      <c r="AD362">
        <v>2024</v>
      </c>
      <c r="AE362" t="s">
        <v>2817</v>
      </c>
      <c r="AF362" t="s">
        <v>2829</v>
      </c>
      <c r="AG362" t="s">
        <v>2847</v>
      </c>
      <c r="AH362" t="s">
        <v>2848</v>
      </c>
      <c r="AI362">
        <v>1</v>
      </c>
    </row>
    <row r="363" spans="1:35" x14ac:dyDescent="0.3">
      <c r="A363" t="s">
        <v>357</v>
      </c>
      <c r="B363">
        <v>3</v>
      </c>
      <c r="C363" s="1">
        <v>45570</v>
      </c>
      <c r="D363" s="1">
        <v>45571</v>
      </c>
      <c r="E363" t="s">
        <v>1080</v>
      </c>
      <c r="F363" t="s">
        <v>1978</v>
      </c>
      <c r="G363" t="s">
        <v>1427</v>
      </c>
      <c r="H363" t="s">
        <v>2712</v>
      </c>
      <c r="I363" t="s">
        <v>2741</v>
      </c>
      <c r="J363" t="s">
        <v>2766</v>
      </c>
      <c r="K363" t="s">
        <v>1481</v>
      </c>
      <c r="L363" t="s">
        <v>2777</v>
      </c>
      <c r="M363" t="s">
        <v>2562</v>
      </c>
      <c r="N363" t="s">
        <v>2574</v>
      </c>
      <c r="O363" t="s">
        <v>2602</v>
      </c>
      <c r="P363" t="s">
        <v>2557</v>
      </c>
      <c r="Q363" t="s">
        <v>2576</v>
      </c>
      <c r="R363" t="s">
        <v>2602</v>
      </c>
      <c r="S363" t="s">
        <v>2607</v>
      </c>
      <c r="T363">
        <v>2</v>
      </c>
      <c r="U363" s="2">
        <v>687.56</v>
      </c>
      <c r="V363" s="3">
        <v>0</v>
      </c>
      <c r="W363" s="2">
        <v>1375.12</v>
      </c>
      <c r="X363" s="2">
        <v>470.26</v>
      </c>
      <c r="Y363" s="3">
        <v>0.3419774274245157</v>
      </c>
      <c r="Z363" t="s">
        <v>1495</v>
      </c>
      <c r="AA363" t="s">
        <v>1498</v>
      </c>
      <c r="AB363" t="s">
        <v>1501</v>
      </c>
      <c r="AC363">
        <v>1</v>
      </c>
      <c r="AD363">
        <v>2024</v>
      </c>
      <c r="AE363" t="s">
        <v>2817</v>
      </c>
      <c r="AF363" t="s">
        <v>2829</v>
      </c>
      <c r="AG363" t="s">
        <v>2847</v>
      </c>
      <c r="AH363" t="s">
        <v>2848</v>
      </c>
      <c r="AI363">
        <v>0</v>
      </c>
    </row>
    <row r="364" spans="1:35" x14ac:dyDescent="0.3">
      <c r="A364" t="s">
        <v>358</v>
      </c>
      <c r="B364">
        <v>1</v>
      </c>
      <c r="C364" s="1">
        <v>45570</v>
      </c>
      <c r="D364" s="1">
        <v>45572</v>
      </c>
      <c r="E364" t="s">
        <v>1180</v>
      </c>
      <c r="F364" t="s">
        <v>1969</v>
      </c>
      <c r="G364" t="s">
        <v>1444</v>
      </c>
      <c r="H364" t="s">
        <v>2717</v>
      </c>
      <c r="I364" t="s">
        <v>2741</v>
      </c>
      <c r="J364" t="s">
        <v>2768</v>
      </c>
      <c r="K364" t="s">
        <v>1480</v>
      </c>
      <c r="L364" t="s">
        <v>2789</v>
      </c>
      <c r="M364" t="s">
        <v>2560</v>
      </c>
      <c r="N364" t="s">
        <v>2579</v>
      </c>
      <c r="O364" t="s">
        <v>2604</v>
      </c>
      <c r="R364" t="s">
        <v>2790</v>
      </c>
      <c r="S364" t="s">
        <v>2608</v>
      </c>
      <c r="T364">
        <v>1</v>
      </c>
      <c r="U364" s="2">
        <v>1054.31</v>
      </c>
      <c r="V364" s="3">
        <v>0.1</v>
      </c>
      <c r="W364" s="2">
        <v>948.88</v>
      </c>
      <c r="X364" s="2">
        <v>205.41</v>
      </c>
      <c r="Y364" s="3">
        <v>0.21647626675659731</v>
      </c>
      <c r="Z364" t="s">
        <v>1496</v>
      </c>
      <c r="AA364" t="s">
        <v>1499</v>
      </c>
      <c r="AB364" t="s">
        <v>1501</v>
      </c>
      <c r="AC364">
        <v>2</v>
      </c>
      <c r="AD364">
        <v>2024</v>
      </c>
      <c r="AE364" t="s">
        <v>2817</v>
      </c>
      <c r="AF364" t="s">
        <v>2829</v>
      </c>
      <c r="AG364" t="s">
        <v>2847</v>
      </c>
      <c r="AH364" t="s">
        <v>2848</v>
      </c>
      <c r="AI364">
        <v>1</v>
      </c>
    </row>
    <row r="365" spans="1:35" x14ac:dyDescent="0.3">
      <c r="A365" t="s">
        <v>359</v>
      </c>
      <c r="B365">
        <v>1</v>
      </c>
      <c r="C365" s="1">
        <v>45570</v>
      </c>
      <c r="D365" s="1">
        <v>45571</v>
      </c>
      <c r="E365" t="s">
        <v>965</v>
      </c>
      <c r="F365" t="s">
        <v>1685</v>
      </c>
      <c r="G365" t="s">
        <v>1329</v>
      </c>
      <c r="H365" t="s">
        <v>2659</v>
      </c>
      <c r="I365" t="s">
        <v>2739</v>
      </c>
      <c r="J365" t="s">
        <v>2759</v>
      </c>
      <c r="K365" t="s">
        <v>1478</v>
      </c>
      <c r="L365" t="s">
        <v>2782</v>
      </c>
      <c r="M365" t="s">
        <v>2569</v>
      </c>
      <c r="N365" t="s">
        <v>2587</v>
      </c>
      <c r="O365" t="s">
        <v>2604</v>
      </c>
      <c r="P365" t="s">
        <v>2565</v>
      </c>
      <c r="Q365" t="s">
        <v>2583</v>
      </c>
      <c r="R365" t="s">
        <v>2604</v>
      </c>
      <c r="S365" t="s">
        <v>2608</v>
      </c>
      <c r="T365">
        <v>2</v>
      </c>
      <c r="U365" s="2">
        <v>1065.95</v>
      </c>
      <c r="V365" s="3">
        <v>0</v>
      </c>
      <c r="W365" s="2">
        <v>2131.9</v>
      </c>
      <c r="X365" s="2">
        <v>761.54</v>
      </c>
      <c r="Y365" s="3">
        <v>0.35721187672967769</v>
      </c>
      <c r="Z365" t="s">
        <v>1496</v>
      </c>
      <c r="AA365" t="s">
        <v>1500</v>
      </c>
      <c r="AB365" t="s">
        <v>1501</v>
      </c>
      <c r="AC365">
        <v>1</v>
      </c>
      <c r="AD365">
        <v>2024</v>
      </c>
      <c r="AE365" t="s">
        <v>2817</v>
      </c>
      <c r="AF365" t="s">
        <v>2829</v>
      </c>
      <c r="AG365" t="s">
        <v>2847</v>
      </c>
      <c r="AH365" t="s">
        <v>2848</v>
      </c>
      <c r="AI365">
        <v>1</v>
      </c>
    </row>
    <row r="366" spans="1:35" x14ac:dyDescent="0.3">
      <c r="A366" t="s">
        <v>360</v>
      </c>
      <c r="B366">
        <v>1</v>
      </c>
      <c r="C366" s="1">
        <v>45570</v>
      </c>
      <c r="D366" s="1">
        <v>45571</v>
      </c>
      <c r="E366" t="s">
        <v>1181</v>
      </c>
      <c r="F366" t="s">
        <v>1766</v>
      </c>
      <c r="G366" t="s">
        <v>1391</v>
      </c>
      <c r="H366" t="s">
        <v>2719</v>
      </c>
      <c r="I366" t="s">
        <v>2741</v>
      </c>
      <c r="J366" t="s">
        <v>2768</v>
      </c>
      <c r="K366" t="s">
        <v>1480</v>
      </c>
      <c r="L366" t="s">
        <v>2789</v>
      </c>
      <c r="M366" t="s">
        <v>2570</v>
      </c>
      <c r="N366" t="s">
        <v>2590</v>
      </c>
      <c r="O366" t="s">
        <v>2605</v>
      </c>
      <c r="R366" t="s">
        <v>2790</v>
      </c>
      <c r="S366" t="s">
        <v>2608</v>
      </c>
      <c r="T366">
        <v>1</v>
      </c>
      <c r="U366" s="2">
        <v>1624.5</v>
      </c>
      <c r="V366" s="3">
        <v>0.15</v>
      </c>
      <c r="W366" s="2">
        <v>1380.83</v>
      </c>
      <c r="X366" s="2">
        <v>293.20999999999998</v>
      </c>
      <c r="Y366" s="3">
        <v>0.2123433007683784</v>
      </c>
      <c r="Z366" t="s">
        <v>1494</v>
      </c>
      <c r="AA366" t="s">
        <v>1499</v>
      </c>
      <c r="AB366" t="s">
        <v>1501</v>
      </c>
      <c r="AC366">
        <v>1</v>
      </c>
      <c r="AD366">
        <v>2024</v>
      </c>
      <c r="AE366" t="s">
        <v>2817</v>
      </c>
      <c r="AF366" t="s">
        <v>2829</v>
      </c>
      <c r="AG366" t="s">
        <v>2847</v>
      </c>
      <c r="AH366" t="s">
        <v>2848</v>
      </c>
      <c r="AI366">
        <v>1</v>
      </c>
    </row>
    <row r="367" spans="1:35" x14ac:dyDescent="0.3">
      <c r="A367" t="s">
        <v>361</v>
      </c>
      <c r="B367">
        <v>3</v>
      </c>
      <c r="C367" s="1">
        <v>45571</v>
      </c>
      <c r="D367" s="1">
        <v>45573</v>
      </c>
      <c r="E367" t="s">
        <v>965</v>
      </c>
      <c r="F367" t="s">
        <v>1685</v>
      </c>
      <c r="G367" t="s">
        <v>1351</v>
      </c>
      <c r="H367" t="s">
        <v>2677</v>
      </c>
      <c r="I367" t="s">
        <v>2739</v>
      </c>
      <c r="J367" t="s">
        <v>2758</v>
      </c>
      <c r="K367" t="s">
        <v>1480</v>
      </c>
      <c r="L367" t="s">
        <v>2789</v>
      </c>
      <c r="M367" t="s">
        <v>2569</v>
      </c>
      <c r="N367" t="s">
        <v>2587</v>
      </c>
      <c r="O367" t="s">
        <v>2604</v>
      </c>
      <c r="R367" t="s">
        <v>2790</v>
      </c>
      <c r="S367" t="s">
        <v>2608</v>
      </c>
      <c r="T367">
        <v>1</v>
      </c>
      <c r="U367" s="2">
        <v>5049.71</v>
      </c>
      <c r="V367" s="3">
        <v>0</v>
      </c>
      <c r="W367" s="2">
        <v>5049.71</v>
      </c>
      <c r="X367" s="2">
        <v>1314.91</v>
      </c>
      <c r="Y367" s="3">
        <v>0.26039317109299348</v>
      </c>
      <c r="Z367" t="s">
        <v>1493</v>
      </c>
      <c r="AA367" t="s">
        <v>1498</v>
      </c>
      <c r="AB367" t="s">
        <v>1501</v>
      </c>
      <c r="AC367">
        <v>2</v>
      </c>
      <c r="AD367">
        <v>2024</v>
      </c>
      <c r="AE367" t="s">
        <v>2817</v>
      </c>
      <c r="AF367" t="s">
        <v>2829</v>
      </c>
      <c r="AG367" t="s">
        <v>2847</v>
      </c>
      <c r="AH367" t="s">
        <v>2848</v>
      </c>
      <c r="AI367">
        <v>1</v>
      </c>
    </row>
    <row r="368" spans="1:35" x14ac:dyDescent="0.3">
      <c r="A368" t="s">
        <v>362</v>
      </c>
      <c r="B368">
        <v>1</v>
      </c>
      <c r="C368" s="1">
        <v>45571</v>
      </c>
      <c r="D368" s="1">
        <v>45574</v>
      </c>
      <c r="E368" t="s">
        <v>1074</v>
      </c>
      <c r="F368" t="s">
        <v>1961</v>
      </c>
      <c r="G368" t="s">
        <v>1369</v>
      </c>
      <c r="H368" t="s">
        <v>2725</v>
      </c>
      <c r="I368" t="s">
        <v>2742</v>
      </c>
      <c r="J368" t="s">
        <v>2770</v>
      </c>
      <c r="K368" t="s">
        <v>1480</v>
      </c>
      <c r="L368" t="s">
        <v>2789</v>
      </c>
      <c r="M368" t="s">
        <v>2555</v>
      </c>
      <c r="N368" t="s">
        <v>2578</v>
      </c>
      <c r="O368" t="s">
        <v>2603</v>
      </c>
      <c r="R368" t="s">
        <v>2790</v>
      </c>
      <c r="S368" t="s">
        <v>2608</v>
      </c>
      <c r="T368">
        <v>1</v>
      </c>
      <c r="U368" s="2">
        <v>23968.04</v>
      </c>
      <c r="V368" s="3">
        <v>0.2</v>
      </c>
      <c r="W368" s="2">
        <v>19174.43</v>
      </c>
      <c r="X368" s="2">
        <v>1903.31</v>
      </c>
      <c r="Y368" s="3">
        <v>9.9262924634526295E-2</v>
      </c>
      <c r="Z368" t="s">
        <v>1494</v>
      </c>
      <c r="AA368" t="s">
        <v>1498</v>
      </c>
      <c r="AB368" t="s">
        <v>1501</v>
      </c>
      <c r="AC368">
        <v>3</v>
      </c>
      <c r="AD368">
        <v>2024</v>
      </c>
      <c r="AE368" t="s">
        <v>2817</v>
      </c>
      <c r="AF368" t="s">
        <v>2829</v>
      </c>
      <c r="AG368" t="s">
        <v>2847</v>
      </c>
      <c r="AH368" t="s">
        <v>2848</v>
      </c>
      <c r="AI368">
        <v>1</v>
      </c>
    </row>
    <row r="369" spans="1:35" x14ac:dyDescent="0.3">
      <c r="A369" t="s">
        <v>363</v>
      </c>
      <c r="B369">
        <v>1</v>
      </c>
      <c r="C369" s="1">
        <v>45571</v>
      </c>
      <c r="D369" s="1">
        <v>45574</v>
      </c>
      <c r="E369" t="s">
        <v>1182</v>
      </c>
      <c r="F369" t="s">
        <v>1905</v>
      </c>
      <c r="G369" t="s">
        <v>1452</v>
      </c>
      <c r="H369" t="s">
        <v>2616</v>
      </c>
      <c r="I369" t="s">
        <v>2737</v>
      </c>
      <c r="J369" t="s">
        <v>2743</v>
      </c>
      <c r="K369" t="s">
        <v>1480</v>
      </c>
      <c r="L369" t="s">
        <v>2789</v>
      </c>
      <c r="M369" t="s">
        <v>2571</v>
      </c>
      <c r="N369" t="s">
        <v>2590</v>
      </c>
      <c r="O369" t="s">
        <v>2605</v>
      </c>
      <c r="R369" t="s">
        <v>2790</v>
      </c>
      <c r="S369" t="s">
        <v>2606</v>
      </c>
      <c r="T369">
        <v>1</v>
      </c>
      <c r="U369" s="2">
        <v>74213.429999999993</v>
      </c>
      <c r="V369" s="3">
        <v>0</v>
      </c>
      <c r="W369" s="2">
        <v>74213.429999999993</v>
      </c>
      <c r="X369" s="2">
        <v>10715.42</v>
      </c>
      <c r="Y369" s="3">
        <v>0.1443865348899788</v>
      </c>
      <c r="Z369" t="s">
        <v>1495</v>
      </c>
      <c r="AA369" t="s">
        <v>1499</v>
      </c>
      <c r="AB369" t="s">
        <v>1501</v>
      </c>
      <c r="AC369">
        <v>3</v>
      </c>
      <c r="AD369">
        <v>2024</v>
      </c>
      <c r="AE369" t="s">
        <v>2817</v>
      </c>
      <c r="AF369" t="s">
        <v>2829</v>
      </c>
      <c r="AG369" t="s">
        <v>2847</v>
      </c>
      <c r="AH369" t="s">
        <v>2848</v>
      </c>
      <c r="AI369">
        <v>1</v>
      </c>
    </row>
    <row r="370" spans="1:35" x14ac:dyDescent="0.3">
      <c r="A370" t="s">
        <v>363</v>
      </c>
      <c r="B370">
        <v>2</v>
      </c>
      <c r="C370" s="1">
        <v>45571</v>
      </c>
      <c r="D370" s="1">
        <v>45574</v>
      </c>
      <c r="E370" t="s">
        <v>1182</v>
      </c>
      <c r="F370" t="s">
        <v>1905</v>
      </c>
      <c r="G370" t="s">
        <v>1423</v>
      </c>
      <c r="H370" t="s">
        <v>2708</v>
      </c>
      <c r="I370" t="s">
        <v>2741</v>
      </c>
      <c r="J370" t="s">
        <v>2765</v>
      </c>
      <c r="K370" t="s">
        <v>1480</v>
      </c>
      <c r="L370" t="s">
        <v>2789</v>
      </c>
      <c r="M370" t="s">
        <v>2571</v>
      </c>
      <c r="N370" t="s">
        <v>2590</v>
      </c>
      <c r="O370" t="s">
        <v>2605</v>
      </c>
      <c r="R370" t="s">
        <v>2790</v>
      </c>
      <c r="S370" t="s">
        <v>2606</v>
      </c>
      <c r="T370">
        <v>1</v>
      </c>
      <c r="U370" s="2">
        <v>2319.64</v>
      </c>
      <c r="V370" s="3">
        <v>0</v>
      </c>
      <c r="W370" s="2">
        <v>2319.64</v>
      </c>
      <c r="X370" s="2">
        <v>822.13</v>
      </c>
      <c r="Y370" s="3">
        <v>0.35442137573071691</v>
      </c>
      <c r="Z370" t="s">
        <v>1495</v>
      </c>
      <c r="AA370" t="s">
        <v>1499</v>
      </c>
      <c r="AB370" t="s">
        <v>1501</v>
      </c>
      <c r="AC370">
        <v>3</v>
      </c>
      <c r="AD370">
        <v>2024</v>
      </c>
      <c r="AE370" t="s">
        <v>2817</v>
      </c>
      <c r="AF370" t="s">
        <v>2829</v>
      </c>
      <c r="AG370" t="s">
        <v>2847</v>
      </c>
      <c r="AH370" t="s">
        <v>2848</v>
      </c>
      <c r="AI370">
        <v>0</v>
      </c>
    </row>
    <row r="371" spans="1:35" x14ac:dyDescent="0.3">
      <c r="A371" t="s">
        <v>364</v>
      </c>
      <c r="B371">
        <v>2</v>
      </c>
      <c r="C371" s="1">
        <v>45572</v>
      </c>
      <c r="D371" s="1">
        <v>45575</v>
      </c>
      <c r="E371" t="s">
        <v>1092</v>
      </c>
      <c r="F371" t="s">
        <v>2003</v>
      </c>
      <c r="G371" t="s">
        <v>1331</v>
      </c>
      <c r="H371" t="s">
        <v>2706</v>
      </c>
      <c r="I371" t="s">
        <v>2741</v>
      </c>
      <c r="J371" t="s">
        <v>2765</v>
      </c>
      <c r="K371" t="s">
        <v>1480</v>
      </c>
      <c r="L371" t="s">
        <v>2789</v>
      </c>
      <c r="M371" t="s">
        <v>2560</v>
      </c>
      <c r="N371" t="s">
        <v>2579</v>
      </c>
      <c r="O371" t="s">
        <v>2604</v>
      </c>
      <c r="R371" t="s">
        <v>2790</v>
      </c>
      <c r="S371" t="s">
        <v>2608</v>
      </c>
      <c r="T371">
        <v>1</v>
      </c>
      <c r="U371" s="2">
        <v>1520.12</v>
      </c>
      <c r="V371" s="3">
        <v>0</v>
      </c>
      <c r="W371" s="2">
        <v>1520.12</v>
      </c>
      <c r="X371" s="2">
        <v>547.69000000000005</v>
      </c>
      <c r="Y371" s="3">
        <v>0.36029392416388178</v>
      </c>
      <c r="Z371" t="s">
        <v>1496</v>
      </c>
      <c r="AA371" t="s">
        <v>1499</v>
      </c>
      <c r="AB371" t="s">
        <v>1501</v>
      </c>
      <c r="AC371">
        <v>3</v>
      </c>
      <c r="AD371">
        <v>2024</v>
      </c>
      <c r="AE371" t="s">
        <v>2817</v>
      </c>
      <c r="AF371" t="s">
        <v>2829</v>
      </c>
      <c r="AG371" t="s">
        <v>2847</v>
      </c>
      <c r="AH371" t="s">
        <v>2848</v>
      </c>
      <c r="AI371">
        <v>1</v>
      </c>
    </row>
    <row r="372" spans="1:35" x14ac:dyDescent="0.3">
      <c r="A372" t="s">
        <v>365</v>
      </c>
      <c r="B372">
        <v>1</v>
      </c>
      <c r="C372" s="1">
        <v>45572</v>
      </c>
      <c r="D372" s="1">
        <v>45574</v>
      </c>
      <c r="E372" t="s">
        <v>1044</v>
      </c>
      <c r="F372" t="s">
        <v>1816</v>
      </c>
      <c r="G372" t="s">
        <v>1431</v>
      </c>
      <c r="H372" t="s">
        <v>2658</v>
      </c>
      <c r="I372" t="s">
        <v>2738</v>
      </c>
      <c r="J372" t="s">
        <v>2754</v>
      </c>
      <c r="K372" t="s">
        <v>1480</v>
      </c>
      <c r="L372" t="s">
        <v>2789</v>
      </c>
      <c r="M372" t="s">
        <v>2550</v>
      </c>
      <c r="N372" t="s">
        <v>2573</v>
      </c>
      <c r="O372" t="s">
        <v>2601</v>
      </c>
      <c r="R372" t="s">
        <v>2790</v>
      </c>
      <c r="S372" t="s">
        <v>2608</v>
      </c>
      <c r="T372">
        <v>2</v>
      </c>
      <c r="U372" s="2">
        <v>9677.85</v>
      </c>
      <c r="V372" s="3">
        <v>0.15</v>
      </c>
      <c r="W372" s="2">
        <v>16452.349999999999</v>
      </c>
      <c r="X372" s="2">
        <v>900.99</v>
      </c>
      <c r="Y372" s="3">
        <v>5.4763605199257263E-2</v>
      </c>
      <c r="Z372" t="s">
        <v>1495</v>
      </c>
      <c r="AA372" t="s">
        <v>1498</v>
      </c>
      <c r="AB372" t="s">
        <v>1501</v>
      </c>
      <c r="AC372">
        <v>2</v>
      </c>
      <c r="AD372">
        <v>2024</v>
      </c>
      <c r="AE372" t="s">
        <v>2817</v>
      </c>
      <c r="AF372" t="s">
        <v>2829</v>
      </c>
      <c r="AG372" t="s">
        <v>2847</v>
      </c>
      <c r="AH372" t="s">
        <v>2848</v>
      </c>
      <c r="AI372">
        <v>1</v>
      </c>
    </row>
    <row r="373" spans="1:35" x14ac:dyDescent="0.3">
      <c r="A373" t="s">
        <v>366</v>
      </c>
      <c r="B373">
        <v>1</v>
      </c>
      <c r="C373" s="1">
        <v>45573</v>
      </c>
      <c r="D373" s="1">
        <v>45574</v>
      </c>
      <c r="E373" t="s">
        <v>1129</v>
      </c>
      <c r="F373" t="s">
        <v>1900</v>
      </c>
      <c r="G373" t="s">
        <v>1329</v>
      </c>
      <c r="H373" t="s">
        <v>2659</v>
      </c>
      <c r="I373" t="s">
        <v>2739</v>
      </c>
      <c r="J373" t="s">
        <v>2759</v>
      </c>
      <c r="K373" t="s">
        <v>1486</v>
      </c>
      <c r="L373" t="s">
        <v>2776</v>
      </c>
      <c r="M373" t="s">
        <v>2562</v>
      </c>
      <c r="N373" t="s">
        <v>2574</v>
      </c>
      <c r="O373" t="s">
        <v>2602</v>
      </c>
      <c r="P373" t="s">
        <v>2551</v>
      </c>
      <c r="Q373" t="s">
        <v>2574</v>
      </c>
      <c r="R373" t="s">
        <v>2602</v>
      </c>
      <c r="S373" t="s">
        <v>2608</v>
      </c>
      <c r="T373">
        <v>2</v>
      </c>
      <c r="U373" s="2">
        <v>1065.95</v>
      </c>
      <c r="V373" s="3">
        <v>0</v>
      </c>
      <c r="W373" s="2">
        <v>2131.9</v>
      </c>
      <c r="X373" s="2">
        <v>761.54</v>
      </c>
      <c r="Y373" s="3">
        <v>0.35721187672967769</v>
      </c>
      <c r="Z373" t="s">
        <v>1497</v>
      </c>
      <c r="AA373" t="s">
        <v>1498</v>
      </c>
      <c r="AB373" t="s">
        <v>1501</v>
      </c>
      <c r="AC373">
        <v>1</v>
      </c>
      <c r="AD373">
        <v>2024</v>
      </c>
      <c r="AE373" t="s">
        <v>2817</v>
      </c>
      <c r="AF373" t="s">
        <v>2829</v>
      </c>
      <c r="AG373" t="s">
        <v>2847</v>
      </c>
      <c r="AH373" t="s">
        <v>2848</v>
      </c>
      <c r="AI373">
        <v>1</v>
      </c>
    </row>
    <row r="374" spans="1:35" x14ac:dyDescent="0.3">
      <c r="A374" t="s">
        <v>367</v>
      </c>
      <c r="B374">
        <v>2</v>
      </c>
      <c r="C374" s="1">
        <v>45573</v>
      </c>
      <c r="D374" s="1">
        <v>45575</v>
      </c>
      <c r="E374" t="s">
        <v>1183</v>
      </c>
      <c r="F374" t="s">
        <v>1652</v>
      </c>
      <c r="G374" t="s">
        <v>1345</v>
      </c>
      <c r="H374" t="s">
        <v>2635</v>
      </c>
      <c r="I374" t="s">
        <v>2737</v>
      </c>
      <c r="J374" t="s">
        <v>2747</v>
      </c>
      <c r="K374" t="s">
        <v>1480</v>
      </c>
      <c r="L374" t="s">
        <v>2789</v>
      </c>
      <c r="M374" t="s">
        <v>2553</v>
      </c>
      <c r="N374" t="s">
        <v>2576</v>
      </c>
      <c r="O374" t="s">
        <v>2602</v>
      </c>
      <c r="R374" t="s">
        <v>2790</v>
      </c>
      <c r="S374" t="s">
        <v>2606</v>
      </c>
      <c r="T374">
        <v>2</v>
      </c>
      <c r="U374" s="2">
        <v>8112.78</v>
      </c>
      <c r="V374" s="3">
        <v>0</v>
      </c>
      <c r="W374" s="2">
        <v>16225.56</v>
      </c>
      <c r="X374" s="2">
        <v>2470.12</v>
      </c>
      <c r="Y374" s="3">
        <v>0.15223634808290129</v>
      </c>
      <c r="Z374" t="s">
        <v>1495</v>
      </c>
      <c r="AA374" t="s">
        <v>1499</v>
      </c>
      <c r="AB374" t="s">
        <v>1501</v>
      </c>
      <c r="AC374">
        <v>2</v>
      </c>
      <c r="AD374">
        <v>2024</v>
      </c>
      <c r="AE374" t="s">
        <v>2817</v>
      </c>
      <c r="AF374" t="s">
        <v>2829</v>
      </c>
      <c r="AG374" t="s">
        <v>2847</v>
      </c>
      <c r="AH374" t="s">
        <v>2848</v>
      </c>
      <c r="AI374">
        <v>1</v>
      </c>
    </row>
    <row r="375" spans="1:35" x14ac:dyDescent="0.3">
      <c r="A375" t="s">
        <v>368</v>
      </c>
      <c r="B375">
        <v>2</v>
      </c>
      <c r="C375" s="1">
        <v>45574</v>
      </c>
      <c r="D375" s="1">
        <v>45577</v>
      </c>
      <c r="E375" t="s">
        <v>1008</v>
      </c>
      <c r="F375" t="s">
        <v>1884</v>
      </c>
      <c r="G375" t="s">
        <v>1394</v>
      </c>
      <c r="H375" t="s">
        <v>2664</v>
      </c>
      <c r="I375" t="s">
        <v>2739</v>
      </c>
      <c r="J375" t="s">
        <v>2755</v>
      </c>
      <c r="K375" t="s">
        <v>1480</v>
      </c>
      <c r="L375" t="s">
        <v>2789</v>
      </c>
      <c r="M375" t="s">
        <v>2564</v>
      </c>
      <c r="N375" t="s">
        <v>2582</v>
      </c>
      <c r="O375" t="s">
        <v>2601</v>
      </c>
      <c r="R375" t="s">
        <v>2790</v>
      </c>
      <c r="S375" t="s">
        <v>2606</v>
      </c>
      <c r="T375">
        <v>1</v>
      </c>
      <c r="U375" s="2">
        <v>902.62</v>
      </c>
      <c r="V375" s="3">
        <v>0</v>
      </c>
      <c r="W375" s="2">
        <v>902.62</v>
      </c>
      <c r="X375" s="2">
        <v>250.99</v>
      </c>
      <c r="Y375" s="3">
        <v>0.27806829008885248</v>
      </c>
      <c r="Z375" t="s">
        <v>1494</v>
      </c>
      <c r="AA375" t="s">
        <v>1498</v>
      </c>
      <c r="AB375" t="s">
        <v>1501</v>
      </c>
      <c r="AC375">
        <v>3</v>
      </c>
      <c r="AD375">
        <v>2024</v>
      </c>
      <c r="AE375" t="s">
        <v>2817</v>
      </c>
      <c r="AF375" t="s">
        <v>2829</v>
      </c>
      <c r="AG375" t="s">
        <v>2847</v>
      </c>
      <c r="AH375" t="s">
        <v>2848</v>
      </c>
      <c r="AI375">
        <v>1</v>
      </c>
    </row>
    <row r="376" spans="1:35" x14ac:dyDescent="0.3">
      <c r="A376" t="s">
        <v>369</v>
      </c>
      <c r="B376">
        <v>1</v>
      </c>
      <c r="C376" s="1">
        <v>45574</v>
      </c>
      <c r="D376" s="1">
        <v>45575</v>
      </c>
      <c r="E376" t="s">
        <v>1184</v>
      </c>
      <c r="F376" t="s">
        <v>1787</v>
      </c>
      <c r="G376" t="s">
        <v>1390</v>
      </c>
      <c r="H376" t="s">
        <v>2645</v>
      </c>
      <c r="I376" t="s">
        <v>2738</v>
      </c>
      <c r="J376" t="s">
        <v>2750</v>
      </c>
      <c r="K376" t="s">
        <v>1480</v>
      </c>
      <c r="L376" t="s">
        <v>2789</v>
      </c>
      <c r="M376" t="s">
        <v>2554</v>
      </c>
      <c r="N376" t="s">
        <v>2577</v>
      </c>
      <c r="O376" t="s">
        <v>2601</v>
      </c>
      <c r="R376" t="s">
        <v>2790</v>
      </c>
      <c r="S376" t="s">
        <v>2607</v>
      </c>
      <c r="T376">
        <v>2</v>
      </c>
      <c r="U376" s="2">
        <v>38147.39</v>
      </c>
      <c r="V376" s="3">
        <v>0</v>
      </c>
      <c r="W376" s="2">
        <v>76294.78</v>
      </c>
      <c r="X376" s="2">
        <v>21700.080000000002</v>
      </c>
      <c r="Y376" s="3">
        <v>0.28442417685718469</v>
      </c>
      <c r="Z376" t="s">
        <v>1496</v>
      </c>
      <c r="AA376" t="s">
        <v>1500</v>
      </c>
      <c r="AB376" t="s">
        <v>1501</v>
      </c>
      <c r="AC376">
        <v>1</v>
      </c>
      <c r="AD376">
        <v>2024</v>
      </c>
      <c r="AE376" t="s">
        <v>2817</v>
      </c>
      <c r="AF376" t="s">
        <v>2829</v>
      </c>
      <c r="AG376" t="s">
        <v>2847</v>
      </c>
      <c r="AH376" t="s">
        <v>2848</v>
      </c>
      <c r="AI376">
        <v>1</v>
      </c>
    </row>
    <row r="377" spans="1:35" x14ac:dyDescent="0.3">
      <c r="A377" t="s">
        <v>369</v>
      </c>
      <c r="B377">
        <v>2</v>
      </c>
      <c r="C377" s="1">
        <v>45574</v>
      </c>
      <c r="D377" s="1">
        <v>45575</v>
      </c>
      <c r="E377" t="s">
        <v>1184</v>
      </c>
      <c r="F377" t="s">
        <v>1787</v>
      </c>
      <c r="G377" t="s">
        <v>1385</v>
      </c>
      <c r="H377" t="s">
        <v>2638</v>
      </c>
      <c r="I377" t="s">
        <v>2737</v>
      </c>
      <c r="J377" t="s">
        <v>2748</v>
      </c>
      <c r="K377" t="s">
        <v>1480</v>
      </c>
      <c r="L377" t="s">
        <v>2789</v>
      </c>
      <c r="M377" t="s">
        <v>2554</v>
      </c>
      <c r="N377" t="s">
        <v>2577</v>
      </c>
      <c r="O377" t="s">
        <v>2601</v>
      </c>
      <c r="R377" t="s">
        <v>2790</v>
      </c>
      <c r="S377" t="s">
        <v>2607</v>
      </c>
      <c r="T377">
        <v>1</v>
      </c>
      <c r="U377" s="2">
        <v>46757.35</v>
      </c>
      <c r="V377" s="3">
        <v>0</v>
      </c>
      <c r="W377" s="2">
        <v>46757.35</v>
      </c>
      <c r="X377" s="2">
        <v>4567.13</v>
      </c>
      <c r="Y377" s="3">
        <v>9.7677263574603782E-2</v>
      </c>
      <c r="Z377" t="s">
        <v>1496</v>
      </c>
      <c r="AA377" t="s">
        <v>1500</v>
      </c>
      <c r="AB377" t="s">
        <v>1501</v>
      </c>
      <c r="AC377">
        <v>1</v>
      </c>
      <c r="AD377">
        <v>2024</v>
      </c>
      <c r="AE377" t="s">
        <v>2817</v>
      </c>
      <c r="AF377" t="s">
        <v>2829</v>
      </c>
      <c r="AG377" t="s">
        <v>2847</v>
      </c>
      <c r="AH377" t="s">
        <v>2848</v>
      </c>
      <c r="AI377">
        <v>0</v>
      </c>
    </row>
    <row r="378" spans="1:35" x14ac:dyDescent="0.3">
      <c r="A378" t="s">
        <v>370</v>
      </c>
      <c r="B378">
        <v>1</v>
      </c>
      <c r="C378" s="1">
        <v>45574</v>
      </c>
      <c r="D378" s="1">
        <v>45575</v>
      </c>
      <c r="E378" t="s">
        <v>1185</v>
      </c>
      <c r="F378" t="s">
        <v>1723</v>
      </c>
      <c r="G378" t="s">
        <v>1354</v>
      </c>
      <c r="H378" t="s">
        <v>2652</v>
      </c>
      <c r="I378" t="s">
        <v>2738</v>
      </c>
      <c r="J378" t="s">
        <v>2752</v>
      </c>
      <c r="K378" t="s">
        <v>1480</v>
      </c>
      <c r="L378" t="s">
        <v>2789</v>
      </c>
      <c r="M378" t="s">
        <v>2556</v>
      </c>
      <c r="N378" t="s">
        <v>2574</v>
      </c>
      <c r="O378" t="s">
        <v>2602</v>
      </c>
      <c r="R378" t="s">
        <v>2790</v>
      </c>
      <c r="S378" t="s">
        <v>2608</v>
      </c>
      <c r="T378">
        <v>1</v>
      </c>
      <c r="U378" s="2">
        <v>45654.38</v>
      </c>
      <c r="V378" s="3">
        <v>0</v>
      </c>
      <c r="W378" s="2">
        <v>45654.38</v>
      </c>
      <c r="X378" s="2">
        <v>12954.5</v>
      </c>
      <c r="Y378" s="3">
        <v>0.28375152614053678</v>
      </c>
      <c r="Z378" t="s">
        <v>1495</v>
      </c>
      <c r="AA378" t="s">
        <v>1498</v>
      </c>
      <c r="AB378" t="s">
        <v>1501</v>
      </c>
      <c r="AC378">
        <v>1</v>
      </c>
      <c r="AD378">
        <v>2024</v>
      </c>
      <c r="AE378" t="s">
        <v>2817</v>
      </c>
      <c r="AF378" t="s">
        <v>2829</v>
      </c>
      <c r="AG378" t="s">
        <v>2847</v>
      </c>
      <c r="AH378" t="s">
        <v>2848</v>
      </c>
      <c r="AI378">
        <v>1</v>
      </c>
    </row>
    <row r="379" spans="1:35" x14ac:dyDescent="0.3">
      <c r="A379" t="s">
        <v>371</v>
      </c>
      <c r="B379">
        <v>1</v>
      </c>
      <c r="C379" s="1">
        <v>45575</v>
      </c>
      <c r="E379" t="s">
        <v>1093</v>
      </c>
      <c r="F379" t="s">
        <v>1867</v>
      </c>
      <c r="G379" t="s">
        <v>1433</v>
      </c>
      <c r="H379" t="s">
        <v>2675</v>
      </c>
      <c r="I379" t="s">
        <v>2739</v>
      </c>
      <c r="J379" t="s">
        <v>2757</v>
      </c>
      <c r="K379" t="s">
        <v>1480</v>
      </c>
      <c r="L379" t="s">
        <v>2789</v>
      </c>
      <c r="M379" t="s">
        <v>2567</v>
      </c>
      <c r="N379" t="s">
        <v>2585</v>
      </c>
      <c r="O379" t="s">
        <v>2604</v>
      </c>
      <c r="R379" t="s">
        <v>2790</v>
      </c>
      <c r="S379" t="s">
        <v>2606</v>
      </c>
      <c r="T379">
        <v>1</v>
      </c>
      <c r="U379" s="2">
        <v>2067.91</v>
      </c>
      <c r="V379" s="3">
        <v>0</v>
      </c>
      <c r="W379" s="2">
        <v>2067.91</v>
      </c>
      <c r="X379" s="2">
        <v>576.48</v>
      </c>
      <c r="Y379" s="3">
        <v>0.27877422131524099</v>
      </c>
      <c r="Z379" t="s">
        <v>1494</v>
      </c>
      <c r="AA379" t="s">
        <v>1498</v>
      </c>
      <c r="AB379" t="s">
        <v>1503</v>
      </c>
      <c r="AD379">
        <v>2024</v>
      </c>
      <c r="AE379" t="s">
        <v>2817</v>
      </c>
      <c r="AF379" t="s">
        <v>2829</v>
      </c>
      <c r="AG379" t="s">
        <v>2847</v>
      </c>
      <c r="AH379" t="s">
        <v>2848</v>
      </c>
      <c r="AI379">
        <v>1</v>
      </c>
    </row>
    <row r="380" spans="1:35" x14ac:dyDescent="0.3">
      <c r="A380" t="s">
        <v>372</v>
      </c>
      <c r="B380">
        <v>1</v>
      </c>
      <c r="C380" s="1">
        <v>45576</v>
      </c>
      <c r="D380" s="1">
        <v>45577</v>
      </c>
      <c r="E380" t="s">
        <v>973</v>
      </c>
      <c r="F380" t="s">
        <v>1721</v>
      </c>
      <c r="G380" t="s">
        <v>1462</v>
      </c>
      <c r="H380" t="s">
        <v>2647</v>
      </c>
      <c r="I380" t="s">
        <v>2738</v>
      </c>
      <c r="J380" t="s">
        <v>2751</v>
      </c>
      <c r="K380" t="s">
        <v>1480</v>
      </c>
      <c r="L380" t="s">
        <v>2789</v>
      </c>
      <c r="M380" t="s">
        <v>2560</v>
      </c>
      <c r="N380" t="s">
        <v>2579</v>
      </c>
      <c r="O380" t="s">
        <v>2604</v>
      </c>
      <c r="R380" t="s">
        <v>2790</v>
      </c>
      <c r="S380" t="s">
        <v>2608</v>
      </c>
      <c r="T380">
        <v>1</v>
      </c>
      <c r="U380" s="2">
        <v>31184.25</v>
      </c>
      <c r="V380" s="3">
        <v>0.1</v>
      </c>
      <c r="W380" s="2">
        <v>28065.83</v>
      </c>
      <c r="X380" s="2">
        <v>2874.73</v>
      </c>
      <c r="Y380" s="3">
        <v>0.1024281127620313</v>
      </c>
      <c r="Z380" t="s">
        <v>1496</v>
      </c>
      <c r="AA380" t="s">
        <v>1499</v>
      </c>
      <c r="AB380" t="s">
        <v>1501</v>
      </c>
      <c r="AC380">
        <v>1</v>
      </c>
      <c r="AD380">
        <v>2024</v>
      </c>
      <c r="AE380" t="s">
        <v>2817</v>
      </c>
      <c r="AF380" t="s">
        <v>2829</v>
      </c>
      <c r="AG380" t="s">
        <v>2847</v>
      </c>
      <c r="AH380" t="s">
        <v>2848</v>
      </c>
      <c r="AI380">
        <v>1</v>
      </c>
    </row>
    <row r="381" spans="1:35" x14ac:dyDescent="0.3">
      <c r="A381" t="s">
        <v>373</v>
      </c>
      <c r="B381">
        <v>1</v>
      </c>
      <c r="C381" s="1">
        <v>45576</v>
      </c>
      <c r="D381" s="1">
        <v>45577</v>
      </c>
      <c r="E381" t="s">
        <v>1186</v>
      </c>
      <c r="F381" t="s">
        <v>1672</v>
      </c>
      <c r="G381" t="s">
        <v>1423</v>
      </c>
      <c r="H381" t="s">
        <v>2708</v>
      </c>
      <c r="I381" t="s">
        <v>2741</v>
      </c>
      <c r="J381" t="s">
        <v>2765</v>
      </c>
      <c r="K381" t="s">
        <v>1480</v>
      </c>
      <c r="L381" t="s">
        <v>2789</v>
      </c>
      <c r="M381" t="s">
        <v>2561</v>
      </c>
      <c r="N381" t="s">
        <v>2580</v>
      </c>
      <c r="O381" t="s">
        <v>2601</v>
      </c>
      <c r="R381" t="s">
        <v>2790</v>
      </c>
      <c r="S381" t="s">
        <v>2606</v>
      </c>
      <c r="T381">
        <v>1</v>
      </c>
      <c r="U381" s="2">
        <v>2319.64</v>
      </c>
      <c r="V381" s="3">
        <v>0</v>
      </c>
      <c r="W381" s="2">
        <v>2319.64</v>
      </c>
      <c r="X381" s="2">
        <v>822.13</v>
      </c>
      <c r="Y381" s="3">
        <v>0.35442137573071691</v>
      </c>
      <c r="Z381" t="s">
        <v>1495</v>
      </c>
      <c r="AA381" t="s">
        <v>1498</v>
      </c>
      <c r="AB381" t="s">
        <v>1501</v>
      </c>
      <c r="AC381">
        <v>1</v>
      </c>
      <c r="AD381">
        <v>2024</v>
      </c>
      <c r="AE381" t="s">
        <v>2817</v>
      </c>
      <c r="AF381" t="s">
        <v>2829</v>
      </c>
      <c r="AG381" t="s">
        <v>2847</v>
      </c>
      <c r="AH381" t="s">
        <v>2848</v>
      </c>
      <c r="AI381">
        <v>1</v>
      </c>
    </row>
    <row r="382" spans="1:35" x14ac:dyDescent="0.3">
      <c r="A382" t="s">
        <v>374</v>
      </c>
      <c r="B382">
        <v>1</v>
      </c>
      <c r="C382" s="1">
        <v>45577</v>
      </c>
      <c r="D382" s="1">
        <v>45578</v>
      </c>
      <c r="E382" t="s">
        <v>1187</v>
      </c>
      <c r="F382" t="s">
        <v>1985</v>
      </c>
      <c r="G382" t="s">
        <v>1332</v>
      </c>
      <c r="H382" t="s">
        <v>2630</v>
      </c>
      <c r="I382" t="s">
        <v>2737</v>
      </c>
      <c r="J382" t="s">
        <v>2746</v>
      </c>
      <c r="K382" t="s">
        <v>1480</v>
      </c>
      <c r="L382" t="s">
        <v>2789</v>
      </c>
      <c r="M382" t="s">
        <v>2550</v>
      </c>
      <c r="N382" t="s">
        <v>2573</v>
      </c>
      <c r="O382" t="s">
        <v>2601</v>
      </c>
      <c r="R382" t="s">
        <v>2790</v>
      </c>
      <c r="S382" t="s">
        <v>2606</v>
      </c>
      <c r="T382">
        <v>2</v>
      </c>
      <c r="U382" s="2">
        <v>45652.65</v>
      </c>
      <c r="V382" s="3">
        <v>0.1</v>
      </c>
      <c r="W382" s="2">
        <v>82174.77</v>
      </c>
      <c r="X382" s="2">
        <v>5158.7299999999996</v>
      </c>
      <c r="Y382" s="3">
        <v>6.2777541087124425E-2</v>
      </c>
      <c r="Z382" t="s">
        <v>1493</v>
      </c>
      <c r="AA382" t="s">
        <v>1499</v>
      </c>
      <c r="AB382" t="s">
        <v>1501</v>
      </c>
      <c r="AC382">
        <v>1</v>
      </c>
      <c r="AD382">
        <v>2024</v>
      </c>
      <c r="AE382" t="s">
        <v>2817</v>
      </c>
      <c r="AF382" t="s">
        <v>2829</v>
      </c>
      <c r="AG382" t="s">
        <v>2847</v>
      </c>
      <c r="AH382" t="s">
        <v>2848</v>
      </c>
      <c r="AI382">
        <v>1</v>
      </c>
    </row>
    <row r="383" spans="1:35" x14ac:dyDescent="0.3">
      <c r="A383" t="s">
        <v>375</v>
      </c>
      <c r="B383">
        <v>1</v>
      </c>
      <c r="C383" s="1">
        <v>45577</v>
      </c>
      <c r="D383" s="1">
        <v>45579</v>
      </c>
      <c r="E383" t="s">
        <v>1100</v>
      </c>
      <c r="F383" t="s">
        <v>1954</v>
      </c>
      <c r="G383" t="s">
        <v>1346</v>
      </c>
      <c r="H383" t="s">
        <v>2670</v>
      </c>
      <c r="I383" t="s">
        <v>2739</v>
      </c>
      <c r="J383" t="s">
        <v>2756</v>
      </c>
      <c r="K383" t="s">
        <v>1480</v>
      </c>
      <c r="L383" t="s">
        <v>2789</v>
      </c>
      <c r="M383" t="s">
        <v>2556</v>
      </c>
      <c r="N383" t="s">
        <v>2574</v>
      </c>
      <c r="O383" t="s">
        <v>2602</v>
      </c>
      <c r="R383" t="s">
        <v>2790</v>
      </c>
      <c r="S383" t="s">
        <v>2608</v>
      </c>
      <c r="T383">
        <v>2</v>
      </c>
      <c r="U383" s="2">
        <v>3324.39</v>
      </c>
      <c r="V383" s="3">
        <v>0</v>
      </c>
      <c r="W383" s="2">
        <v>6648.78</v>
      </c>
      <c r="X383" s="2">
        <v>2468.04</v>
      </c>
      <c r="Y383" s="3">
        <v>0.37120193479104441</v>
      </c>
      <c r="Z383" t="s">
        <v>1494</v>
      </c>
      <c r="AA383" t="s">
        <v>1499</v>
      </c>
      <c r="AB383" t="s">
        <v>1501</v>
      </c>
      <c r="AC383">
        <v>2</v>
      </c>
      <c r="AD383">
        <v>2024</v>
      </c>
      <c r="AE383" t="s">
        <v>2817</v>
      </c>
      <c r="AF383" t="s">
        <v>2829</v>
      </c>
      <c r="AG383" t="s">
        <v>2847</v>
      </c>
      <c r="AH383" t="s">
        <v>2848</v>
      </c>
      <c r="AI383">
        <v>1</v>
      </c>
    </row>
    <row r="384" spans="1:35" x14ac:dyDescent="0.3">
      <c r="A384" t="s">
        <v>376</v>
      </c>
      <c r="B384">
        <v>1</v>
      </c>
      <c r="C384" s="1">
        <v>45577</v>
      </c>
      <c r="D384" s="1">
        <v>45579</v>
      </c>
      <c r="E384" t="s">
        <v>1188</v>
      </c>
      <c r="F384" t="s">
        <v>1766</v>
      </c>
      <c r="G384" t="s">
        <v>1337</v>
      </c>
      <c r="H384" t="s">
        <v>2628</v>
      </c>
      <c r="I384" t="s">
        <v>2737</v>
      </c>
      <c r="J384" t="s">
        <v>2746</v>
      </c>
      <c r="K384" t="s">
        <v>1480</v>
      </c>
      <c r="L384" t="s">
        <v>2789</v>
      </c>
      <c r="M384" t="s">
        <v>2550</v>
      </c>
      <c r="N384" t="s">
        <v>2573</v>
      </c>
      <c r="O384" t="s">
        <v>2601</v>
      </c>
      <c r="R384" t="s">
        <v>2790</v>
      </c>
      <c r="S384" t="s">
        <v>2608</v>
      </c>
      <c r="T384">
        <v>1</v>
      </c>
      <c r="U384" s="2">
        <v>12042.96</v>
      </c>
      <c r="V384" s="3">
        <v>0.05</v>
      </c>
      <c r="W384" s="2">
        <v>11440.81</v>
      </c>
      <c r="X384" s="2">
        <v>499.21</v>
      </c>
      <c r="Y384" s="3">
        <v>4.363414828145909E-2</v>
      </c>
      <c r="Z384" t="s">
        <v>1495</v>
      </c>
      <c r="AA384" t="s">
        <v>1498</v>
      </c>
      <c r="AB384" t="s">
        <v>1501</v>
      </c>
      <c r="AC384">
        <v>2</v>
      </c>
      <c r="AD384">
        <v>2024</v>
      </c>
      <c r="AE384" t="s">
        <v>2817</v>
      </c>
      <c r="AF384" t="s">
        <v>2829</v>
      </c>
      <c r="AG384" t="s">
        <v>2847</v>
      </c>
      <c r="AH384" t="s">
        <v>2848</v>
      </c>
      <c r="AI384">
        <v>1</v>
      </c>
    </row>
    <row r="385" spans="1:35" x14ac:dyDescent="0.3">
      <c r="A385" t="s">
        <v>377</v>
      </c>
      <c r="B385">
        <v>1</v>
      </c>
      <c r="C385" s="1">
        <v>45580</v>
      </c>
      <c r="D385" s="1">
        <v>45581</v>
      </c>
      <c r="E385" t="s">
        <v>1032</v>
      </c>
      <c r="F385" t="s">
        <v>1756</v>
      </c>
      <c r="G385" t="s">
        <v>1408</v>
      </c>
      <c r="H385" t="s">
        <v>2680</v>
      </c>
      <c r="I385" t="s">
        <v>2739</v>
      </c>
      <c r="J385" t="s">
        <v>2758</v>
      </c>
      <c r="K385" t="s">
        <v>1484</v>
      </c>
      <c r="L385" t="s">
        <v>2778</v>
      </c>
      <c r="M385" t="s">
        <v>2558</v>
      </c>
      <c r="N385" t="s">
        <v>2558</v>
      </c>
      <c r="O385" t="s">
        <v>2603</v>
      </c>
      <c r="P385" t="s">
        <v>2559</v>
      </c>
      <c r="Q385" t="s">
        <v>2559</v>
      </c>
      <c r="R385" t="s">
        <v>2603</v>
      </c>
      <c r="S385" t="s">
        <v>2606</v>
      </c>
      <c r="T385">
        <v>1</v>
      </c>
      <c r="U385" s="2">
        <v>3284.39</v>
      </c>
      <c r="V385" s="3">
        <v>0.2</v>
      </c>
      <c r="W385" s="2">
        <v>2627.51</v>
      </c>
      <c r="X385" s="2">
        <v>231</v>
      </c>
      <c r="Y385" s="3">
        <v>8.7915935619655106E-2</v>
      </c>
      <c r="Z385" t="s">
        <v>2807</v>
      </c>
      <c r="AA385" t="s">
        <v>1498</v>
      </c>
      <c r="AB385" t="s">
        <v>1501</v>
      </c>
      <c r="AC385">
        <v>1</v>
      </c>
      <c r="AD385">
        <v>2024</v>
      </c>
      <c r="AE385" t="s">
        <v>2817</v>
      </c>
      <c r="AF385" t="s">
        <v>2829</v>
      </c>
      <c r="AG385" t="s">
        <v>2847</v>
      </c>
      <c r="AH385" t="s">
        <v>2848</v>
      </c>
      <c r="AI385">
        <v>1</v>
      </c>
    </row>
    <row r="386" spans="1:35" x14ac:dyDescent="0.3">
      <c r="A386" t="s">
        <v>378</v>
      </c>
      <c r="B386">
        <v>1</v>
      </c>
      <c r="C386" s="1">
        <v>45580</v>
      </c>
      <c r="D386" s="1">
        <v>45581</v>
      </c>
      <c r="E386" t="s">
        <v>1167</v>
      </c>
      <c r="F386" t="s">
        <v>1819</v>
      </c>
      <c r="G386" t="s">
        <v>1373</v>
      </c>
      <c r="H386" t="s">
        <v>2696</v>
      </c>
      <c r="I386" t="s">
        <v>2740</v>
      </c>
      <c r="J386" t="s">
        <v>2762</v>
      </c>
      <c r="K386" t="s">
        <v>1490</v>
      </c>
      <c r="L386" t="s">
        <v>2784</v>
      </c>
      <c r="M386" t="s">
        <v>2567</v>
      </c>
      <c r="N386" t="s">
        <v>2585</v>
      </c>
      <c r="O386" t="s">
        <v>2604</v>
      </c>
      <c r="P386" t="s">
        <v>2567</v>
      </c>
      <c r="Q386" t="s">
        <v>2585</v>
      </c>
      <c r="R386" t="s">
        <v>2604</v>
      </c>
      <c r="S386" t="s">
        <v>2608</v>
      </c>
      <c r="T386">
        <v>1</v>
      </c>
      <c r="U386" s="2">
        <v>1404.85</v>
      </c>
      <c r="V386" s="3">
        <v>0.2</v>
      </c>
      <c r="W386" s="2">
        <v>1123.8800000000001</v>
      </c>
      <c r="X386" s="2">
        <v>-149.21</v>
      </c>
      <c r="Y386" s="3">
        <v>-0.132763284336406</v>
      </c>
      <c r="Z386" t="s">
        <v>1496</v>
      </c>
      <c r="AA386" t="s">
        <v>1498</v>
      </c>
      <c r="AB386" t="s">
        <v>1501</v>
      </c>
      <c r="AC386">
        <v>1</v>
      </c>
      <c r="AD386">
        <v>2024</v>
      </c>
      <c r="AE386" t="s">
        <v>2817</v>
      </c>
      <c r="AF386" t="s">
        <v>2829</v>
      </c>
      <c r="AG386" t="s">
        <v>2847</v>
      </c>
      <c r="AH386" t="s">
        <v>2848</v>
      </c>
      <c r="AI386">
        <v>1</v>
      </c>
    </row>
    <row r="387" spans="1:35" x14ac:dyDescent="0.3">
      <c r="A387" t="s">
        <v>379</v>
      </c>
      <c r="B387">
        <v>2</v>
      </c>
      <c r="C387" s="1">
        <v>45581</v>
      </c>
      <c r="D387" s="1">
        <v>45584</v>
      </c>
      <c r="E387" t="s">
        <v>999</v>
      </c>
      <c r="F387" t="s">
        <v>1840</v>
      </c>
      <c r="G387" t="s">
        <v>1395</v>
      </c>
      <c r="H387" t="s">
        <v>2727</v>
      </c>
      <c r="I387" t="s">
        <v>2742</v>
      </c>
      <c r="J387" t="s">
        <v>2771</v>
      </c>
      <c r="K387" t="s">
        <v>1480</v>
      </c>
      <c r="L387" t="s">
        <v>2789</v>
      </c>
      <c r="M387" t="s">
        <v>2567</v>
      </c>
      <c r="N387" t="s">
        <v>2585</v>
      </c>
      <c r="O387" t="s">
        <v>2604</v>
      </c>
      <c r="R387" t="s">
        <v>2790</v>
      </c>
      <c r="S387" t="s">
        <v>2606</v>
      </c>
      <c r="T387">
        <v>1</v>
      </c>
      <c r="U387" s="2">
        <v>5383.63</v>
      </c>
      <c r="V387" s="3">
        <v>0.05</v>
      </c>
      <c r="W387" s="2">
        <v>5114.45</v>
      </c>
      <c r="X387" s="2">
        <v>905.86</v>
      </c>
      <c r="Y387" s="3">
        <v>0.17711777414971311</v>
      </c>
      <c r="Z387" t="s">
        <v>1496</v>
      </c>
      <c r="AA387" t="s">
        <v>1498</v>
      </c>
      <c r="AB387" t="s">
        <v>1501</v>
      </c>
      <c r="AC387">
        <v>3</v>
      </c>
      <c r="AD387">
        <v>2024</v>
      </c>
      <c r="AE387" t="s">
        <v>2817</v>
      </c>
      <c r="AF387" t="s">
        <v>2829</v>
      </c>
      <c r="AG387" t="s">
        <v>2847</v>
      </c>
      <c r="AH387" t="s">
        <v>2848</v>
      </c>
      <c r="AI387">
        <v>1</v>
      </c>
    </row>
    <row r="388" spans="1:35" x14ac:dyDescent="0.3">
      <c r="A388" t="s">
        <v>380</v>
      </c>
      <c r="B388">
        <v>1</v>
      </c>
      <c r="C388" s="1">
        <v>45581</v>
      </c>
      <c r="D388" s="1">
        <v>45582</v>
      </c>
      <c r="E388" t="s">
        <v>1189</v>
      </c>
      <c r="F388" t="s">
        <v>1731</v>
      </c>
      <c r="G388" t="s">
        <v>1346</v>
      </c>
      <c r="H388" t="s">
        <v>2670</v>
      </c>
      <c r="I388" t="s">
        <v>2739</v>
      </c>
      <c r="J388" t="s">
        <v>2756</v>
      </c>
      <c r="K388" t="s">
        <v>1480</v>
      </c>
      <c r="L388" t="s">
        <v>2789</v>
      </c>
      <c r="M388" t="s">
        <v>2568</v>
      </c>
      <c r="N388" t="s">
        <v>2586</v>
      </c>
      <c r="O388" t="s">
        <v>2603</v>
      </c>
      <c r="R388" t="s">
        <v>2790</v>
      </c>
      <c r="S388" t="s">
        <v>2606</v>
      </c>
      <c r="T388">
        <v>2</v>
      </c>
      <c r="U388" s="2">
        <v>3324.39</v>
      </c>
      <c r="V388" s="3">
        <v>0</v>
      </c>
      <c r="W388" s="2">
        <v>6648.78</v>
      </c>
      <c r="X388" s="2">
        <v>2468.04</v>
      </c>
      <c r="Y388" s="3">
        <v>0.37120193479104441</v>
      </c>
      <c r="Z388" t="s">
        <v>1496</v>
      </c>
      <c r="AA388" t="s">
        <v>1499</v>
      </c>
      <c r="AB388" t="s">
        <v>1501</v>
      </c>
      <c r="AC388">
        <v>1</v>
      </c>
      <c r="AD388">
        <v>2024</v>
      </c>
      <c r="AE388" t="s">
        <v>2817</v>
      </c>
      <c r="AF388" t="s">
        <v>2829</v>
      </c>
      <c r="AG388" t="s">
        <v>2847</v>
      </c>
      <c r="AH388" t="s">
        <v>2848</v>
      </c>
      <c r="AI388">
        <v>1</v>
      </c>
    </row>
    <row r="389" spans="1:35" x14ac:dyDescent="0.3">
      <c r="A389" t="s">
        <v>381</v>
      </c>
      <c r="B389">
        <v>3</v>
      </c>
      <c r="C389" s="1">
        <v>45581</v>
      </c>
      <c r="D389" s="1">
        <v>45581</v>
      </c>
      <c r="E389" t="s">
        <v>1071</v>
      </c>
      <c r="F389" t="s">
        <v>1663</v>
      </c>
      <c r="G389" t="s">
        <v>1343</v>
      </c>
      <c r="H389" t="s">
        <v>2646</v>
      </c>
      <c r="I389" t="s">
        <v>2738</v>
      </c>
      <c r="J389" t="s">
        <v>2750</v>
      </c>
      <c r="K389" t="s">
        <v>1485</v>
      </c>
      <c r="L389" t="s">
        <v>2775</v>
      </c>
      <c r="M389" t="s">
        <v>2562</v>
      </c>
      <c r="N389" t="s">
        <v>2574</v>
      </c>
      <c r="O389" t="s">
        <v>2602</v>
      </c>
      <c r="P389" t="s">
        <v>2562</v>
      </c>
      <c r="Q389" t="s">
        <v>2574</v>
      </c>
      <c r="R389" t="s">
        <v>2602</v>
      </c>
      <c r="S389" t="s">
        <v>2606</v>
      </c>
      <c r="T389">
        <v>2</v>
      </c>
      <c r="U389" s="2">
        <v>7138.26</v>
      </c>
      <c r="V389" s="3">
        <v>0.05</v>
      </c>
      <c r="W389" s="2">
        <v>13562.69</v>
      </c>
      <c r="X389" s="2">
        <v>2614.11</v>
      </c>
      <c r="Y389" s="3">
        <v>0.19274273761326111</v>
      </c>
      <c r="Z389" t="s">
        <v>1496</v>
      </c>
      <c r="AA389" t="s">
        <v>1498</v>
      </c>
      <c r="AB389" t="s">
        <v>1501</v>
      </c>
      <c r="AC389">
        <v>0</v>
      </c>
      <c r="AD389">
        <v>2024</v>
      </c>
      <c r="AE389" t="s">
        <v>2817</v>
      </c>
      <c r="AF389" t="s">
        <v>2829</v>
      </c>
      <c r="AG389" t="s">
        <v>2847</v>
      </c>
      <c r="AH389" t="s">
        <v>2848</v>
      </c>
      <c r="AI389">
        <v>1</v>
      </c>
    </row>
    <row r="390" spans="1:35" x14ac:dyDescent="0.3">
      <c r="A390" t="s">
        <v>382</v>
      </c>
      <c r="B390">
        <v>2</v>
      </c>
      <c r="C390" s="1">
        <v>45583</v>
      </c>
      <c r="D390" s="1">
        <v>45583</v>
      </c>
      <c r="E390" t="s">
        <v>1190</v>
      </c>
      <c r="F390" t="s">
        <v>1710</v>
      </c>
      <c r="G390" t="s">
        <v>1463</v>
      </c>
      <c r="H390" t="s">
        <v>2684</v>
      </c>
      <c r="I390" t="s">
        <v>2739</v>
      </c>
      <c r="J390" t="s">
        <v>2759</v>
      </c>
      <c r="K390" t="s">
        <v>1485</v>
      </c>
      <c r="L390" t="s">
        <v>2775</v>
      </c>
      <c r="M390" t="s">
        <v>2551</v>
      </c>
      <c r="N390" t="s">
        <v>2574</v>
      </c>
      <c r="O390" t="s">
        <v>2602</v>
      </c>
      <c r="P390" t="s">
        <v>2562</v>
      </c>
      <c r="Q390" t="s">
        <v>2574</v>
      </c>
      <c r="R390" t="s">
        <v>2602</v>
      </c>
      <c r="S390" t="s">
        <v>2606</v>
      </c>
      <c r="T390">
        <v>1</v>
      </c>
      <c r="U390" s="2">
        <v>2936.96</v>
      </c>
      <c r="V390" s="3">
        <v>0</v>
      </c>
      <c r="W390" s="2">
        <v>2936.96</v>
      </c>
      <c r="X390" s="2">
        <v>960.44</v>
      </c>
      <c r="Y390" s="3">
        <v>0.3270184135977337</v>
      </c>
      <c r="Z390" t="s">
        <v>1494</v>
      </c>
      <c r="AA390" t="s">
        <v>1498</v>
      </c>
      <c r="AB390" t="s">
        <v>1501</v>
      </c>
      <c r="AC390">
        <v>0</v>
      </c>
      <c r="AD390">
        <v>2024</v>
      </c>
      <c r="AE390" t="s">
        <v>2817</v>
      </c>
      <c r="AF390" t="s">
        <v>2829</v>
      </c>
      <c r="AG390" t="s">
        <v>2847</v>
      </c>
      <c r="AH390" t="s">
        <v>2848</v>
      </c>
      <c r="AI390">
        <v>1</v>
      </c>
    </row>
    <row r="391" spans="1:35" x14ac:dyDescent="0.3">
      <c r="A391" t="s">
        <v>382</v>
      </c>
      <c r="B391">
        <v>3</v>
      </c>
      <c r="C391" s="1">
        <v>45583</v>
      </c>
      <c r="D391" s="1">
        <v>45583</v>
      </c>
      <c r="E391" t="s">
        <v>1190</v>
      </c>
      <c r="F391" t="s">
        <v>1710</v>
      </c>
      <c r="G391" t="s">
        <v>1354</v>
      </c>
      <c r="H391" t="s">
        <v>2652</v>
      </c>
      <c r="I391" t="s">
        <v>2738</v>
      </c>
      <c r="J391" t="s">
        <v>2752</v>
      </c>
      <c r="K391" t="s">
        <v>1485</v>
      </c>
      <c r="L391" t="s">
        <v>2775</v>
      </c>
      <c r="M391" t="s">
        <v>2551</v>
      </c>
      <c r="N391" t="s">
        <v>2574</v>
      </c>
      <c r="O391" t="s">
        <v>2602</v>
      </c>
      <c r="P391" t="s">
        <v>2562</v>
      </c>
      <c r="Q391" t="s">
        <v>2574</v>
      </c>
      <c r="R391" t="s">
        <v>2602</v>
      </c>
      <c r="S391" t="s">
        <v>2606</v>
      </c>
      <c r="T391">
        <v>2</v>
      </c>
      <c r="U391" s="2">
        <v>45654.38</v>
      </c>
      <c r="V391" s="3">
        <v>0</v>
      </c>
      <c r="W391" s="2">
        <v>91308.76</v>
      </c>
      <c r="X391" s="2">
        <v>25909</v>
      </c>
      <c r="Y391" s="3">
        <v>0.28375152614053678</v>
      </c>
      <c r="Z391" t="s">
        <v>1494</v>
      </c>
      <c r="AA391" t="s">
        <v>1498</v>
      </c>
      <c r="AB391" t="s">
        <v>1501</v>
      </c>
      <c r="AC391">
        <v>0</v>
      </c>
      <c r="AD391">
        <v>2024</v>
      </c>
      <c r="AE391" t="s">
        <v>2817</v>
      </c>
      <c r="AF391" t="s">
        <v>2829</v>
      </c>
      <c r="AG391" t="s">
        <v>2847</v>
      </c>
      <c r="AH391" t="s">
        <v>2848</v>
      </c>
      <c r="AI391">
        <v>0</v>
      </c>
    </row>
    <row r="392" spans="1:35" x14ac:dyDescent="0.3">
      <c r="A392" t="s">
        <v>383</v>
      </c>
      <c r="B392">
        <v>1</v>
      </c>
      <c r="C392" s="1">
        <v>45584</v>
      </c>
      <c r="D392" s="1">
        <v>45585</v>
      </c>
      <c r="E392" t="s">
        <v>1191</v>
      </c>
      <c r="F392" t="s">
        <v>1650</v>
      </c>
      <c r="G392" t="s">
        <v>1423</v>
      </c>
      <c r="H392" t="s">
        <v>2708</v>
      </c>
      <c r="I392" t="s">
        <v>2741</v>
      </c>
      <c r="J392" t="s">
        <v>2765</v>
      </c>
      <c r="K392" t="s">
        <v>1480</v>
      </c>
      <c r="L392" t="s">
        <v>2789</v>
      </c>
      <c r="M392" t="s">
        <v>2551</v>
      </c>
      <c r="N392" t="s">
        <v>2574</v>
      </c>
      <c r="O392" t="s">
        <v>2602</v>
      </c>
      <c r="R392" t="s">
        <v>2790</v>
      </c>
      <c r="S392" t="s">
        <v>2607</v>
      </c>
      <c r="T392">
        <v>1</v>
      </c>
      <c r="U392" s="2">
        <v>2319.64</v>
      </c>
      <c r="V392" s="3">
        <v>0.05</v>
      </c>
      <c r="W392" s="2">
        <v>2203.66</v>
      </c>
      <c r="X392" s="2">
        <v>706.15</v>
      </c>
      <c r="Y392" s="3">
        <v>0.32044417015329052</v>
      </c>
      <c r="Z392" t="s">
        <v>1495</v>
      </c>
      <c r="AA392" t="s">
        <v>1498</v>
      </c>
      <c r="AB392" t="s">
        <v>1501</v>
      </c>
      <c r="AC392">
        <v>1</v>
      </c>
      <c r="AD392">
        <v>2024</v>
      </c>
      <c r="AE392" t="s">
        <v>2817</v>
      </c>
      <c r="AF392" t="s">
        <v>2829</v>
      </c>
      <c r="AG392" t="s">
        <v>2847</v>
      </c>
      <c r="AH392" t="s">
        <v>2848</v>
      </c>
      <c r="AI392">
        <v>1</v>
      </c>
    </row>
    <row r="393" spans="1:35" x14ac:dyDescent="0.3">
      <c r="A393" t="s">
        <v>384</v>
      </c>
      <c r="B393">
        <v>1</v>
      </c>
      <c r="C393" s="1">
        <v>45584</v>
      </c>
      <c r="D393" s="1">
        <v>45585</v>
      </c>
      <c r="E393" t="s">
        <v>1086</v>
      </c>
      <c r="F393" t="s">
        <v>1840</v>
      </c>
      <c r="G393" t="s">
        <v>1446</v>
      </c>
      <c r="H393" t="s">
        <v>2713</v>
      </c>
      <c r="I393" t="s">
        <v>2741</v>
      </c>
      <c r="J393" t="s">
        <v>2766</v>
      </c>
      <c r="K393" t="s">
        <v>1489</v>
      </c>
      <c r="L393" t="s">
        <v>2787</v>
      </c>
      <c r="M393" t="s">
        <v>2566</v>
      </c>
      <c r="N393" t="s">
        <v>2584</v>
      </c>
      <c r="O393" t="s">
        <v>2601</v>
      </c>
      <c r="P393" t="s">
        <v>2566</v>
      </c>
      <c r="Q393" t="s">
        <v>2584</v>
      </c>
      <c r="R393" t="s">
        <v>2601</v>
      </c>
      <c r="S393" t="s">
        <v>2607</v>
      </c>
      <c r="T393">
        <v>1</v>
      </c>
      <c r="U393" s="2">
        <v>242.83</v>
      </c>
      <c r="V393" s="3">
        <v>0</v>
      </c>
      <c r="W393" s="2">
        <v>242.83</v>
      </c>
      <c r="X393" s="2">
        <v>57.48</v>
      </c>
      <c r="Y393" s="3">
        <v>0.23670880863155291</v>
      </c>
      <c r="Z393" t="s">
        <v>1494</v>
      </c>
      <c r="AA393" t="s">
        <v>1498</v>
      </c>
      <c r="AB393" t="s">
        <v>1501</v>
      </c>
      <c r="AC393">
        <v>1</v>
      </c>
      <c r="AD393">
        <v>2024</v>
      </c>
      <c r="AE393" t="s">
        <v>2817</v>
      </c>
      <c r="AF393" t="s">
        <v>2829</v>
      </c>
      <c r="AG393" t="s">
        <v>2847</v>
      </c>
      <c r="AH393" t="s">
        <v>2848</v>
      </c>
      <c r="AI393">
        <v>1</v>
      </c>
    </row>
    <row r="394" spans="1:35" x14ac:dyDescent="0.3">
      <c r="A394" t="s">
        <v>385</v>
      </c>
      <c r="B394">
        <v>2</v>
      </c>
      <c r="C394" s="1">
        <v>45584</v>
      </c>
      <c r="D394" s="1">
        <v>45586</v>
      </c>
      <c r="E394" t="s">
        <v>1040</v>
      </c>
      <c r="F394" t="s">
        <v>1742</v>
      </c>
      <c r="G394" t="s">
        <v>1458</v>
      </c>
      <c r="H394" t="s">
        <v>2734</v>
      </c>
      <c r="I394" t="s">
        <v>2742</v>
      </c>
      <c r="J394" t="s">
        <v>2772</v>
      </c>
      <c r="K394" t="s">
        <v>1480</v>
      </c>
      <c r="L394" t="s">
        <v>2789</v>
      </c>
      <c r="M394" t="s">
        <v>2568</v>
      </c>
      <c r="N394" t="s">
        <v>2593</v>
      </c>
      <c r="O394" t="s">
        <v>2603</v>
      </c>
      <c r="R394" t="s">
        <v>2790</v>
      </c>
      <c r="S394" t="s">
        <v>2606</v>
      </c>
      <c r="T394">
        <v>1</v>
      </c>
      <c r="U394" s="2">
        <v>6241.95</v>
      </c>
      <c r="V394" s="3">
        <v>0</v>
      </c>
      <c r="W394" s="2">
        <v>6241.95</v>
      </c>
      <c r="X394" s="2">
        <v>1620.83</v>
      </c>
      <c r="Y394" s="3">
        <v>0.25966725141982872</v>
      </c>
      <c r="Z394" t="s">
        <v>1495</v>
      </c>
      <c r="AA394" t="s">
        <v>1498</v>
      </c>
      <c r="AB394" t="s">
        <v>1501</v>
      </c>
      <c r="AC394">
        <v>2</v>
      </c>
      <c r="AD394">
        <v>2024</v>
      </c>
      <c r="AE394" t="s">
        <v>2817</v>
      </c>
      <c r="AF394" t="s">
        <v>2829</v>
      </c>
      <c r="AG394" t="s">
        <v>2847</v>
      </c>
      <c r="AH394" t="s">
        <v>2848</v>
      </c>
      <c r="AI394">
        <v>1</v>
      </c>
    </row>
    <row r="395" spans="1:35" x14ac:dyDescent="0.3">
      <c r="A395" t="s">
        <v>386</v>
      </c>
      <c r="B395">
        <v>1</v>
      </c>
      <c r="C395" s="1">
        <v>45585</v>
      </c>
      <c r="D395" s="1">
        <v>45586</v>
      </c>
      <c r="E395" t="s">
        <v>1100</v>
      </c>
      <c r="F395" t="s">
        <v>1954</v>
      </c>
      <c r="G395" t="s">
        <v>1369</v>
      </c>
      <c r="H395" t="s">
        <v>2725</v>
      </c>
      <c r="I395" t="s">
        <v>2742</v>
      </c>
      <c r="J395" t="s">
        <v>2770</v>
      </c>
      <c r="K395" t="s">
        <v>1485</v>
      </c>
      <c r="L395" t="s">
        <v>2775</v>
      </c>
      <c r="M395" t="s">
        <v>2556</v>
      </c>
      <c r="N395" t="s">
        <v>2574</v>
      </c>
      <c r="O395" t="s">
        <v>2602</v>
      </c>
      <c r="P395" t="s">
        <v>2562</v>
      </c>
      <c r="Q395" t="s">
        <v>2574</v>
      </c>
      <c r="R395" t="s">
        <v>2602</v>
      </c>
      <c r="S395" t="s">
        <v>2608</v>
      </c>
      <c r="T395">
        <v>3</v>
      </c>
      <c r="U395" s="2">
        <v>23968.04</v>
      </c>
      <c r="V395" s="3">
        <v>0</v>
      </c>
      <c r="W395" s="2">
        <v>71904.12</v>
      </c>
      <c r="X395" s="2">
        <v>20090.759999999998</v>
      </c>
      <c r="Y395" s="3">
        <v>0.27941041486913398</v>
      </c>
      <c r="Z395" t="s">
        <v>1494</v>
      </c>
      <c r="AA395" t="s">
        <v>1498</v>
      </c>
      <c r="AB395" t="s">
        <v>1501</v>
      </c>
      <c r="AC395">
        <v>1</v>
      </c>
      <c r="AD395">
        <v>2024</v>
      </c>
      <c r="AE395" t="s">
        <v>2817</v>
      </c>
      <c r="AF395" t="s">
        <v>2829</v>
      </c>
      <c r="AG395" t="s">
        <v>2847</v>
      </c>
      <c r="AH395" t="s">
        <v>2848</v>
      </c>
      <c r="AI395">
        <v>1</v>
      </c>
    </row>
    <row r="396" spans="1:35" x14ac:dyDescent="0.3">
      <c r="A396" t="s">
        <v>387</v>
      </c>
      <c r="B396">
        <v>1</v>
      </c>
      <c r="C396" s="1">
        <v>45586</v>
      </c>
      <c r="D396" s="1">
        <v>45587</v>
      </c>
      <c r="E396" t="s">
        <v>1192</v>
      </c>
      <c r="F396" t="s">
        <v>1975</v>
      </c>
      <c r="G396" t="s">
        <v>1407</v>
      </c>
      <c r="H396" t="s">
        <v>2687</v>
      </c>
      <c r="I396" t="s">
        <v>2740</v>
      </c>
      <c r="J396" t="s">
        <v>2760</v>
      </c>
      <c r="K396" t="s">
        <v>1492</v>
      </c>
      <c r="L396" t="s">
        <v>2788</v>
      </c>
      <c r="M396" t="s">
        <v>2572</v>
      </c>
      <c r="N396" t="s">
        <v>2582</v>
      </c>
      <c r="O396" t="s">
        <v>2601</v>
      </c>
      <c r="P396" t="s">
        <v>2554</v>
      </c>
      <c r="Q396" t="s">
        <v>2577</v>
      </c>
      <c r="R396" t="s">
        <v>2601</v>
      </c>
      <c r="S396" t="s">
        <v>2606</v>
      </c>
      <c r="T396">
        <v>1</v>
      </c>
      <c r="U396" s="2">
        <v>810.23</v>
      </c>
      <c r="V396" s="3">
        <v>0</v>
      </c>
      <c r="W396" s="2">
        <v>810.23</v>
      </c>
      <c r="X396" s="2">
        <v>91.79</v>
      </c>
      <c r="Y396" s="3">
        <v>0.1132888192241709</v>
      </c>
      <c r="Z396" t="s">
        <v>1496</v>
      </c>
      <c r="AA396" t="s">
        <v>1498</v>
      </c>
      <c r="AB396" t="s">
        <v>1501</v>
      </c>
      <c r="AC396">
        <v>1</v>
      </c>
      <c r="AD396">
        <v>2024</v>
      </c>
      <c r="AE396" t="s">
        <v>2817</v>
      </c>
      <c r="AF396" t="s">
        <v>2829</v>
      </c>
      <c r="AG396" t="s">
        <v>2847</v>
      </c>
      <c r="AH396" t="s">
        <v>2848</v>
      </c>
      <c r="AI396">
        <v>1</v>
      </c>
    </row>
    <row r="397" spans="1:35" x14ac:dyDescent="0.3">
      <c r="A397" t="s">
        <v>388</v>
      </c>
      <c r="B397">
        <v>1</v>
      </c>
      <c r="C397" s="1">
        <v>45586</v>
      </c>
      <c r="D397" s="1">
        <v>45589</v>
      </c>
      <c r="E397" t="s">
        <v>998</v>
      </c>
      <c r="F397" t="s">
        <v>1999</v>
      </c>
      <c r="G397" t="s">
        <v>1401</v>
      </c>
      <c r="H397" t="s">
        <v>2618</v>
      </c>
      <c r="I397" t="s">
        <v>2737</v>
      </c>
      <c r="J397" t="s">
        <v>2744</v>
      </c>
      <c r="K397" t="s">
        <v>1480</v>
      </c>
      <c r="L397" t="s">
        <v>2789</v>
      </c>
      <c r="M397" t="s">
        <v>2555</v>
      </c>
      <c r="N397" t="s">
        <v>2578</v>
      </c>
      <c r="O397" t="s">
        <v>2603</v>
      </c>
      <c r="R397" t="s">
        <v>2790</v>
      </c>
      <c r="S397" t="s">
        <v>2606</v>
      </c>
      <c r="T397">
        <v>1</v>
      </c>
      <c r="U397" s="2">
        <v>50900.49</v>
      </c>
      <c r="V397" s="3">
        <v>0</v>
      </c>
      <c r="W397" s="2">
        <v>50900.49</v>
      </c>
      <c r="X397" s="2">
        <v>7930.74</v>
      </c>
      <c r="Y397" s="3">
        <v>0.15580871618328229</v>
      </c>
      <c r="Z397" t="s">
        <v>1496</v>
      </c>
      <c r="AA397" t="s">
        <v>1498</v>
      </c>
      <c r="AB397" t="s">
        <v>1501</v>
      </c>
      <c r="AC397">
        <v>3</v>
      </c>
      <c r="AD397">
        <v>2024</v>
      </c>
      <c r="AE397" t="s">
        <v>2817</v>
      </c>
      <c r="AF397" t="s">
        <v>2829</v>
      </c>
      <c r="AG397" t="s">
        <v>2847</v>
      </c>
      <c r="AH397" t="s">
        <v>2848</v>
      </c>
      <c r="AI397">
        <v>1</v>
      </c>
    </row>
    <row r="398" spans="1:35" x14ac:dyDescent="0.3">
      <c r="A398" t="s">
        <v>389</v>
      </c>
      <c r="B398">
        <v>2</v>
      </c>
      <c r="C398" s="1">
        <v>45586</v>
      </c>
      <c r="D398" s="1">
        <v>45588</v>
      </c>
      <c r="E398" t="s">
        <v>1193</v>
      </c>
      <c r="F398" t="s">
        <v>1844</v>
      </c>
      <c r="G398" t="s">
        <v>1448</v>
      </c>
      <c r="H398" t="s">
        <v>2679</v>
      </c>
      <c r="I398" t="s">
        <v>2739</v>
      </c>
      <c r="J398" t="s">
        <v>2758</v>
      </c>
      <c r="K398" t="s">
        <v>1480</v>
      </c>
      <c r="L398" t="s">
        <v>2789</v>
      </c>
      <c r="M398" t="s">
        <v>2563</v>
      </c>
      <c r="N398" t="s">
        <v>2581</v>
      </c>
      <c r="O398" t="s">
        <v>2604</v>
      </c>
      <c r="R398" t="s">
        <v>2790</v>
      </c>
      <c r="S398" t="s">
        <v>2608</v>
      </c>
      <c r="T398">
        <v>2</v>
      </c>
      <c r="U398" s="2">
        <v>579.75</v>
      </c>
      <c r="V398" s="3">
        <v>0.05</v>
      </c>
      <c r="W398" s="2">
        <v>1101.52</v>
      </c>
      <c r="X398" s="2">
        <v>318.54000000000002</v>
      </c>
      <c r="Y398" s="3">
        <v>0.28918222093107709</v>
      </c>
      <c r="Z398" t="s">
        <v>1494</v>
      </c>
      <c r="AA398" t="s">
        <v>1498</v>
      </c>
      <c r="AB398" t="s">
        <v>1501</v>
      </c>
      <c r="AC398">
        <v>2</v>
      </c>
      <c r="AD398">
        <v>2024</v>
      </c>
      <c r="AE398" t="s">
        <v>2817</v>
      </c>
      <c r="AF398" t="s">
        <v>2829</v>
      </c>
      <c r="AG398" t="s">
        <v>2847</v>
      </c>
      <c r="AH398" t="s">
        <v>2848</v>
      </c>
      <c r="AI398">
        <v>1</v>
      </c>
    </row>
    <row r="399" spans="1:35" x14ac:dyDescent="0.3">
      <c r="A399" t="s">
        <v>390</v>
      </c>
      <c r="B399">
        <v>1</v>
      </c>
      <c r="C399" s="1">
        <v>45586</v>
      </c>
      <c r="D399" s="1">
        <v>45587</v>
      </c>
      <c r="E399" t="s">
        <v>1082</v>
      </c>
      <c r="F399" t="s">
        <v>1857</v>
      </c>
      <c r="G399" t="s">
        <v>1331</v>
      </c>
      <c r="H399" t="s">
        <v>2706</v>
      </c>
      <c r="I399" t="s">
        <v>2741</v>
      </c>
      <c r="J399" t="s">
        <v>2765</v>
      </c>
      <c r="K399" t="s">
        <v>1489</v>
      </c>
      <c r="L399" t="s">
        <v>2787</v>
      </c>
      <c r="M399" t="s">
        <v>2554</v>
      </c>
      <c r="N399" t="s">
        <v>2577</v>
      </c>
      <c r="O399" t="s">
        <v>2601</v>
      </c>
      <c r="P399" t="s">
        <v>2566</v>
      </c>
      <c r="Q399" t="s">
        <v>2584</v>
      </c>
      <c r="R399" t="s">
        <v>2601</v>
      </c>
      <c r="S399" t="s">
        <v>2606</v>
      </c>
      <c r="T399">
        <v>1</v>
      </c>
      <c r="U399" s="2">
        <v>1520.12</v>
      </c>
      <c r="V399" s="3">
        <v>0.1</v>
      </c>
      <c r="W399" s="2">
        <v>1368.11</v>
      </c>
      <c r="X399" s="2">
        <v>395.68</v>
      </c>
      <c r="Y399" s="3">
        <v>0.28921651036831841</v>
      </c>
      <c r="Z399" t="s">
        <v>1496</v>
      </c>
      <c r="AA399" t="s">
        <v>1499</v>
      </c>
      <c r="AB399" t="s">
        <v>1501</v>
      </c>
      <c r="AC399">
        <v>1</v>
      </c>
      <c r="AD399">
        <v>2024</v>
      </c>
      <c r="AE399" t="s">
        <v>2817</v>
      </c>
      <c r="AF399" t="s">
        <v>2829</v>
      </c>
      <c r="AG399" t="s">
        <v>2847</v>
      </c>
      <c r="AH399" t="s">
        <v>2848</v>
      </c>
      <c r="AI399">
        <v>1</v>
      </c>
    </row>
    <row r="400" spans="1:35" x14ac:dyDescent="0.3">
      <c r="A400" t="s">
        <v>391</v>
      </c>
      <c r="B400">
        <v>1</v>
      </c>
      <c r="C400" s="1">
        <v>45588</v>
      </c>
      <c r="D400" s="1">
        <v>45589</v>
      </c>
      <c r="E400" t="s">
        <v>1194</v>
      </c>
      <c r="F400" t="s">
        <v>1921</v>
      </c>
      <c r="G400" t="s">
        <v>1464</v>
      </c>
      <c r="H400" t="s">
        <v>2718</v>
      </c>
      <c r="I400" t="s">
        <v>2741</v>
      </c>
      <c r="J400" t="s">
        <v>2768</v>
      </c>
      <c r="K400" t="s">
        <v>1480</v>
      </c>
      <c r="L400" t="s">
        <v>2789</v>
      </c>
      <c r="M400" t="s">
        <v>2561</v>
      </c>
      <c r="N400" t="s">
        <v>2580</v>
      </c>
      <c r="O400" t="s">
        <v>2601</v>
      </c>
      <c r="R400" t="s">
        <v>2790</v>
      </c>
      <c r="S400" t="s">
        <v>2606</v>
      </c>
      <c r="T400">
        <v>1</v>
      </c>
      <c r="U400" s="2">
        <v>575.37</v>
      </c>
      <c r="V400" s="3">
        <v>0</v>
      </c>
      <c r="W400" s="2">
        <v>575.37</v>
      </c>
      <c r="X400" s="2">
        <v>180.95</v>
      </c>
      <c r="Y400" s="3">
        <v>0.31449328258338111</v>
      </c>
      <c r="Z400" t="s">
        <v>1494</v>
      </c>
      <c r="AA400" t="s">
        <v>1499</v>
      </c>
      <c r="AB400" t="s">
        <v>1501</v>
      </c>
      <c r="AC400">
        <v>1</v>
      </c>
      <c r="AD400">
        <v>2024</v>
      </c>
      <c r="AE400" t="s">
        <v>2817</v>
      </c>
      <c r="AF400" t="s">
        <v>2829</v>
      </c>
      <c r="AG400" t="s">
        <v>2847</v>
      </c>
      <c r="AH400" t="s">
        <v>2848</v>
      </c>
      <c r="AI400">
        <v>1</v>
      </c>
    </row>
    <row r="401" spans="1:35" x14ac:dyDescent="0.3">
      <c r="A401" t="s">
        <v>392</v>
      </c>
      <c r="B401">
        <v>1</v>
      </c>
      <c r="C401" s="1">
        <v>45588</v>
      </c>
      <c r="D401" s="1">
        <v>45590</v>
      </c>
      <c r="E401" t="s">
        <v>1195</v>
      </c>
      <c r="F401" t="s">
        <v>1813</v>
      </c>
      <c r="G401" t="s">
        <v>1352</v>
      </c>
      <c r="H401" t="s">
        <v>2666</v>
      </c>
      <c r="I401" t="s">
        <v>2739</v>
      </c>
      <c r="J401" t="s">
        <v>2755</v>
      </c>
      <c r="K401" t="s">
        <v>1480</v>
      </c>
      <c r="L401" t="s">
        <v>2789</v>
      </c>
      <c r="M401" t="s">
        <v>2555</v>
      </c>
      <c r="N401" t="s">
        <v>2578</v>
      </c>
      <c r="O401" t="s">
        <v>2603</v>
      </c>
      <c r="R401" t="s">
        <v>2790</v>
      </c>
      <c r="S401" t="s">
        <v>2606</v>
      </c>
      <c r="T401">
        <v>1</v>
      </c>
      <c r="U401" s="2">
        <v>3696.44</v>
      </c>
      <c r="V401" s="3">
        <v>0</v>
      </c>
      <c r="W401" s="2">
        <v>3696.44</v>
      </c>
      <c r="X401" s="2">
        <v>1613.88</v>
      </c>
      <c r="Y401" s="3">
        <v>0.43660386750495073</v>
      </c>
      <c r="Z401" t="s">
        <v>1495</v>
      </c>
      <c r="AA401" t="s">
        <v>1498</v>
      </c>
      <c r="AB401" t="s">
        <v>1501</v>
      </c>
      <c r="AC401">
        <v>2</v>
      </c>
      <c r="AD401">
        <v>2024</v>
      </c>
      <c r="AE401" t="s">
        <v>2817</v>
      </c>
      <c r="AF401" t="s">
        <v>2829</v>
      </c>
      <c r="AG401" t="s">
        <v>2847</v>
      </c>
      <c r="AH401" t="s">
        <v>2848</v>
      </c>
      <c r="AI401">
        <v>1</v>
      </c>
    </row>
    <row r="402" spans="1:35" x14ac:dyDescent="0.3">
      <c r="A402" t="s">
        <v>393</v>
      </c>
      <c r="B402">
        <v>1</v>
      </c>
      <c r="C402" s="1">
        <v>45589</v>
      </c>
      <c r="D402" s="1">
        <v>45590</v>
      </c>
      <c r="E402" t="s">
        <v>1196</v>
      </c>
      <c r="F402" t="s">
        <v>1982</v>
      </c>
      <c r="G402" t="s">
        <v>1456</v>
      </c>
      <c r="H402" t="s">
        <v>2653</v>
      </c>
      <c r="I402" t="s">
        <v>2738</v>
      </c>
      <c r="J402" t="s">
        <v>2752</v>
      </c>
      <c r="K402" t="s">
        <v>1488</v>
      </c>
      <c r="L402" t="s">
        <v>2780</v>
      </c>
      <c r="M402" t="s">
        <v>2555</v>
      </c>
      <c r="N402" t="s">
        <v>2578</v>
      </c>
      <c r="O402" t="s">
        <v>2603</v>
      </c>
      <c r="P402" t="s">
        <v>2552</v>
      </c>
      <c r="Q402" t="s">
        <v>2575</v>
      </c>
      <c r="R402" t="s">
        <v>2603</v>
      </c>
      <c r="S402" t="s">
        <v>2606</v>
      </c>
      <c r="T402">
        <v>1</v>
      </c>
      <c r="U402" s="2">
        <v>43108.17</v>
      </c>
      <c r="V402" s="3">
        <v>0.05</v>
      </c>
      <c r="W402" s="2">
        <v>40952.76</v>
      </c>
      <c r="X402" s="2">
        <v>5375.21</v>
      </c>
      <c r="Y402" s="3">
        <v>0.13125391304517689</v>
      </c>
      <c r="Z402" t="s">
        <v>1496</v>
      </c>
      <c r="AA402" t="s">
        <v>1500</v>
      </c>
      <c r="AB402" t="s">
        <v>1501</v>
      </c>
      <c r="AC402">
        <v>1</v>
      </c>
      <c r="AD402">
        <v>2024</v>
      </c>
      <c r="AE402" t="s">
        <v>2817</v>
      </c>
      <c r="AF402" t="s">
        <v>2829</v>
      </c>
      <c r="AG402" t="s">
        <v>2847</v>
      </c>
      <c r="AH402" t="s">
        <v>2848</v>
      </c>
      <c r="AI402">
        <v>1</v>
      </c>
    </row>
    <row r="403" spans="1:35" x14ac:dyDescent="0.3">
      <c r="A403" t="s">
        <v>394</v>
      </c>
      <c r="B403">
        <v>1</v>
      </c>
      <c r="C403" s="1">
        <v>45590</v>
      </c>
      <c r="D403" s="1">
        <v>45592</v>
      </c>
      <c r="E403" t="s">
        <v>1197</v>
      </c>
      <c r="F403" t="s">
        <v>1927</v>
      </c>
      <c r="G403" t="s">
        <v>1465</v>
      </c>
      <c r="H403" t="s">
        <v>2665</v>
      </c>
      <c r="I403" t="s">
        <v>2739</v>
      </c>
      <c r="J403" t="s">
        <v>2755</v>
      </c>
      <c r="K403" t="s">
        <v>1480</v>
      </c>
      <c r="L403" t="s">
        <v>2789</v>
      </c>
      <c r="M403" t="s">
        <v>2570</v>
      </c>
      <c r="N403" t="s">
        <v>2590</v>
      </c>
      <c r="O403" t="s">
        <v>2605</v>
      </c>
      <c r="R403" t="s">
        <v>2790</v>
      </c>
      <c r="S403" t="s">
        <v>2606</v>
      </c>
      <c r="T403">
        <v>1</v>
      </c>
      <c r="U403" s="2">
        <v>2687.95</v>
      </c>
      <c r="V403" s="3">
        <v>0</v>
      </c>
      <c r="W403" s="2">
        <v>2687.95</v>
      </c>
      <c r="X403" s="2">
        <v>1191.42</v>
      </c>
      <c r="Y403" s="3">
        <v>0.44324485202477731</v>
      </c>
      <c r="Z403" t="s">
        <v>1496</v>
      </c>
      <c r="AA403" t="s">
        <v>1499</v>
      </c>
      <c r="AB403" t="s">
        <v>1501</v>
      </c>
      <c r="AC403">
        <v>2</v>
      </c>
      <c r="AD403">
        <v>2024</v>
      </c>
      <c r="AE403" t="s">
        <v>2817</v>
      </c>
      <c r="AF403" t="s">
        <v>2829</v>
      </c>
      <c r="AG403" t="s">
        <v>2847</v>
      </c>
      <c r="AH403" t="s">
        <v>2848</v>
      </c>
      <c r="AI403">
        <v>1</v>
      </c>
    </row>
    <row r="404" spans="1:35" x14ac:dyDescent="0.3">
      <c r="A404" t="s">
        <v>395</v>
      </c>
      <c r="B404">
        <v>1</v>
      </c>
      <c r="C404" s="1">
        <v>45590</v>
      </c>
      <c r="D404" s="1">
        <v>45593</v>
      </c>
      <c r="E404" t="s">
        <v>1156</v>
      </c>
      <c r="F404" t="s">
        <v>1729</v>
      </c>
      <c r="G404" t="s">
        <v>1456</v>
      </c>
      <c r="H404" t="s">
        <v>2653</v>
      </c>
      <c r="I404" t="s">
        <v>2738</v>
      </c>
      <c r="J404" t="s">
        <v>2752</v>
      </c>
      <c r="K404" t="s">
        <v>1480</v>
      </c>
      <c r="L404" t="s">
        <v>2789</v>
      </c>
      <c r="M404" t="s">
        <v>2570</v>
      </c>
      <c r="N404" t="s">
        <v>2590</v>
      </c>
      <c r="O404" t="s">
        <v>2605</v>
      </c>
      <c r="R404" t="s">
        <v>2790</v>
      </c>
      <c r="S404" t="s">
        <v>2606</v>
      </c>
      <c r="T404">
        <v>1</v>
      </c>
      <c r="U404" s="2">
        <v>43108.17</v>
      </c>
      <c r="V404" s="3">
        <v>0</v>
      </c>
      <c r="W404" s="2">
        <v>43108.17</v>
      </c>
      <c r="X404" s="2">
        <v>7530.62</v>
      </c>
      <c r="Y404" s="3">
        <v>0.1746912476219705</v>
      </c>
      <c r="Z404" t="s">
        <v>1494</v>
      </c>
      <c r="AA404" t="s">
        <v>1499</v>
      </c>
      <c r="AB404" t="s">
        <v>1501</v>
      </c>
      <c r="AC404">
        <v>3</v>
      </c>
      <c r="AD404">
        <v>2024</v>
      </c>
      <c r="AE404" t="s">
        <v>2817</v>
      </c>
      <c r="AF404" t="s">
        <v>2829</v>
      </c>
      <c r="AG404" t="s">
        <v>2847</v>
      </c>
      <c r="AH404" t="s">
        <v>2848</v>
      </c>
      <c r="AI404">
        <v>1</v>
      </c>
    </row>
    <row r="405" spans="1:35" x14ac:dyDescent="0.3">
      <c r="A405" t="s">
        <v>396</v>
      </c>
      <c r="B405">
        <v>1</v>
      </c>
      <c r="C405" s="1">
        <v>45590</v>
      </c>
      <c r="D405" s="1">
        <v>45590</v>
      </c>
      <c r="E405" t="s">
        <v>1198</v>
      </c>
      <c r="F405" t="s">
        <v>1829</v>
      </c>
      <c r="G405" t="s">
        <v>1453</v>
      </c>
      <c r="H405" t="s">
        <v>2706</v>
      </c>
      <c r="I405" t="s">
        <v>2741</v>
      </c>
      <c r="J405" t="s">
        <v>2765</v>
      </c>
      <c r="K405" t="s">
        <v>1487</v>
      </c>
      <c r="L405" t="s">
        <v>2785</v>
      </c>
      <c r="M405" t="s">
        <v>2561</v>
      </c>
      <c r="N405" t="s">
        <v>2580</v>
      </c>
      <c r="O405" t="s">
        <v>2601</v>
      </c>
      <c r="P405" t="s">
        <v>2550</v>
      </c>
      <c r="Q405" t="s">
        <v>2573</v>
      </c>
      <c r="R405" t="s">
        <v>2601</v>
      </c>
      <c r="S405" t="s">
        <v>2608</v>
      </c>
      <c r="T405">
        <v>1</v>
      </c>
      <c r="U405" s="2">
        <v>507.34</v>
      </c>
      <c r="V405" s="3">
        <v>0</v>
      </c>
      <c r="W405" s="2">
        <v>507.34</v>
      </c>
      <c r="X405" s="2">
        <v>193.87</v>
      </c>
      <c r="Y405" s="3">
        <v>0.38213032680253878</v>
      </c>
      <c r="Z405" t="s">
        <v>1495</v>
      </c>
      <c r="AA405" t="s">
        <v>1498</v>
      </c>
      <c r="AB405" t="s">
        <v>1501</v>
      </c>
      <c r="AC405">
        <v>0</v>
      </c>
      <c r="AD405">
        <v>2024</v>
      </c>
      <c r="AE405" t="s">
        <v>2817</v>
      </c>
      <c r="AF405" t="s">
        <v>2829</v>
      </c>
      <c r="AG405" t="s">
        <v>2847</v>
      </c>
      <c r="AH405" t="s">
        <v>2848</v>
      </c>
      <c r="AI405">
        <v>1</v>
      </c>
    </row>
    <row r="406" spans="1:35" x14ac:dyDescent="0.3">
      <c r="A406" t="s">
        <v>397</v>
      </c>
      <c r="B406">
        <v>1</v>
      </c>
      <c r="C406" s="1">
        <v>45590</v>
      </c>
      <c r="D406" s="1">
        <v>45591</v>
      </c>
      <c r="E406" t="s">
        <v>1174</v>
      </c>
      <c r="F406" t="s">
        <v>1963</v>
      </c>
      <c r="G406" t="s">
        <v>1415</v>
      </c>
      <c r="H406" t="s">
        <v>2668</v>
      </c>
      <c r="I406" t="s">
        <v>2739</v>
      </c>
      <c r="J406" t="s">
        <v>2756</v>
      </c>
      <c r="K406" t="s">
        <v>1490</v>
      </c>
      <c r="L406" t="s">
        <v>2784</v>
      </c>
      <c r="M406" t="s">
        <v>2569</v>
      </c>
      <c r="N406" t="s">
        <v>2594</v>
      </c>
      <c r="O406" t="s">
        <v>2604</v>
      </c>
      <c r="P406" t="s">
        <v>2567</v>
      </c>
      <c r="Q406" t="s">
        <v>2585</v>
      </c>
      <c r="R406" t="s">
        <v>2604</v>
      </c>
      <c r="S406" t="s">
        <v>2606</v>
      </c>
      <c r="T406">
        <v>1</v>
      </c>
      <c r="U406" s="2">
        <v>4772.1499999999996</v>
      </c>
      <c r="V406" s="3">
        <v>0</v>
      </c>
      <c r="W406" s="2">
        <v>4772.1499999999996</v>
      </c>
      <c r="X406" s="2">
        <v>1210.06</v>
      </c>
      <c r="Y406" s="3">
        <v>0.25356705049086892</v>
      </c>
      <c r="Z406" t="s">
        <v>1493</v>
      </c>
      <c r="AA406" t="s">
        <v>1500</v>
      </c>
      <c r="AB406" t="s">
        <v>1501</v>
      </c>
      <c r="AC406">
        <v>1</v>
      </c>
      <c r="AD406">
        <v>2024</v>
      </c>
      <c r="AE406" t="s">
        <v>2817</v>
      </c>
      <c r="AF406" t="s">
        <v>2829</v>
      </c>
      <c r="AG406" t="s">
        <v>2847</v>
      </c>
      <c r="AH406" t="s">
        <v>2848</v>
      </c>
      <c r="AI406">
        <v>1</v>
      </c>
    </row>
    <row r="407" spans="1:35" x14ac:dyDescent="0.3">
      <c r="A407" t="s">
        <v>397</v>
      </c>
      <c r="B407">
        <v>2</v>
      </c>
      <c r="C407" s="1">
        <v>45590</v>
      </c>
      <c r="D407" s="1">
        <v>45591</v>
      </c>
      <c r="E407" t="s">
        <v>1174</v>
      </c>
      <c r="F407" t="s">
        <v>1963</v>
      </c>
      <c r="G407" t="s">
        <v>1446</v>
      </c>
      <c r="H407" t="s">
        <v>2713</v>
      </c>
      <c r="I407" t="s">
        <v>2741</v>
      </c>
      <c r="J407" t="s">
        <v>2766</v>
      </c>
      <c r="K407" t="s">
        <v>1490</v>
      </c>
      <c r="L407" t="s">
        <v>2784</v>
      </c>
      <c r="M407" t="s">
        <v>2569</v>
      </c>
      <c r="N407" t="s">
        <v>2594</v>
      </c>
      <c r="O407" t="s">
        <v>2604</v>
      </c>
      <c r="P407" t="s">
        <v>2567</v>
      </c>
      <c r="Q407" t="s">
        <v>2585</v>
      </c>
      <c r="R407" t="s">
        <v>2604</v>
      </c>
      <c r="S407" t="s">
        <v>2606</v>
      </c>
      <c r="T407">
        <v>3</v>
      </c>
      <c r="U407" s="2">
        <v>242.83</v>
      </c>
      <c r="V407" s="3">
        <v>0.15</v>
      </c>
      <c r="W407" s="2">
        <v>619.22</v>
      </c>
      <c r="X407" s="2">
        <v>63.17</v>
      </c>
      <c r="Y407" s="3">
        <v>0.1020154387778173</v>
      </c>
      <c r="Z407" t="s">
        <v>1493</v>
      </c>
      <c r="AA407" t="s">
        <v>1500</v>
      </c>
      <c r="AB407" t="s">
        <v>1501</v>
      </c>
      <c r="AC407">
        <v>1</v>
      </c>
      <c r="AD407">
        <v>2024</v>
      </c>
      <c r="AE407" t="s">
        <v>2817</v>
      </c>
      <c r="AF407" t="s">
        <v>2829</v>
      </c>
      <c r="AG407" t="s">
        <v>2847</v>
      </c>
      <c r="AH407" t="s">
        <v>2848</v>
      </c>
      <c r="AI407">
        <v>0</v>
      </c>
    </row>
    <row r="408" spans="1:35" x14ac:dyDescent="0.3">
      <c r="A408" t="s">
        <v>398</v>
      </c>
      <c r="B408">
        <v>1</v>
      </c>
      <c r="C408" s="1">
        <v>45590</v>
      </c>
      <c r="D408" s="1">
        <v>45591</v>
      </c>
      <c r="E408" t="s">
        <v>1199</v>
      </c>
      <c r="F408" t="s">
        <v>1834</v>
      </c>
      <c r="G408" t="s">
        <v>1346</v>
      </c>
      <c r="H408" t="s">
        <v>2670</v>
      </c>
      <c r="I408" t="s">
        <v>2739</v>
      </c>
      <c r="J408" t="s">
        <v>2756</v>
      </c>
      <c r="K408" t="s">
        <v>1480</v>
      </c>
      <c r="L408" t="s">
        <v>2789</v>
      </c>
      <c r="M408" t="s">
        <v>2569</v>
      </c>
      <c r="N408" t="s">
        <v>2587</v>
      </c>
      <c r="O408" t="s">
        <v>2604</v>
      </c>
      <c r="R408" t="s">
        <v>2790</v>
      </c>
      <c r="S408" t="s">
        <v>2608</v>
      </c>
      <c r="T408">
        <v>1</v>
      </c>
      <c r="U408" s="2">
        <v>3324.39</v>
      </c>
      <c r="V408" s="3">
        <v>0</v>
      </c>
      <c r="W408" s="2">
        <v>3324.39</v>
      </c>
      <c r="X408" s="2">
        <v>1234.02</v>
      </c>
      <c r="Y408" s="3">
        <v>0.37120193479104441</v>
      </c>
      <c r="Z408" t="s">
        <v>1495</v>
      </c>
      <c r="AA408" t="s">
        <v>1499</v>
      </c>
      <c r="AB408" t="s">
        <v>1501</v>
      </c>
      <c r="AC408">
        <v>1</v>
      </c>
      <c r="AD408">
        <v>2024</v>
      </c>
      <c r="AE408" t="s">
        <v>2817</v>
      </c>
      <c r="AF408" t="s">
        <v>2829</v>
      </c>
      <c r="AG408" t="s">
        <v>2847</v>
      </c>
      <c r="AH408" t="s">
        <v>2848</v>
      </c>
      <c r="AI408">
        <v>1</v>
      </c>
    </row>
    <row r="409" spans="1:35" x14ac:dyDescent="0.3">
      <c r="A409" t="s">
        <v>399</v>
      </c>
      <c r="B409">
        <v>1</v>
      </c>
      <c r="C409" s="1">
        <v>45590</v>
      </c>
      <c r="D409" s="1">
        <v>45591</v>
      </c>
      <c r="E409" t="s">
        <v>1172</v>
      </c>
      <c r="F409" t="s">
        <v>1778</v>
      </c>
      <c r="G409" t="s">
        <v>1340</v>
      </c>
      <c r="H409" t="s">
        <v>2680</v>
      </c>
      <c r="I409" t="s">
        <v>2739</v>
      </c>
      <c r="J409" t="s">
        <v>2758</v>
      </c>
      <c r="K409" t="s">
        <v>1480</v>
      </c>
      <c r="L409" t="s">
        <v>2789</v>
      </c>
      <c r="M409" t="s">
        <v>2569</v>
      </c>
      <c r="N409" t="s">
        <v>2587</v>
      </c>
      <c r="O409" t="s">
        <v>2604</v>
      </c>
      <c r="R409" t="s">
        <v>2790</v>
      </c>
      <c r="S409" t="s">
        <v>2606</v>
      </c>
      <c r="T409">
        <v>2</v>
      </c>
      <c r="U409" s="2">
        <v>5570.6</v>
      </c>
      <c r="V409" s="3">
        <v>0</v>
      </c>
      <c r="W409" s="2">
        <v>11141.2</v>
      </c>
      <c r="X409" s="2">
        <v>3006.14</v>
      </c>
      <c r="Y409" s="3">
        <v>0.26982192223458867</v>
      </c>
      <c r="Z409" t="s">
        <v>1495</v>
      </c>
      <c r="AA409" t="s">
        <v>1498</v>
      </c>
      <c r="AB409" t="s">
        <v>1501</v>
      </c>
      <c r="AC409">
        <v>1</v>
      </c>
      <c r="AD409">
        <v>2024</v>
      </c>
      <c r="AE409" t="s">
        <v>2817</v>
      </c>
      <c r="AF409" t="s">
        <v>2829</v>
      </c>
      <c r="AG409" t="s">
        <v>2847</v>
      </c>
      <c r="AH409" t="s">
        <v>2848</v>
      </c>
      <c r="AI409">
        <v>1</v>
      </c>
    </row>
    <row r="410" spans="1:35" x14ac:dyDescent="0.3">
      <c r="A410" t="s">
        <v>400</v>
      </c>
      <c r="B410">
        <v>1</v>
      </c>
      <c r="C410" s="1">
        <v>45592</v>
      </c>
      <c r="D410" s="1">
        <v>45592</v>
      </c>
      <c r="E410" t="s">
        <v>1082</v>
      </c>
      <c r="F410" t="s">
        <v>1857</v>
      </c>
      <c r="G410" t="s">
        <v>1378</v>
      </c>
      <c r="H410" t="s">
        <v>2704</v>
      </c>
      <c r="I410" t="s">
        <v>2740</v>
      </c>
      <c r="J410" t="s">
        <v>2764</v>
      </c>
      <c r="K410" t="s">
        <v>1487</v>
      </c>
      <c r="L410" t="s">
        <v>2785</v>
      </c>
      <c r="M410" t="s">
        <v>2554</v>
      </c>
      <c r="N410" t="s">
        <v>2577</v>
      </c>
      <c r="O410" t="s">
        <v>2601</v>
      </c>
      <c r="P410" t="s">
        <v>2550</v>
      </c>
      <c r="Q410" t="s">
        <v>2573</v>
      </c>
      <c r="R410" t="s">
        <v>2601</v>
      </c>
      <c r="S410" t="s">
        <v>2606</v>
      </c>
      <c r="T410">
        <v>1</v>
      </c>
      <c r="U410" s="2">
        <v>1378.78</v>
      </c>
      <c r="V410" s="3">
        <v>0.15</v>
      </c>
      <c r="W410" s="2">
        <v>1171.96</v>
      </c>
      <c r="X410" s="2">
        <v>-30.16</v>
      </c>
      <c r="Y410" s="3">
        <v>-2.5734666712174479E-2</v>
      </c>
      <c r="Z410" t="s">
        <v>1496</v>
      </c>
      <c r="AA410" t="s">
        <v>1498</v>
      </c>
      <c r="AB410" t="s">
        <v>1501</v>
      </c>
      <c r="AC410">
        <v>0</v>
      </c>
      <c r="AD410">
        <v>2024</v>
      </c>
      <c r="AE410" t="s">
        <v>2817</v>
      </c>
      <c r="AF410" t="s">
        <v>2829</v>
      </c>
      <c r="AG410" t="s">
        <v>2847</v>
      </c>
      <c r="AH410" t="s">
        <v>2848</v>
      </c>
      <c r="AI410">
        <v>1</v>
      </c>
    </row>
    <row r="411" spans="1:35" x14ac:dyDescent="0.3">
      <c r="A411" t="s">
        <v>401</v>
      </c>
      <c r="B411">
        <v>1</v>
      </c>
      <c r="C411" s="1">
        <v>45593</v>
      </c>
      <c r="D411" s="1">
        <v>45594</v>
      </c>
      <c r="E411" t="s">
        <v>1200</v>
      </c>
      <c r="F411" t="s">
        <v>1872</v>
      </c>
      <c r="G411" t="s">
        <v>1341</v>
      </c>
      <c r="H411" t="s">
        <v>2678</v>
      </c>
      <c r="I411" t="s">
        <v>2739</v>
      </c>
      <c r="J411" t="s">
        <v>2758</v>
      </c>
      <c r="K411" t="s">
        <v>1486</v>
      </c>
      <c r="L411" t="s">
        <v>2776</v>
      </c>
      <c r="M411" t="s">
        <v>2557</v>
      </c>
      <c r="N411" t="s">
        <v>2576</v>
      </c>
      <c r="O411" t="s">
        <v>2602</v>
      </c>
      <c r="P411" t="s">
        <v>2551</v>
      </c>
      <c r="Q411" t="s">
        <v>2574</v>
      </c>
      <c r="R411" t="s">
        <v>2602</v>
      </c>
      <c r="S411" t="s">
        <v>2606</v>
      </c>
      <c r="T411">
        <v>1</v>
      </c>
      <c r="U411" s="2">
        <v>1648.45</v>
      </c>
      <c r="V411" s="3">
        <v>0</v>
      </c>
      <c r="W411" s="2">
        <v>1648.45</v>
      </c>
      <c r="X411" s="2">
        <v>494.33</v>
      </c>
      <c r="Y411" s="3">
        <v>0.29987564075343498</v>
      </c>
      <c r="Z411" t="s">
        <v>1496</v>
      </c>
      <c r="AA411" t="s">
        <v>1498</v>
      </c>
      <c r="AB411" t="s">
        <v>1501</v>
      </c>
      <c r="AC411">
        <v>1</v>
      </c>
      <c r="AD411">
        <v>2024</v>
      </c>
      <c r="AE411" t="s">
        <v>2817</v>
      </c>
      <c r="AF411" t="s">
        <v>2829</v>
      </c>
      <c r="AG411" t="s">
        <v>2847</v>
      </c>
      <c r="AH411" t="s">
        <v>2848</v>
      </c>
      <c r="AI411">
        <v>1</v>
      </c>
    </row>
    <row r="412" spans="1:35" x14ac:dyDescent="0.3">
      <c r="A412" t="s">
        <v>402</v>
      </c>
      <c r="B412">
        <v>2</v>
      </c>
      <c r="C412" s="1">
        <v>45594</v>
      </c>
      <c r="D412" s="1">
        <v>45594</v>
      </c>
      <c r="E412" t="s">
        <v>1201</v>
      </c>
      <c r="F412" t="s">
        <v>1727</v>
      </c>
      <c r="G412" t="s">
        <v>1398</v>
      </c>
      <c r="H412" t="s">
        <v>2724</v>
      </c>
      <c r="I412" t="s">
        <v>2742</v>
      </c>
      <c r="J412" t="s">
        <v>2770</v>
      </c>
      <c r="K412" t="s">
        <v>1485</v>
      </c>
      <c r="L412" t="s">
        <v>2775</v>
      </c>
      <c r="M412" t="s">
        <v>2553</v>
      </c>
      <c r="N412" t="s">
        <v>2576</v>
      </c>
      <c r="O412" t="s">
        <v>2602</v>
      </c>
      <c r="P412" t="s">
        <v>2562</v>
      </c>
      <c r="Q412" t="s">
        <v>2574</v>
      </c>
      <c r="R412" t="s">
        <v>2602</v>
      </c>
      <c r="S412" t="s">
        <v>2608</v>
      </c>
      <c r="T412">
        <v>1</v>
      </c>
      <c r="U412" s="2">
        <v>21441.39</v>
      </c>
      <c r="V412" s="3">
        <v>0.2</v>
      </c>
      <c r="W412" s="2">
        <v>17153.11</v>
      </c>
      <c r="X412" s="2">
        <v>-34.44</v>
      </c>
      <c r="Y412" s="3">
        <v>-2.007799168780472E-3</v>
      </c>
      <c r="Z412" t="s">
        <v>1494</v>
      </c>
      <c r="AA412" t="s">
        <v>1498</v>
      </c>
      <c r="AB412" t="s">
        <v>1501</v>
      </c>
      <c r="AC412">
        <v>0</v>
      </c>
      <c r="AD412">
        <v>2024</v>
      </c>
      <c r="AE412" t="s">
        <v>2817</v>
      </c>
      <c r="AF412" t="s">
        <v>2829</v>
      </c>
      <c r="AG412" t="s">
        <v>2847</v>
      </c>
      <c r="AH412" t="s">
        <v>2848</v>
      </c>
      <c r="AI412">
        <v>1</v>
      </c>
    </row>
    <row r="413" spans="1:35" x14ac:dyDescent="0.3">
      <c r="A413" t="s">
        <v>403</v>
      </c>
      <c r="B413">
        <v>1</v>
      </c>
      <c r="C413" s="1">
        <v>45594</v>
      </c>
      <c r="E413" t="s">
        <v>989</v>
      </c>
      <c r="F413" t="s">
        <v>1758</v>
      </c>
      <c r="G413" t="s">
        <v>1453</v>
      </c>
      <c r="H413" t="s">
        <v>2706</v>
      </c>
      <c r="I413" t="s">
        <v>2741</v>
      </c>
      <c r="J413" t="s">
        <v>2765</v>
      </c>
      <c r="K413" t="s">
        <v>1482</v>
      </c>
      <c r="L413" t="s">
        <v>2783</v>
      </c>
      <c r="M413" t="s">
        <v>2563</v>
      </c>
      <c r="N413" t="s">
        <v>2581</v>
      </c>
      <c r="O413" t="s">
        <v>2604</v>
      </c>
      <c r="P413" t="s">
        <v>2560</v>
      </c>
      <c r="Q413" t="s">
        <v>2579</v>
      </c>
      <c r="R413" t="s">
        <v>2604</v>
      </c>
      <c r="S413" t="s">
        <v>2606</v>
      </c>
      <c r="T413">
        <v>1</v>
      </c>
      <c r="U413" s="2">
        <v>507.34</v>
      </c>
      <c r="V413" s="3">
        <v>0</v>
      </c>
      <c r="W413" s="2">
        <v>507.34</v>
      </c>
      <c r="X413" s="2">
        <v>193.87</v>
      </c>
      <c r="Y413" s="3">
        <v>0.38213032680253878</v>
      </c>
      <c r="Z413" t="s">
        <v>1495</v>
      </c>
      <c r="AA413" t="s">
        <v>1498</v>
      </c>
      <c r="AB413" t="s">
        <v>1503</v>
      </c>
      <c r="AD413">
        <v>2024</v>
      </c>
      <c r="AE413" t="s">
        <v>2817</v>
      </c>
      <c r="AF413" t="s">
        <v>2829</v>
      </c>
      <c r="AG413" t="s">
        <v>2847</v>
      </c>
      <c r="AH413" t="s">
        <v>2848</v>
      </c>
      <c r="AI413">
        <v>1</v>
      </c>
    </row>
    <row r="414" spans="1:35" x14ac:dyDescent="0.3">
      <c r="A414" t="s">
        <v>404</v>
      </c>
      <c r="B414">
        <v>1</v>
      </c>
      <c r="C414" s="1">
        <v>45594</v>
      </c>
      <c r="D414" s="1">
        <v>45597</v>
      </c>
      <c r="E414" t="s">
        <v>1007</v>
      </c>
      <c r="F414" t="s">
        <v>1733</v>
      </c>
      <c r="G414" t="s">
        <v>1388</v>
      </c>
      <c r="H414" t="s">
        <v>2662</v>
      </c>
      <c r="I414" t="s">
        <v>2739</v>
      </c>
      <c r="J414" t="s">
        <v>2755</v>
      </c>
      <c r="K414" t="s">
        <v>1480</v>
      </c>
      <c r="L414" t="s">
        <v>2789</v>
      </c>
      <c r="M414" t="s">
        <v>2552</v>
      </c>
      <c r="N414" t="s">
        <v>2575</v>
      </c>
      <c r="O414" t="s">
        <v>2603</v>
      </c>
      <c r="R414" t="s">
        <v>2790</v>
      </c>
      <c r="S414" t="s">
        <v>2607</v>
      </c>
      <c r="T414">
        <v>1</v>
      </c>
      <c r="U414" s="2">
        <v>5746.05</v>
      </c>
      <c r="V414" s="3">
        <v>0</v>
      </c>
      <c r="W414" s="2">
        <v>5746.05</v>
      </c>
      <c r="X414" s="2">
        <v>1765.7</v>
      </c>
      <c r="Y414" s="3">
        <v>0.30728935529624701</v>
      </c>
      <c r="Z414" t="s">
        <v>1497</v>
      </c>
      <c r="AA414" t="s">
        <v>1500</v>
      </c>
      <c r="AB414" t="s">
        <v>1501</v>
      </c>
      <c r="AC414">
        <v>3</v>
      </c>
      <c r="AD414">
        <v>2024</v>
      </c>
      <c r="AE414" t="s">
        <v>2817</v>
      </c>
      <c r="AF414" t="s">
        <v>2829</v>
      </c>
      <c r="AG414" t="s">
        <v>2847</v>
      </c>
      <c r="AH414" t="s">
        <v>2848</v>
      </c>
      <c r="AI414">
        <v>1</v>
      </c>
    </row>
    <row r="415" spans="1:35" x14ac:dyDescent="0.3">
      <c r="A415" t="s">
        <v>405</v>
      </c>
      <c r="B415">
        <v>1</v>
      </c>
      <c r="C415" s="1">
        <v>45595</v>
      </c>
      <c r="D415" s="1">
        <v>45598</v>
      </c>
      <c r="E415" t="s">
        <v>1143</v>
      </c>
      <c r="F415" t="s">
        <v>2038</v>
      </c>
      <c r="G415" t="s">
        <v>1448</v>
      </c>
      <c r="H415" t="s">
        <v>2679</v>
      </c>
      <c r="I415" t="s">
        <v>2739</v>
      </c>
      <c r="J415" t="s">
        <v>2758</v>
      </c>
      <c r="K415" t="s">
        <v>1480</v>
      </c>
      <c r="L415" t="s">
        <v>2789</v>
      </c>
      <c r="M415" t="s">
        <v>2551</v>
      </c>
      <c r="N415" t="s">
        <v>2574</v>
      </c>
      <c r="O415" t="s">
        <v>2602</v>
      </c>
      <c r="R415" t="s">
        <v>2790</v>
      </c>
      <c r="S415" t="s">
        <v>2606</v>
      </c>
      <c r="T415">
        <v>1</v>
      </c>
      <c r="U415" s="2">
        <v>579.75</v>
      </c>
      <c r="V415" s="3">
        <v>0.2</v>
      </c>
      <c r="W415" s="2">
        <v>463.8</v>
      </c>
      <c r="X415" s="2">
        <v>72.31</v>
      </c>
      <c r="Y415" s="3">
        <v>0.15590771884432941</v>
      </c>
      <c r="Z415" t="s">
        <v>1496</v>
      </c>
      <c r="AA415" t="s">
        <v>1498</v>
      </c>
      <c r="AB415" t="s">
        <v>1501</v>
      </c>
      <c r="AC415">
        <v>3</v>
      </c>
      <c r="AD415">
        <v>2024</v>
      </c>
      <c r="AE415" t="s">
        <v>2817</v>
      </c>
      <c r="AF415" t="s">
        <v>2829</v>
      </c>
      <c r="AG415" t="s">
        <v>2847</v>
      </c>
      <c r="AH415" t="s">
        <v>2848</v>
      </c>
      <c r="AI415">
        <v>1</v>
      </c>
    </row>
    <row r="416" spans="1:35" x14ac:dyDescent="0.3">
      <c r="A416" t="s">
        <v>406</v>
      </c>
      <c r="B416">
        <v>1</v>
      </c>
      <c r="C416" s="1">
        <v>45595</v>
      </c>
      <c r="D416" s="1">
        <v>45597</v>
      </c>
      <c r="E416" t="s">
        <v>1202</v>
      </c>
      <c r="F416" t="s">
        <v>1908</v>
      </c>
      <c r="G416" t="s">
        <v>1389</v>
      </c>
      <c r="H416" t="s">
        <v>2703</v>
      </c>
      <c r="I416" t="s">
        <v>2740</v>
      </c>
      <c r="J416" t="s">
        <v>2764</v>
      </c>
      <c r="K416" t="s">
        <v>1480</v>
      </c>
      <c r="L416" t="s">
        <v>2789</v>
      </c>
      <c r="M416" t="s">
        <v>2552</v>
      </c>
      <c r="N416" t="s">
        <v>2575</v>
      </c>
      <c r="O416" t="s">
        <v>2603</v>
      </c>
      <c r="R416" t="s">
        <v>2790</v>
      </c>
      <c r="S416" t="s">
        <v>2606</v>
      </c>
      <c r="T416">
        <v>1</v>
      </c>
      <c r="U416" s="2">
        <v>676.97</v>
      </c>
      <c r="V416" s="3">
        <v>0</v>
      </c>
      <c r="W416" s="2">
        <v>676.97</v>
      </c>
      <c r="X416" s="2">
        <v>54.29</v>
      </c>
      <c r="Y416" s="3">
        <v>8.0195577352024455E-2</v>
      </c>
      <c r="Z416" t="s">
        <v>1496</v>
      </c>
      <c r="AA416" t="s">
        <v>1498</v>
      </c>
      <c r="AB416" t="s">
        <v>1501</v>
      </c>
      <c r="AC416">
        <v>2</v>
      </c>
      <c r="AD416">
        <v>2024</v>
      </c>
      <c r="AE416" t="s">
        <v>2817</v>
      </c>
      <c r="AF416" t="s">
        <v>2829</v>
      </c>
      <c r="AG416" t="s">
        <v>2847</v>
      </c>
      <c r="AH416" t="s">
        <v>2848</v>
      </c>
      <c r="AI416">
        <v>1</v>
      </c>
    </row>
    <row r="417" spans="1:35" x14ac:dyDescent="0.3">
      <c r="A417" t="s">
        <v>407</v>
      </c>
      <c r="B417">
        <v>2</v>
      </c>
      <c r="C417" s="1">
        <v>45596</v>
      </c>
      <c r="D417" s="1">
        <v>45596</v>
      </c>
      <c r="E417" t="s">
        <v>1203</v>
      </c>
      <c r="F417" t="s">
        <v>2037</v>
      </c>
      <c r="G417" t="s">
        <v>1414</v>
      </c>
      <c r="H417" t="s">
        <v>2641</v>
      </c>
      <c r="I417" t="s">
        <v>2738</v>
      </c>
      <c r="J417" t="s">
        <v>2749</v>
      </c>
      <c r="K417" t="s">
        <v>1481</v>
      </c>
      <c r="L417" t="s">
        <v>2777</v>
      </c>
      <c r="M417" t="s">
        <v>2553</v>
      </c>
      <c r="N417" t="s">
        <v>2576</v>
      </c>
      <c r="O417" t="s">
        <v>2602</v>
      </c>
      <c r="P417" t="s">
        <v>2557</v>
      </c>
      <c r="Q417" t="s">
        <v>2576</v>
      </c>
      <c r="R417" t="s">
        <v>2602</v>
      </c>
      <c r="S417" t="s">
        <v>2608</v>
      </c>
      <c r="T417">
        <v>1</v>
      </c>
      <c r="U417" s="2">
        <v>20329.61</v>
      </c>
      <c r="V417" s="3">
        <v>0.1</v>
      </c>
      <c r="W417" s="2">
        <v>18296.650000000001</v>
      </c>
      <c r="X417" s="2">
        <v>2929.42</v>
      </c>
      <c r="Y417" s="3">
        <v>0.16010690481590889</v>
      </c>
      <c r="Z417" t="s">
        <v>1495</v>
      </c>
      <c r="AA417" t="s">
        <v>1498</v>
      </c>
      <c r="AB417" t="s">
        <v>1501</v>
      </c>
      <c r="AC417">
        <v>0</v>
      </c>
      <c r="AD417">
        <v>2024</v>
      </c>
      <c r="AE417" t="s">
        <v>2817</v>
      </c>
      <c r="AF417" t="s">
        <v>2829</v>
      </c>
      <c r="AG417" t="s">
        <v>2847</v>
      </c>
      <c r="AH417" t="s">
        <v>2848</v>
      </c>
      <c r="AI417">
        <v>1</v>
      </c>
    </row>
    <row r="418" spans="1:35" x14ac:dyDescent="0.3">
      <c r="A418" t="s">
        <v>408</v>
      </c>
      <c r="B418">
        <v>1</v>
      </c>
      <c r="C418" s="1">
        <v>45596</v>
      </c>
      <c r="D418" s="1">
        <v>45597</v>
      </c>
      <c r="E418" t="s">
        <v>1066</v>
      </c>
      <c r="F418" t="s">
        <v>1808</v>
      </c>
      <c r="G418" t="s">
        <v>1382</v>
      </c>
      <c r="H418" t="s">
        <v>2697</v>
      </c>
      <c r="I418" t="s">
        <v>2740</v>
      </c>
      <c r="J418" t="s">
        <v>2762</v>
      </c>
      <c r="K418" t="s">
        <v>1481</v>
      </c>
      <c r="L418" t="s">
        <v>2777</v>
      </c>
      <c r="M418" t="s">
        <v>2551</v>
      </c>
      <c r="N418" t="s">
        <v>2574</v>
      </c>
      <c r="O418" t="s">
        <v>2602</v>
      </c>
      <c r="P418" t="s">
        <v>2557</v>
      </c>
      <c r="Q418" t="s">
        <v>2576</v>
      </c>
      <c r="R418" t="s">
        <v>2602</v>
      </c>
      <c r="S418" t="s">
        <v>2607</v>
      </c>
      <c r="T418">
        <v>1</v>
      </c>
      <c r="U418" s="2">
        <v>561.82000000000005</v>
      </c>
      <c r="V418" s="3">
        <v>0</v>
      </c>
      <c r="W418" s="2">
        <v>561.82000000000005</v>
      </c>
      <c r="X418" s="2">
        <v>45.76</v>
      </c>
      <c r="Y418" s="3">
        <v>8.1449574596845958E-2</v>
      </c>
      <c r="Z418" t="s">
        <v>1494</v>
      </c>
      <c r="AA418" t="s">
        <v>1498</v>
      </c>
      <c r="AB418" t="s">
        <v>1501</v>
      </c>
      <c r="AC418">
        <v>1</v>
      </c>
      <c r="AD418">
        <v>2024</v>
      </c>
      <c r="AE418" t="s">
        <v>2817</v>
      </c>
      <c r="AF418" t="s">
        <v>2829</v>
      </c>
      <c r="AG418" t="s">
        <v>2847</v>
      </c>
      <c r="AH418" t="s">
        <v>2848</v>
      </c>
      <c r="AI418">
        <v>1</v>
      </c>
    </row>
    <row r="419" spans="1:35" x14ac:dyDescent="0.3">
      <c r="A419" t="s">
        <v>409</v>
      </c>
      <c r="B419">
        <v>2</v>
      </c>
      <c r="C419" s="1">
        <v>45597</v>
      </c>
      <c r="D419" s="1">
        <v>45599</v>
      </c>
      <c r="E419" t="s">
        <v>1204</v>
      </c>
      <c r="F419" t="s">
        <v>1848</v>
      </c>
      <c r="G419" t="s">
        <v>1415</v>
      </c>
      <c r="H419" t="s">
        <v>2668</v>
      </c>
      <c r="I419" t="s">
        <v>2739</v>
      </c>
      <c r="J419" t="s">
        <v>2756</v>
      </c>
      <c r="K419" t="s">
        <v>1480</v>
      </c>
      <c r="L419" t="s">
        <v>2789</v>
      </c>
      <c r="M419" t="s">
        <v>2562</v>
      </c>
      <c r="N419" t="s">
        <v>2574</v>
      </c>
      <c r="O419" t="s">
        <v>2602</v>
      </c>
      <c r="R419" t="s">
        <v>2790</v>
      </c>
      <c r="S419" t="s">
        <v>2606</v>
      </c>
      <c r="T419">
        <v>2</v>
      </c>
      <c r="U419" s="2">
        <v>4772.1499999999996</v>
      </c>
      <c r="V419" s="3">
        <v>0</v>
      </c>
      <c r="W419" s="2">
        <v>9544.2999999999993</v>
      </c>
      <c r="X419" s="2">
        <v>2420.12</v>
      </c>
      <c r="Y419" s="3">
        <v>0.25356705049086892</v>
      </c>
      <c r="Z419" t="s">
        <v>1496</v>
      </c>
      <c r="AA419" t="s">
        <v>1499</v>
      </c>
      <c r="AB419" t="s">
        <v>1501</v>
      </c>
      <c r="AC419">
        <v>2</v>
      </c>
      <c r="AD419">
        <v>2024</v>
      </c>
      <c r="AE419" t="s">
        <v>2818</v>
      </c>
      <c r="AF419" t="s">
        <v>2830</v>
      </c>
      <c r="AG419" t="s">
        <v>2847</v>
      </c>
      <c r="AH419" t="s">
        <v>2848</v>
      </c>
      <c r="AI419">
        <v>1</v>
      </c>
    </row>
    <row r="420" spans="1:35" x14ac:dyDescent="0.3">
      <c r="A420" t="s">
        <v>410</v>
      </c>
      <c r="B420">
        <v>1</v>
      </c>
      <c r="C420" s="1">
        <v>45598</v>
      </c>
      <c r="D420" s="1">
        <v>45599</v>
      </c>
      <c r="E420" t="s">
        <v>1205</v>
      </c>
      <c r="F420" t="s">
        <v>2046</v>
      </c>
      <c r="G420" t="s">
        <v>1394</v>
      </c>
      <c r="H420" t="s">
        <v>2664</v>
      </c>
      <c r="I420" t="s">
        <v>2739</v>
      </c>
      <c r="J420" t="s">
        <v>2755</v>
      </c>
      <c r="K420" t="s">
        <v>1486</v>
      </c>
      <c r="L420" t="s">
        <v>2776</v>
      </c>
      <c r="M420" t="s">
        <v>2562</v>
      </c>
      <c r="N420" t="s">
        <v>2574</v>
      </c>
      <c r="O420" t="s">
        <v>2602</v>
      </c>
      <c r="P420" t="s">
        <v>2551</v>
      </c>
      <c r="Q420" t="s">
        <v>2574</v>
      </c>
      <c r="R420" t="s">
        <v>2602</v>
      </c>
      <c r="S420" t="s">
        <v>2608</v>
      </c>
      <c r="T420">
        <v>1</v>
      </c>
      <c r="U420" s="2">
        <v>902.62</v>
      </c>
      <c r="V420" s="3">
        <v>0.15</v>
      </c>
      <c r="W420" s="2">
        <v>767.23</v>
      </c>
      <c r="X420" s="2">
        <v>115.6</v>
      </c>
      <c r="Y420" s="3">
        <v>0.15067189760567229</v>
      </c>
      <c r="Z420" t="s">
        <v>1494</v>
      </c>
      <c r="AA420" t="s">
        <v>1498</v>
      </c>
      <c r="AB420" t="s">
        <v>1501</v>
      </c>
      <c r="AC420">
        <v>1</v>
      </c>
      <c r="AD420">
        <v>2024</v>
      </c>
      <c r="AE420" t="s">
        <v>2818</v>
      </c>
      <c r="AF420" t="s">
        <v>2830</v>
      </c>
      <c r="AG420" t="s">
        <v>2847</v>
      </c>
      <c r="AH420" t="s">
        <v>2848</v>
      </c>
      <c r="AI420">
        <v>1</v>
      </c>
    </row>
    <row r="421" spans="1:35" x14ac:dyDescent="0.3">
      <c r="A421" t="s">
        <v>411</v>
      </c>
      <c r="B421">
        <v>1</v>
      </c>
      <c r="C421" s="1">
        <v>45598</v>
      </c>
      <c r="D421" s="1">
        <v>45601</v>
      </c>
      <c r="E421" t="s">
        <v>1137</v>
      </c>
      <c r="F421" t="s">
        <v>1922</v>
      </c>
      <c r="G421" t="s">
        <v>1412</v>
      </c>
      <c r="H421" t="s">
        <v>2615</v>
      </c>
      <c r="I421" t="s">
        <v>2737</v>
      </c>
      <c r="J421" t="s">
        <v>2743</v>
      </c>
      <c r="K421" t="s">
        <v>1480</v>
      </c>
      <c r="L421" t="s">
        <v>2789</v>
      </c>
      <c r="M421" t="s">
        <v>2550</v>
      </c>
      <c r="N421" t="s">
        <v>2573</v>
      </c>
      <c r="O421" t="s">
        <v>2601</v>
      </c>
      <c r="R421" t="s">
        <v>2790</v>
      </c>
      <c r="S421" t="s">
        <v>2608</v>
      </c>
      <c r="T421">
        <v>1</v>
      </c>
      <c r="U421" s="2">
        <v>78073.17</v>
      </c>
      <c r="V421" s="3">
        <v>0</v>
      </c>
      <c r="W421" s="2">
        <v>78073.17</v>
      </c>
      <c r="X421" s="2">
        <v>12188.31</v>
      </c>
      <c r="Y421" s="3">
        <v>0.15611393773302659</v>
      </c>
      <c r="Z421" t="s">
        <v>1496</v>
      </c>
      <c r="AA421" t="s">
        <v>1498</v>
      </c>
      <c r="AB421" t="s">
        <v>1501</v>
      </c>
      <c r="AC421">
        <v>3</v>
      </c>
      <c r="AD421">
        <v>2024</v>
      </c>
      <c r="AE421" t="s">
        <v>2818</v>
      </c>
      <c r="AF421" t="s">
        <v>2830</v>
      </c>
      <c r="AG421" t="s">
        <v>2847</v>
      </c>
      <c r="AH421" t="s">
        <v>2848</v>
      </c>
      <c r="AI421">
        <v>1</v>
      </c>
    </row>
    <row r="422" spans="1:35" x14ac:dyDescent="0.3">
      <c r="A422" t="s">
        <v>412</v>
      </c>
      <c r="B422">
        <v>2</v>
      </c>
      <c r="C422" s="1">
        <v>45598</v>
      </c>
      <c r="D422" s="1">
        <v>45599</v>
      </c>
      <c r="E422" t="s">
        <v>1206</v>
      </c>
      <c r="F422" t="s">
        <v>1728</v>
      </c>
      <c r="G422" t="s">
        <v>1341</v>
      </c>
      <c r="H422" t="s">
        <v>2678</v>
      </c>
      <c r="I422" t="s">
        <v>2739</v>
      </c>
      <c r="J422" t="s">
        <v>2758</v>
      </c>
      <c r="K422" t="s">
        <v>1480</v>
      </c>
      <c r="L422" t="s">
        <v>2789</v>
      </c>
      <c r="M422" t="s">
        <v>2570</v>
      </c>
      <c r="N422" t="s">
        <v>2590</v>
      </c>
      <c r="O422" t="s">
        <v>2605</v>
      </c>
      <c r="R422" t="s">
        <v>2790</v>
      </c>
      <c r="S422" t="s">
        <v>2606</v>
      </c>
      <c r="T422">
        <v>1</v>
      </c>
      <c r="U422" s="2">
        <v>1648.45</v>
      </c>
      <c r="V422" s="3">
        <v>0.25</v>
      </c>
      <c r="W422" s="2">
        <v>1236.3399999999999</v>
      </c>
      <c r="X422" s="2">
        <v>82.22</v>
      </c>
      <c r="Y422" s="3">
        <v>6.6502741964184611E-2</v>
      </c>
      <c r="Z422" t="s">
        <v>1494</v>
      </c>
      <c r="AA422" t="s">
        <v>1498</v>
      </c>
      <c r="AB422" t="s">
        <v>1501</v>
      </c>
      <c r="AC422">
        <v>1</v>
      </c>
      <c r="AD422">
        <v>2024</v>
      </c>
      <c r="AE422" t="s">
        <v>2818</v>
      </c>
      <c r="AF422" t="s">
        <v>2830</v>
      </c>
      <c r="AG422" t="s">
        <v>2847</v>
      </c>
      <c r="AH422" t="s">
        <v>2848</v>
      </c>
      <c r="AI422">
        <v>1</v>
      </c>
    </row>
    <row r="423" spans="1:35" x14ac:dyDescent="0.3">
      <c r="A423" t="s">
        <v>413</v>
      </c>
      <c r="B423">
        <v>1</v>
      </c>
      <c r="C423" s="1">
        <v>45600</v>
      </c>
      <c r="D423" s="1">
        <v>45603</v>
      </c>
      <c r="E423" t="s">
        <v>1207</v>
      </c>
      <c r="F423" t="s">
        <v>1898</v>
      </c>
      <c r="G423" t="s">
        <v>1370</v>
      </c>
      <c r="H423" t="s">
        <v>2633</v>
      </c>
      <c r="I423" t="s">
        <v>2737</v>
      </c>
      <c r="J423" t="s">
        <v>2747</v>
      </c>
      <c r="K423" t="s">
        <v>1480</v>
      </c>
      <c r="L423" t="s">
        <v>2789</v>
      </c>
      <c r="M423" t="s">
        <v>2565</v>
      </c>
      <c r="N423" t="s">
        <v>2583</v>
      </c>
      <c r="O423" t="s">
        <v>2604</v>
      </c>
      <c r="R423" t="s">
        <v>2790</v>
      </c>
      <c r="S423" t="s">
        <v>2606</v>
      </c>
      <c r="T423">
        <v>1</v>
      </c>
      <c r="U423" s="2">
        <v>19480.22</v>
      </c>
      <c r="V423" s="3">
        <v>0</v>
      </c>
      <c r="W423" s="2">
        <v>19480.22</v>
      </c>
      <c r="X423" s="2">
        <v>1671.99</v>
      </c>
      <c r="Y423" s="3">
        <v>8.5830139495344501E-2</v>
      </c>
      <c r="Z423" t="s">
        <v>1495</v>
      </c>
      <c r="AA423" t="s">
        <v>1498</v>
      </c>
      <c r="AB423" t="s">
        <v>1501</v>
      </c>
      <c r="AC423">
        <v>3</v>
      </c>
      <c r="AD423">
        <v>2024</v>
      </c>
      <c r="AE423" t="s">
        <v>2818</v>
      </c>
      <c r="AF423" t="s">
        <v>2830</v>
      </c>
      <c r="AG423" t="s">
        <v>2847</v>
      </c>
      <c r="AH423" t="s">
        <v>2848</v>
      </c>
      <c r="AI423">
        <v>1</v>
      </c>
    </row>
    <row r="424" spans="1:35" x14ac:dyDescent="0.3">
      <c r="A424" t="s">
        <v>414</v>
      </c>
      <c r="B424">
        <v>1</v>
      </c>
      <c r="C424" s="1">
        <v>45604</v>
      </c>
      <c r="D424" s="1">
        <v>45604</v>
      </c>
      <c r="E424" t="s">
        <v>1110</v>
      </c>
      <c r="F424" t="s">
        <v>1777</v>
      </c>
      <c r="G424" t="s">
        <v>1338</v>
      </c>
      <c r="H424" t="s">
        <v>2693</v>
      </c>
      <c r="I424" t="s">
        <v>2740</v>
      </c>
      <c r="J424" t="s">
        <v>2761</v>
      </c>
      <c r="K424" t="s">
        <v>1491</v>
      </c>
      <c r="L424" t="s">
        <v>2779</v>
      </c>
      <c r="M424" t="s">
        <v>2558</v>
      </c>
      <c r="N424" t="s">
        <v>2558</v>
      </c>
      <c r="O424" t="s">
        <v>2603</v>
      </c>
      <c r="P424" t="s">
        <v>2555</v>
      </c>
      <c r="Q424" t="s">
        <v>2578</v>
      </c>
      <c r="R424" t="s">
        <v>2603</v>
      </c>
      <c r="S424" t="s">
        <v>2607</v>
      </c>
      <c r="T424">
        <v>3</v>
      </c>
      <c r="U424" s="2">
        <v>1151.02</v>
      </c>
      <c r="V424" s="3">
        <v>0.15</v>
      </c>
      <c r="W424" s="2">
        <v>2935.1</v>
      </c>
      <c r="X424" s="2">
        <v>-69.31</v>
      </c>
      <c r="Y424" s="3">
        <v>-2.361418691015638E-2</v>
      </c>
      <c r="Z424" t="s">
        <v>1496</v>
      </c>
      <c r="AA424" t="s">
        <v>1498</v>
      </c>
      <c r="AB424" t="s">
        <v>1501</v>
      </c>
      <c r="AC424">
        <v>0</v>
      </c>
      <c r="AD424">
        <v>2024</v>
      </c>
      <c r="AE424" t="s">
        <v>2818</v>
      </c>
      <c r="AF424" t="s">
        <v>2830</v>
      </c>
      <c r="AG424" t="s">
        <v>2847</v>
      </c>
      <c r="AH424" t="s">
        <v>2848</v>
      </c>
      <c r="AI424">
        <v>1</v>
      </c>
    </row>
    <row r="425" spans="1:35" x14ac:dyDescent="0.3">
      <c r="A425" t="s">
        <v>415</v>
      </c>
      <c r="B425">
        <v>2</v>
      </c>
      <c r="C425" s="1">
        <v>45604</v>
      </c>
      <c r="D425" s="1">
        <v>45605</v>
      </c>
      <c r="E425" t="s">
        <v>1172</v>
      </c>
      <c r="F425" t="s">
        <v>1778</v>
      </c>
      <c r="G425" t="s">
        <v>1412</v>
      </c>
      <c r="H425" t="s">
        <v>2615</v>
      </c>
      <c r="I425" t="s">
        <v>2737</v>
      </c>
      <c r="J425" t="s">
        <v>2743</v>
      </c>
      <c r="K425" t="s">
        <v>1490</v>
      </c>
      <c r="L425" t="s">
        <v>2784</v>
      </c>
      <c r="M425" t="s">
        <v>2569</v>
      </c>
      <c r="N425" t="s">
        <v>2587</v>
      </c>
      <c r="O425" t="s">
        <v>2604</v>
      </c>
      <c r="P425" t="s">
        <v>2567</v>
      </c>
      <c r="Q425" t="s">
        <v>2585</v>
      </c>
      <c r="R425" t="s">
        <v>2604</v>
      </c>
      <c r="S425" t="s">
        <v>2606</v>
      </c>
      <c r="T425">
        <v>1</v>
      </c>
      <c r="U425" s="2">
        <v>78073.17</v>
      </c>
      <c r="V425" s="3">
        <v>0.05</v>
      </c>
      <c r="W425" s="2">
        <v>74169.509999999995</v>
      </c>
      <c r="X425" s="2">
        <v>8284.65</v>
      </c>
      <c r="Y425" s="3">
        <v>0.11169886385928671</v>
      </c>
      <c r="Z425" t="s">
        <v>1495</v>
      </c>
      <c r="AA425" t="s">
        <v>1499</v>
      </c>
      <c r="AB425" t="s">
        <v>1501</v>
      </c>
      <c r="AC425">
        <v>1</v>
      </c>
      <c r="AD425">
        <v>2024</v>
      </c>
      <c r="AE425" t="s">
        <v>2818</v>
      </c>
      <c r="AF425" t="s">
        <v>2830</v>
      </c>
      <c r="AG425" t="s">
        <v>2847</v>
      </c>
      <c r="AH425" t="s">
        <v>2848</v>
      </c>
      <c r="AI425">
        <v>1</v>
      </c>
    </row>
    <row r="426" spans="1:35" x14ac:dyDescent="0.3">
      <c r="A426" t="s">
        <v>416</v>
      </c>
      <c r="B426">
        <v>2</v>
      </c>
      <c r="C426" s="1">
        <v>45605</v>
      </c>
      <c r="D426" s="1">
        <v>45606</v>
      </c>
      <c r="E426" t="s">
        <v>1131</v>
      </c>
      <c r="F426" t="s">
        <v>1943</v>
      </c>
      <c r="G426" t="s">
        <v>1415</v>
      </c>
      <c r="H426" t="s">
        <v>2668</v>
      </c>
      <c r="I426" t="s">
        <v>2739</v>
      </c>
      <c r="J426" t="s">
        <v>2756</v>
      </c>
      <c r="K426" t="s">
        <v>1481</v>
      </c>
      <c r="L426" t="s">
        <v>2777</v>
      </c>
      <c r="M426" t="s">
        <v>2556</v>
      </c>
      <c r="N426" t="s">
        <v>2574</v>
      </c>
      <c r="O426" t="s">
        <v>2602</v>
      </c>
      <c r="P426" t="s">
        <v>2557</v>
      </c>
      <c r="Q426" t="s">
        <v>2576</v>
      </c>
      <c r="R426" t="s">
        <v>2602</v>
      </c>
      <c r="S426" t="s">
        <v>2608</v>
      </c>
      <c r="T426">
        <v>1</v>
      </c>
      <c r="U426" s="2">
        <v>4772.1499999999996</v>
      </c>
      <c r="V426" s="3">
        <v>0</v>
      </c>
      <c r="W426" s="2">
        <v>4772.1499999999996</v>
      </c>
      <c r="X426" s="2">
        <v>1210.06</v>
      </c>
      <c r="Y426" s="3">
        <v>0.25356705049086892</v>
      </c>
      <c r="Z426" t="s">
        <v>1496</v>
      </c>
      <c r="AA426" t="s">
        <v>1498</v>
      </c>
      <c r="AB426" t="s">
        <v>1501</v>
      </c>
      <c r="AC426">
        <v>1</v>
      </c>
      <c r="AD426">
        <v>2024</v>
      </c>
      <c r="AE426" t="s">
        <v>2818</v>
      </c>
      <c r="AF426" t="s">
        <v>2830</v>
      </c>
      <c r="AG426" t="s">
        <v>2847</v>
      </c>
      <c r="AH426" t="s">
        <v>2848</v>
      </c>
      <c r="AI426">
        <v>1</v>
      </c>
    </row>
    <row r="427" spans="1:35" x14ac:dyDescent="0.3">
      <c r="A427" t="s">
        <v>417</v>
      </c>
      <c r="B427">
        <v>1</v>
      </c>
      <c r="C427" s="1">
        <v>45605</v>
      </c>
      <c r="D427" s="1">
        <v>45605</v>
      </c>
      <c r="E427" t="s">
        <v>1208</v>
      </c>
      <c r="F427" t="s">
        <v>1993</v>
      </c>
      <c r="G427" t="s">
        <v>1397</v>
      </c>
      <c r="H427" t="s">
        <v>2650</v>
      </c>
      <c r="I427" t="s">
        <v>2738</v>
      </c>
      <c r="J427" t="s">
        <v>2751</v>
      </c>
      <c r="K427" t="s">
        <v>1485</v>
      </c>
      <c r="L427" t="s">
        <v>2775</v>
      </c>
      <c r="M427" t="s">
        <v>2553</v>
      </c>
      <c r="N427" t="s">
        <v>2576</v>
      </c>
      <c r="O427" t="s">
        <v>2602</v>
      </c>
      <c r="P427" t="s">
        <v>2562</v>
      </c>
      <c r="Q427" t="s">
        <v>2574</v>
      </c>
      <c r="R427" t="s">
        <v>2602</v>
      </c>
      <c r="S427" t="s">
        <v>2606</v>
      </c>
      <c r="T427">
        <v>1</v>
      </c>
      <c r="U427" s="2">
        <v>42202.74</v>
      </c>
      <c r="V427" s="3">
        <v>0</v>
      </c>
      <c r="W427" s="2">
        <v>42202.74</v>
      </c>
      <c r="X427" s="2">
        <v>7787.76</v>
      </c>
      <c r="Y427" s="3">
        <v>0.18453209436164569</v>
      </c>
      <c r="Z427" t="s">
        <v>1494</v>
      </c>
      <c r="AA427" t="s">
        <v>1499</v>
      </c>
      <c r="AB427" t="s">
        <v>1501</v>
      </c>
      <c r="AC427">
        <v>0</v>
      </c>
      <c r="AD427">
        <v>2024</v>
      </c>
      <c r="AE427" t="s">
        <v>2818</v>
      </c>
      <c r="AF427" t="s">
        <v>2830</v>
      </c>
      <c r="AG427" t="s">
        <v>2847</v>
      </c>
      <c r="AH427" t="s">
        <v>2848</v>
      </c>
      <c r="AI427">
        <v>1</v>
      </c>
    </row>
    <row r="428" spans="1:35" x14ac:dyDescent="0.3">
      <c r="A428" t="s">
        <v>418</v>
      </c>
      <c r="B428">
        <v>1</v>
      </c>
      <c r="C428" s="1">
        <v>45605</v>
      </c>
      <c r="D428" s="1">
        <v>45606</v>
      </c>
      <c r="E428" t="s">
        <v>1003</v>
      </c>
      <c r="F428" t="s">
        <v>1792</v>
      </c>
      <c r="G428" t="s">
        <v>1332</v>
      </c>
      <c r="H428" t="s">
        <v>2630</v>
      </c>
      <c r="I428" t="s">
        <v>2737</v>
      </c>
      <c r="J428" t="s">
        <v>2746</v>
      </c>
      <c r="K428" t="s">
        <v>1481</v>
      </c>
      <c r="L428" t="s">
        <v>2777</v>
      </c>
      <c r="M428" t="s">
        <v>2553</v>
      </c>
      <c r="N428" t="s">
        <v>2576</v>
      </c>
      <c r="O428" t="s">
        <v>2602</v>
      </c>
      <c r="P428" t="s">
        <v>2557</v>
      </c>
      <c r="Q428" t="s">
        <v>2576</v>
      </c>
      <c r="R428" t="s">
        <v>2602</v>
      </c>
      <c r="S428" t="s">
        <v>2606</v>
      </c>
      <c r="T428">
        <v>2</v>
      </c>
      <c r="U428" s="2">
        <v>45652.65</v>
      </c>
      <c r="V428" s="3">
        <v>0</v>
      </c>
      <c r="W428" s="2">
        <v>91305.3</v>
      </c>
      <c r="X428" s="2">
        <v>14289.26</v>
      </c>
      <c r="Y428" s="3">
        <v>0.15649978697841199</v>
      </c>
      <c r="Z428" t="s">
        <v>1494</v>
      </c>
      <c r="AA428" t="s">
        <v>1498</v>
      </c>
      <c r="AB428" t="s">
        <v>1501</v>
      </c>
      <c r="AC428">
        <v>1</v>
      </c>
      <c r="AD428">
        <v>2024</v>
      </c>
      <c r="AE428" t="s">
        <v>2818</v>
      </c>
      <c r="AF428" t="s">
        <v>2830</v>
      </c>
      <c r="AG428" t="s">
        <v>2847</v>
      </c>
      <c r="AH428" t="s">
        <v>2848</v>
      </c>
      <c r="AI428">
        <v>1</v>
      </c>
    </row>
    <row r="429" spans="1:35" x14ac:dyDescent="0.3">
      <c r="A429" t="s">
        <v>419</v>
      </c>
      <c r="B429">
        <v>1</v>
      </c>
      <c r="C429" s="1">
        <v>45605</v>
      </c>
      <c r="D429" s="1">
        <v>45607</v>
      </c>
      <c r="E429" t="s">
        <v>1122</v>
      </c>
      <c r="F429" t="s">
        <v>1783</v>
      </c>
      <c r="G429" t="s">
        <v>1375</v>
      </c>
      <c r="H429" t="s">
        <v>2622</v>
      </c>
      <c r="I429" t="s">
        <v>2737</v>
      </c>
      <c r="J429" t="s">
        <v>2745</v>
      </c>
      <c r="K429" t="s">
        <v>1480</v>
      </c>
      <c r="L429" t="s">
        <v>2789</v>
      </c>
      <c r="M429" t="s">
        <v>2569</v>
      </c>
      <c r="N429" t="s">
        <v>2587</v>
      </c>
      <c r="O429" t="s">
        <v>2604</v>
      </c>
      <c r="R429" t="s">
        <v>2790</v>
      </c>
      <c r="S429" t="s">
        <v>2606</v>
      </c>
      <c r="T429">
        <v>1</v>
      </c>
      <c r="U429" s="2">
        <v>35534</v>
      </c>
      <c r="V429" s="3">
        <v>0.1</v>
      </c>
      <c r="W429" s="2">
        <v>31980.6</v>
      </c>
      <c r="X429" s="2">
        <v>2248.16</v>
      </c>
      <c r="Y429" s="3">
        <v>7.0297617930870596E-2</v>
      </c>
      <c r="Z429" t="s">
        <v>1495</v>
      </c>
      <c r="AA429" t="s">
        <v>1499</v>
      </c>
      <c r="AB429" t="s">
        <v>1501</v>
      </c>
      <c r="AC429">
        <v>2</v>
      </c>
      <c r="AD429">
        <v>2024</v>
      </c>
      <c r="AE429" t="s">
        <v>2818</v>
      </c>
      <c r="AF429" t="s">
        <v>2830</v>
      </c>
      <c r="AG429" t="s">
        <v>2847</v>
      </c>
      <c r="AH429" t="s">
        <v>2848</v>
      </c>
      <c r="AI429">
        <v>1</v>
      </c>
    </row>
    <row r="430" spans="1:35" x14ac:dyDescent="0.3">
      <c r="A430" t="s">
        <v>420</v>
      </c>
      <c r="B430">
        <v>1</v>
      </c>
      <c r="C430" s="1">
        <v>45606</v>
      </c>
      <c r="D430" s="1">
        <v>45606</v>
      </c>
      <c r="E430" t="s">
        <v>1007</v>
      </c>
      <c r="F430" t="s">
        <v>1733</v>
      </c>
      <c r="G430" t="s">
        <v>1378</v>
      </c>
      <c r="H430" t="s">
        <v>2704</v>
      </c>
      <c r="I430" t="s">
        <v>2740</v>
      </c>
      <c r="J430" t="s">
        <v>2764</v>
      </c>
      <c r="K430" t="s">
        <v>1491</v>
      </c>
      <c r="L430" t="s">
        <v>2779</v>
      </c>
      <c r="M430" t="s">
        <v>2552</v>
      </c>
      <c r="N430" t="s">
        <v>2575</v>
      </c>
      <c r="O430" t="s">
        <v>2603</v>
      </c>
      <c r="P430" t="s">
        <v>2555</v>
      </c>
      <c r="Q430" t="s">
        <v>2578</v>
      </c>
      <c r="R430" t="s">
        <v>2603</v>
      </c>
      <c r="S430" t="s">
        <v>2607</v>
      </c>
      <c r="T430">
        <v>1</v>
      </c>
      <c r="U430" s="2">
        <v>1378.78</v>
      </c>
      <c r="V430" s="3">
        <v>0.05</v>
      </c>
      <c r="W430" s="2">
        <v>1309.8399999999999</v>
      </c>
      <c r="X430" s="2">
        <v>107.72</v>
      </c>
      <c r="Y430" s="3">
        <v>8.223905209796617E-2</v>
      </c>
      <c r="Z430" t="s">
        <v>1496</v>
      </c>
      <c r="AA430" t="s">
        <v>1499</v>
      </c>
      <c r="AB430" t="s">
        <v>1502</v>
      </c>
      <c r="AC430">
        <v>0</v>
      </c>
      <c r="AD430">
        <v>2024</v>
      </c>
      <c r="AE430" t="s">
        <v>2818</v>
      </c>
      <c r="AF430" t="s">
        <v>2830</v>
      </c>
      <c r="AG430" t="s">
        <v>2847</v>
      </c>
      <c r="AH430" t="s">
        <v>2848</v>
      </c>
      <c r="AI430">
        <v>1</v>
      </c>
    </row>
    <row r="431" spans="1:35" x14ac:dyDescent="0.3">
      <c r="A431" t="s">
        <v>421</v>
      </c>
      <c r="B431">
        <v>2</v>
      </c>
      <c r="C431" s="1">
        <v>45606</v>
      </c>
      <c r="D431" s="1">
        <v>45609</v>
      </c>
      <c r="E431" t="s">
        <v>1209</v>
      </c>
      <c r="F431" t="s">
        <v>1800</v>
      </c>
      <c r="G431" t="s">
        <v>1339</v>
      </c>
      <c r="H431" t="s">
        <v>2715</v>
      </c>
      <c r="I431" t="s">
        <v>2741</v>
      </c>
      <c r="J431" t="s">
        <v>2767</v>
      </c>
      <c r="K431" t="s">
        <v>1480</v>
      </c>
      <c r="L431" t="s">
        <v>2789</v>
      </c>
      <c r="M431" t="s">
        <v>2567</v>
      </c>
      <c r="N431" t="s">
        <v>2585</v>
      </c>
      <c r="O431" t="s">
        <v>2604</v>
      </c>
      <c r="R431" t="s">
        <v>2790</v>
      </c>
      <c r="S431" t="s">
        <v>2608</v>
      </c>
      <c r="T431">
        <v>1</v>
      </c>
      <c r="U431" s="2">
        <v>763.54</v>
      </c>
      <c r="V431" s="3">
        <v>0.15</v>
      </c>
      <c r="W431" s="2">
        <v>649.01</v>
      </c>
      <c r="X431" s="2">
        <v>126.45</v>
      </c>
      <c r="Y431" s="3">
        <v>0.19483521055145531</v>
      </c>
      <c r="Z431" t="s">
        <v>1494</v>
      </c>
      <c r="AA431" t="s">
        <v>1498</v>
      </c>
      <c r="AB431" t="s">
        <v>1501</v>
      </c>
      <c r="AC431">
        <v>3</v>
      </c>
      <c r="AD431">
        <v>2024</v>
      </c>
      <c r="AE431" t="s">
        <v>2818</v>
      </c>
      <c r="AF431" t="s">
        <v>2830</v>
      </c>
      <c r="AG431" t="s">
        <v>2847</v>
      </c>
      <c r="AH431" t="s">
        <v>2848</v>
      </c>
      <c r="AI431">
        <v>1</v>
      </c>
    </row>
    <row r="432" spans="1:35" x14ac:dyDescent="0.3">
      <c r="A432" t="s">
        <v>422</v>
      </c>
      <c r="B432">
        <v>1</v>
      </c>
      <c r="C432" s="1">
        <v>45606</v>
      </c>
      <c r="D432" s="1">
        <v>45607</v>
      </c>
      <c r="E432" t="s">
        <v>1210</v>
      </c>
      <c r="F432" t="s">
        <v>1787</v>
      </c>
      <c r="G432" t="s">
        <v>1364</v>
      </c>
      <c r="H432" t="s">
        <v>2699</v>
      </c>
      <c r="I432" t="s">
        <v>2740</v>
      </c>
      <c r="J432" t="s">
        <v>2762</v>
      </c>
      <c r="K432" t="s">
        <v>1488</v>
      </c>
      <c r="L432" t="s">
        <v>2780</v>
      </c>
      <c r="M432" t="s">
        <v>2558</v>
      </c>
      <c r="N432" t="s">
        <v>2558</v>
      </c>
      <c r="O432" t="s">
        <v>2603</v>
      </c>
      <c r="P432" t="s">
        <v>2552</v>
      </c>
      <c r="Q432" t="s">
        <v>2575</v>
      </c>
      <c r="R432" t="s">
        <v>2603</v>
      </c>
      <c r="S432" t="s">
        <v>2606</v>
      </c>
      <c r="T432">
        <v>1</v>
      </c>
      <c r="U432" s="2">
        <v>590.01</v>
      </c>
      <c r="V432" s="3">
        <v>0</v>
      </c>
      <c r="W432" s="2">
        <v>590.01</v>
      </c>
      <c r="X432" s="2">
        <v>72.55</v>
      </c>
      <c r="Y432" s="3">
        <v>0.12296401755902441</v>
      </c>
      <c r="Z432" t="s">
        <v>1496</v>
      </c>
      <c r="AA432" t="s">
        <v>1499</v>
      </c>
      <c r="AB432" t="s">
        <v>1501</v>
      </c>
      <c r="AC432">
        <v>1</v>
      </c>
      <c r="AD432">
        <v>2024</v>
      </c>
      <c r="AE432" t="s">
        <v>2818</v>
      </c>
      <c r="AF432" t="s">
        <v>2830</v>
      </c>
      <c r="AG432" t="s">
        <v>2847</v>
      </c>
      <c r="AH432" t="s">
        <v>2848</v>
      </c>
      <c r="AI432">
        <v>1</v>
      </c>
    </row>
    <row r="433" spans="1:35" x14ac:dyDescent="0.3">
      <c r="A433" t="s">
        <v>423</v>
      </c>
      <c r="B433">
        <v>2</v>
      </c>
      <c r="C433" s="1">
        <v>45607</v>
      </c>
      <c r="D433" s="1">
        <v>45607</v>
      </c>
      <c r="E433" t="s">
        <v>1211</v>
      </c>
      <c r="F433" t="s">
        <v>1815</v>
      </c>
      <c r="G433" t="s">
        <v>1466</v>
      </c>
      <c r="H433" t="s">
        <v>2716</v>
      </c>
      <c r="I433" t="s">
        <v>2741</v>
      </c>
      <c r="J433" t="s">
        <v>2768</v>
      </c>
      <c r="K433" t="s">
        <v>1479</v>
      </c>
      <c r="L433" t="s">
        <v>2786</v>
      </c>
      <c r="M433" t="s">
        <v>2550</v>
      </c>
      <c r="N433" t="s">
        <v>2573</v>
      </c>
      <c r="O433" t="s">
        <v>2601</v>
      </c>
      <c r="P433" t="s">
        <v>2564</v>
      </c>
      <c r="Q433" t="s">
        <v>2582</v>
      </c>
      <c r="R433" t="s">
        <v>2601</v>
      </c>
      <c r="S433" t="s">
        <v>2606</v>
      </c>
      <c r="T433">
        <v>1</v>
      </c>
      <c r="U433" s="2">
        <v>800.48</v>
      </c>
      <c r="V433" s="3">
        <v>0.15</v>
      </c>
      <c r="W433" s="2">
        <v>680.41</v>
      </c>
      <c r="X433" s="2">
        <v>166.09</v>
      </c>
      <c r="Y433" s="3">
        <v>0.2441028203583134</v>
      </c>
      <c r="Z433" t="s">
        <v>1495</v>
      </c>
      <c r="AA433" t="s">
        <v>1498</v>
      </c>
      <c r="AB433" t="s">
        <v>1501</v>
      </c>
      <c r="AC433">
        <v>0</v>
      </c>
      <c r="AD433">
        <v>2024</v>
      </c>
      <c r="AE433" t="s">
        <v>2818</v>
      </c>
      <c r="AF433" t="s">
        <v>2830</v>
      </c>
      <c r="AG433" t="s">
        <v>2847</v>
      </c>
      <c r="AH433" t="s">
        <v>2848</v>
      </c>
      <c r="AI433">
        <v>1</v>
      </c>
    </row>
    <row r="434" spans="1:35" x14ac:dyDescent="0.3">
      <c r="A434" t="s">
        <v>424</v>
      </c>
      <c r="B434">
        <v>3</v>
      </c>
      <c r="C434" s="1">
        <v>45607</v>
      </c>
      <c r="D434" s="1">
        <v>45609</v>
      </c>
      <c r="E434" t="s">
        <v>1212</v>
      </c>
      <c r="F434" t="s">
        <v>1740</v>
      </c>
      <c r="G434" t="s">
        <v>1438</v>
      </c>
      <c r="H434" t="s">
        <v>2621</v>
      </c>
      <c r="I434" t="s">
        <v>2737</v>
      </c>
      <c r="J434" t="s">
        <v>2744</v>
      </c>
      <c r="K434" t="s">
        <v>1480</v>
      </c>
      <c r="L434" t="s">
        <v>2789</v>
      </c>
      <c r="M434" t="s">
        <v>2557</v>
      </c>
      <c r="N434" t="s">
        <v>2576</v>
      </c>
      <c r="O434" t="s">
        <v>2602</v>
      </c>
      <c r="R434" t="s">
        <v>2790</v>
      </c>
      <c r="S434" t="s">
        <v>2606</v>
      </c>
      <c r="T434">
        <v>1</v>
      </c>
      <c r="U434" s="2">
        <v>77432.27</v>
      </c>
      <c r="V434" s="3">
        <v>0</v>
      </c>
      <c r="W434" s="2">
        <v>77432.27</v>
      </c>
      <c r="X434" s="2">
        <v>8717.52</v>
      </c>
      <c r="Y434" s="3">
        <v>0.1125825188903799</v>
      </c>
      <c r="Z434" t="s">
        <v>1495</v>
      </c>
      <c r="AA434" t="s">
        <v>1498</v>
      </c>
      <c r="AB434" t="s">
        <v>1501</v>
      </c>
      <c r="AC434">
        <v>2</v>
      </c>
      <c r="AD434">
        <v>2024</v>
      </c>
      <c r="AE434" t="s">
        <v>2818</v>
      </c>
      <c r="AF434" t="s">
        <v>2830</v>
      </c>
      <c r="AG434" t="s">
        <v>2847</v>
      </c>
      <c r="AH434" t="s">
        <v>2848</v>
      </c>
      <c r="AI434">
        <v>1</v>
      </c>
    </row>
    <row r="435" spans="1:35" x14ac:dyDescent="0.3">
      <c r="A435" t="s">
        <v>425</v>
      </c>
      <c r="B435">
        <v>3</v>
      </c>
      <c r="C435" s="1">
        <v>45608</v>
      </c>
      <c r="D435" s="1">
        <v>45608</v>
      </c>
      <c r="E435" t="s">
        <v>1213</v>
      </c>
      <c r="F435" t="s">
        <v>1717</v>
      </c>
      <c r="G435" t="s">
        <v>1454</v>
      </c>
      <c r="H435" t="s">
        <v>2631</v>
      </c>
      <c r="I435" t="s">
        <v>2737</v>
      </c>
      <c r="J435" t="s">
        <v>2746</v>
      </c>
      <c r="K435" t="s">
        <v>1488</v>
      </c>
      <c r="L435" t="s">
        <v>2780</v>
      </c>
      <c r="M435" t="s">
        <v>2559</v>
      </c>
      <c r="N435" t="s">
        <v>2559</v>
      </c>
      <c r="O435" t="s">
        <v>2603</v>
      </c>
      <c r="P435" t="s">
        <v>2552</v>
      </c>
      <c r="Q435" t="s">
        <v>2575</v>
      </c>
      <c r="R435" t="s">
        <v>2603</v>
      </c>
      <c r="S435" t="s">
        <v>2608</v>
      </c>
      <c r="T435">
        <v>1</v>
      </c>
      <c r="U435" s="2">
        <v>51141.75</v>
      </c>
      <c r="V435" s="3">
        <v>0</v>
      </c>
      <c r="W435" s="2">
        <v>51141.75</v>
      </c>
      <c r="X435" s="2">
        <v>6922.44</v>
      </c>
      <c r="Y435" s="3">
        <v>0.13535790230095759</v>
      </c>
      <c r="Z435" t="s">
        <v>1496</v>
      </c>
      <c r="AA435" t="s">
        <v>1498</v>
      </c>
      <c r="AB435" t="s">
        <v>1501</v>
      </c>
      <c r="AC435">
        <v>0</v>
      </c>
      <c r="AD435">
        <v>2024</v>
      </c>
      <c r="AE435" t="s">
        <v>2818</v>
      </c>
      <c r="AF435" t="s">
        <v>2830</v>
      </c>
      <c r="AG435" t="s">
        <v>2847</v>
      </c>
      <c r="AH435" t="s">
        <v>2848</v>
      </c>
      <c r="AI435">
        <v>1</v>
      </c>
    </row>
    <row r="436" spans="1:35" x14ac:dyDescent="0.3">
      <c r="A436" t="s">
        <v>426</v>
      </c>
      <c r="B436">
        <v>1</v>
      </c>
      <c r="C436" s="1">
        <v>45610</v>
      </c>
      <c r="D436" s="1">
        <v>45610</v>
      </c>
      <c r="E436" t="s">
        <v>1120</v>
      </c>
      <c r="F436" t="s">
        <v>1998</v>
      </c>
      <c r="G436" t="s">
        <v>1433</v>
      </c>
      <c r="H436" t="s">
        <v>2675</v>
      </c>
      <c r="I436" t="s">
        <v>2739</v>
      </c>
      <c r="J436" t="s">
        <v>2757</v>
      </c>
      <c r="K436" t="s">
        <v>1484</v>
      </c>
      <c r="L436" t="s">
        <v>2778</v>
      </c>
      <c r="M436" t="s">
        <v>2559</v>
      </c>
      <c r="N436" t="s">
        <v>2559</v>
      </c>
      <c r="O436" t="s">
        <v>2603</v>
      </c>
      <c r="P436" t="s">
        <v>2559</v>
      </c>
      <c r="Q436" t="s">
        <v>2559</v>
      </c>
      <c r="R436" t="s">
        <v>2603</v>
      </c>
      <c r="S436" t="s">
        <v>2606</v>
      </c>
      <c r="T436">
        <v>1</v>
      </c>
      <c r="U436" s="2">
        <v>2067.91</v>
      </c>
      <c r="V436" s="3">
        <v>0</v>
      </c>
      <c r="W436" s="2">
        <v>2067.91</v>
      </c>
      <c r="X436" s="2">
        <v>576.48</v>
      </c>
      <c r="Y436" s="3">
        <v>0.27877422131524099</v>
      </c>
      <c r="Z436" t="s">
        <v>1497</v>
      </c>
      <c r="AA436" t="s">
        <v>1499</v>
      </c>
      <c r="AB436" t="s">
        <v>1502</v>
      </c>
      <c r="AC436">
        <v>0</v>
      </c>
      <c r="AD436">
        <v>2024</v>
      </c>
      <c r="AE436" t="s">
        <v>2818</v>
      </c>
      <c r="AF436" t="s">
        <v>2830</v>
      </c>
      <c r="AG436" t="s">
        <v>2847</v>
      </c>
      <c r="AH436" t="s">
        <v>2848</v>
      </c>
      <c r="AI436">
        <v>1</v>
      </c>
    </row>
    <row r="437" spans="1:35" x14ac:dyDescent="0.3">
      <c r="A437" t="s">
        <v>426</v>
      </c>
      <c r="B437">
        <v>2</v>
      </c>
      <c r="C437" s="1">
        <v>45610</v>
      </c>
      <c r="D437" s="1">
        <v>45610</v>
      </c>
      <c r="E437" t="s">
        <v>1120</v>
      </c>
      <c r="F437" t="s">
        <v>1998</v>
      </c>
      <c r="G437" t="s">
        <v>1347</v>
      </c>
      <c r="H437" t="s">
        <v>2627</v>
      </c>
      <c r="I437" t="s">
        <v>2737</v>
      </c>
      <c r="J437" t="s">
        <v>2745</v>
      </c>
      <c r="K437" t="s">
        <v>1484</v>
      </c>
      <c r="L437" t="s">
        <v>2778</v>
      </c>
      <c r="M437" t="s">
        <v>2559</v>
      </c>
      <c r="N437" t="s">
        <v>2559</v>
      </c>
      <c r="O437" t="s">
        <v>2603</v>
      </c>
      <c r="P437" t="s">
        <v>2559</v>
      </c>
      <c r="Q437" t="s">
        <v>2559</v>
      </c>
      <c r="R437" t="s">
        <v>2603</v>
      </c>
      <c r="S437" t="s">
        <v>2606</v>
      </c>
      <c r="T437">
        <v>1</v>
      </c>
      <c r="U437" s="2">
        <v>56707.06</v>
      </c>
      <c r="V437" s="3">
        <v>0.1</v>
      </c>
      <c r="W437" s="2">
        <v>51036.35</v>
      </c>
      <c r="X437" s="2">
        <v>3293.14</v>
      </c>
      <c r="Y437" s="3">
        <v>6.4525382399015604E-2</v>
      </c>
      <c r="Z437" t="s">
        <v>1497</v>
      </c>
      <c r="AA437" t="s">
        <v>1499</v>
      </c>
      <c r="AB437" t="s">
        <v>1502</v>
      </c>
      <c r="AC437">
        <v>0</v>
      </c>
      <c r="AD437">
        <v>2024</v>
      </c>
      <c r="AE437" t="s">
        <v>2818</v>
      </c>
      <c r="AF437" t="s">
        <v>2830</v>
      </c>
      <c r="AG437" t="s">
        <v>2847</v>
      </c>
      <c r="AH437" t="s">
        <v>2848</v>
      </c>
      <c r="AI437">
        <v>0</v>
      </c>
    </row>
    <row r="438" spans="1:35" x14ac:dyDescent="0.3">
      <c r="A438" t="s">
        <v>427</v>
      </c>
      <c r="B438">
        <v>1</v>
      </c>
      <c r="C438" s="1">
        <v>45611</v>
      </c>
      <c r="D438" s="1">
        <v>45614</v>
      </c>
      <c r="E438" t="s">
        <v>1086</v>
      </c>
      <c r="F438" t="s">
        <v>1840</v>
      </c>
      <c r="G438" t="s">
        <v>1387</v>
      </c>
      <c r="H438" t="s">
        <v>2730</v>
      </c>
      <c r="I438" t="s">
        <v>2742</v>
      </c>
      <c r="J438" t="s">
        <v>2771</v>
      </c>
      <c r="K438" t="s">
        <v>1480</v>
      </c>
      <c r="L438" t="s">
        <v>2789</v>
      </c>
      <c r="M438" t="s">
        <v>2566</v>
      </c>
      <c r="N438" t="s">
        <v>2584</v>
      </c>
      <c r="O438" t="s">
        <v>2601</v>
      </c>
      <c r="R438" t="s">
        <v>2790</v>
      </c>
      <c r="S438" t="s">
        <v>2607</v>
      </c>
      <c r="T438">
        <v>1</v>
      </c>
      <c r="U438" s="2">
        <v>2184.2199999999998</v>
      </c>
      <c r="V438" s="3">
        <v>0</v>
      </c>
      <c r="W438" s="2">
        <v>2184.2199999999998</v>
      </c>
      <c r="X438" s="2">
        <v>542.11</v>
      </c>
      <c r="Y438" s="3">
        <v>0.24819386325553289</v>
      </c>
      <c r="Z438" t="s">
        <v>1495</v>
      </c>
      <c r="AA438" t="s">
        <v>1499</v>
      </c>
      <c r="AB438" t="s">
        <v>1501</v>
      </c>
      <c r="AC438">
        <v>3</v>
      </c>
      <c r="AD438">
        <v>2024</v>
      </c>
      <c r="AE438" t="s">
        <v>2818</v>
      </c>
      <c r="AF438" t="s">
        <v>2830</v>
      </c>
      <c r="AG438" t="s">
        <v>2847</v>
      </c>
      <c r="AH438" t="s">
        <v>2848</v>
      </c>
      <c r="AI438">
        <v>1</v>
      </c>
    </row>
    <row r="439" spans="1:35" x14ac:dyDescent="0.3">
      <c r="A439" t="s">
        <v>428</v>
      </c>
      <c r="B439">
        <v>1</v>
      </c>
      <c r="C439" s="1">
        <v>45611</v>
      </c>
      <c r="D439" s="1">
        <v>45613</v>
      </c>
      <c r="E439" t="s">
        <v>1214</v>
      </c>
      <c r="F439" t="s">
        <v>1989</v>
      </c>
      <c r="G439" t="s">
        <v>1350</v>
      </c>
      <c r="H439" t="s">
        <v>2634</v>
      </c>
      <c r="I439" t="s">
        <v>2737</v>
      </c>
      <c r="J439" t="s">
        <v>2747</v>
      </c>
      <c r="K439" t="s">
        <v>1480</v>
      </c>
      <c r="L439" t="s">
        <v>2789</v>
      </c>
      <c r="M439" t="s">
        <v>2558</v>
      </c>
      <c r="N439" t="s">
        <v>2558</v>
      </c>
      <c r="O439" t="s">
        <v>2603</v>
      </c>
      <c r="R439" t="s">
        <v>2790</v>
      </c>
      <c r="S439" t="s">
        <v>2606</v>
      </c>
      <c r="T439">
        <v>2</v>
      </c>
      <c r="U439" s="2">
        <v>53290.400000000001</v>
      </c>
      <c r="V439" s="3">
        <v>0</v>
      </c>
      <c r="W439" s="2">
        <v>106580.8</v>
      </c>
      <c r="X439" s="2">
        <v>14463.36</v>
      </c>
      <c r="Y439" s="3">
        <v>0.13570324110909279</v>
      </c>
      <c r="Z439" t="s">
        <v>1496</v>
      </c>
      <c r="AA439" t="s">
        <v>1499</v>
      </c>
      <c r="AB439" t="s">
        <v>1501</v>
      </c>
      <c r="AC439">
        <v>2</v>
      </c>
      <c r="AD439">
        <v>2024</v>
      </c>
      <c r="AE439" t="s">
        <v>2818</v>
      </c>
      <c r="AF439" t="s">
        <v>2830</v>
      </c>
      <c r="AG439" t="s">
        <v>2847</v>
      </c>
      <c r="AH439" t="s">
        <v>2848</v>
      </c>
      <c r="AI439">
        <v>1</v>
      </c>
    </row>
    <row r="440" spans="1:35" x14ac:dyDescent="0.3">
      <c r="A440" t="s">
        <v>429</v>
      </c>
      <c r="B440">
        <v>1</v>
      </c>
      <c r="C440" s="1">
        <v>45611</v>
      </c>
      <c r="D440" s="1">
        <v>45613</v>
      </c>
      <c r="E440" t="s">
        <v>1215</v>
      </c>
      <c r="F440" t="s">
        <v>1818</v>
      </c>
      <c r="G440" t="s">
        <v>1358</v>
      </c>
      <c r="H440" t="s">
        <v>2636</v>
      </c>
      <c r="I440" t="s">
        <v>2737</v>
      </c>
      <c r="J440" t="s">
        <v>2747</v>
      </c>
      <c r="K440" t="s">
        <v>1480</v>
      </c>
      <c r="L440" t="s">
        <v>2789</v>
      </c>
      <c r="M440" t="s">
        <v>2571</v>
      </c>
      <c r="N440" t="s">
        <v>2590</v>
      </c>
      <c r="O440" t="s">
        <v>2605</v>
      </c>
      <c r="R440" t="s">
        <v>2790</v>
      </c>
      <c r="S440" t="s">
        <v>2606</v>
      </c>
      <c r="T440">
        <v>1</v>
      </c>
      <c r="U440" s="2">
        <v>37487.300000000003</v>
      </c>
      <c r="V440" s="3">
        <v>0.1</v>
      </c>
      <c r="W440" s="2">
        <v>33738.57</v>
      </c>
      <c r="X440" s="2">
        <v>-145.18</v>
      </c>
      <c r="Y440" s="3">
        <v>-4.303086941740566E-3</v>
      </c>
      <c r="Z440" t="s">
        <v>1495</v>
      </c>
      <c r="AA440" t="s">
        <v>1498</v>
      </c>
      <c r="AB440" t="s">
        <v>1501</v>
      </c>
      <c r="AC440">
        <v>2</v>
      </c>
      <c r="AD440">
        <v>2024</v>
      </c>
      <c r="AE440" t="s">
        <v>2818</v>
      </c>
      <c r="AF440" t="s">
        <v>2830</v>
      </c>
      <c r="AG440" t="s">
        <v>2847</v>
      </c>
      <c r="AH440" t="s">
        <v>2848</v>
      </c>
      <c r="AI440">
        <v>1</v>
      </c>
    </row>
    <row r="441" spans="1:35" x14ac:dyDescent="0.3">
      <c r="A441" t="s">
        <v>430</v>
      </c>
      <c r="B441">
        <v>2</v>
      </c>
      <c r="C441" s="1">
        <v>45612</v>
      </c>
      <c r="D441" s="1">
        <v>45612</v>
      </c>
      <c r="E441" t="s">
        <v>1007</v>
      </c>
      <c r="F441" t="s">
        <v>1733</v>
      </c>
      <c r="G441" t="s">
        <v>1369</v>
      </c>
      <c r="H441" t="s">
        <v>2725</v>
      </c>
      <c r="I441" t="s">
        <v>2742</v>
      </c>
      <c r="J441" t="s">
        <v>2770</v>
      </c>
      <c r="K441" t="s">
        <v>1484</v>
      </c>
      <c r="L441" t="s">
        <v>2778</v>
      </c>
      <c r="M441" t="s">
        <v>2552</v>
      </c>
      <c r="N441" t="s">
        <v>2575</v>
      </c>
      <c r="O441" t="s">
        <v>2603</v>
      </c>
      <c r="P441" t="s">
        <v>2559</v>
      </c>
      <c r="Q441" t="s">
        <v>2559</v>
      </c>
      <c r="R441" t="s">
        <v>2603</v>
      </c>
      <c r="S441" t="s">
        <v>2607</v>
      </c>
      <c r="T441">
        <v>1</v>
      </c>
      <c r="U441" s="2">
        <v>23968.04</v>
      </c>
      <c r="V441" s="3">
        <v>0.05</v>
      </c>
      <c r="W441" s="2">
        <v>22769.64</v>
      </c>
      <c r="X441" s="2">
        <v>5498.52</v>
      </c>
      <c r="Y441" s="3">
        <v>0.2414847138558186</v>
      </c>
      <c r="Z441" t="s">
        <v>1495</v>
      </c>
      <c r="AA441" t="s">
        <v>1498</v>
      </c>
      <c r="AB441" t="s">
        <v>1501</v>
      </c>
      <c r="AC441">
        <v>0</v>
      </c>
      <c r="AD441">
        <v>2024</v>
      </c>
      <c r="AE441" t="s">
        <v>2818</v>
      </c>
      <c r="AF441" t="s">
        <v>2830</v>
      </c>
      <c r="AG441" t="s">
        <v>2847</v>
      </c>
      <c r="AH441" t="s">
        <v>2848</v>
      </c>
      <c r="AI441">
        <v>1</v>
      </c>
    </row>
    <row r="442" spans="1:35" x14ac:dyDescent="0.3">
      <c r="A442" t="s">
        <v>431</v>
      </c>
      <c r="B442">
        <v>1</v>
      </c>
      <c r="C442" s="1">
        <v>45612</v>
      </c>
      <c r="D442" s="1">
        <v>45613</v>
      </c>
      <c r="E442" t="s">
        <v>1216</v>
      </c>
      <c r="F442" t="s">
        <v>1854</v>
      </c>
      <c r="G442" t="s">
        <v>1395</v>
      </c>
      <c r="H442" t="s">
        <v>2727</v>
      </c>
      <c r="I442" t="s">
        <v>2742</v>
      </c>
      <c r="J442" t="s">
        <v>2771</v>
      </c>
      <c r="K442" t="s">
        <v>1478</v>
      </c>
      <c r="L442" t="s">
        <v>2782</v>
      </c>
      <c r="M442" t="s">
        <v>2565</v>
      </c>
      <c r="N442" t="s">
        <v>2583</v>
      </c>
      <c r="O442" t="s">
        <v>2604</v>
      </c>
      <c r="P442" t="s">
        <v>2565</v>
      </c>
      <c r="Q442" t="s">
        <v>2583</v>
      </c>
      <c r="R442" t="s">
        <v>2604</v>
      </c>
      <c r="S442" t="s">
        <v>2607</v>
      </c>
      <c r="T442">
        <v>1</v>
      </c>
      <c r="U442" s="2">
        <v>5383.63</v>
      </c>
      <c r="V442" s="3">
        <v>0</v>
      </c>
      <c r="W442" s="2">
        <v>5383.63</v>
      </c>
      <c r="X442" s="2">
        <v>1175.04</v>
      </c>
      <c r="Y442" s="3">
        <v>0.2182616561687932</v>
      </c>
      <c r="Z442" t="s">
        <v>2807</v>
      </c>
      <c r="AA442" t="s">
        <v>1500</v>
      </c>
      <c r="AB442" t="s">
        <v>1501</v>
      </c>
      <c r="AC442">
        <v>1</v>
      </c>
      <c r="AD442">
        <v>2024</v>
      </c>
      <c r="AE442" t="s">
        <v>2818</v>
      </c>
      <c r="AF442" t="s">
        <v>2830</v>
      </c>
      <c r="AG442" t="s">
        <v>2847</v>
      </c>
      <c r="AH442" t="s">
        <v>2848</v>
      </c>
      <c r="AI442">
        <v>1</v>
      </c>
    </row>
    <row r="443" spans="1:35" x14ac:dyDescent="0.3">
      <c r="A443" t="s">
        <v>432</v>
      </c>
      <c r="B443">
        <v>1</v>
      </c>
      <c r="C443" s="1">
        <v>45612</v>
      </c>
      <c r="D443" s="1">
        <v>45615</v>
      </c>
      <c r="E443" t="s">
        <v>1215</v>
      </c>
      <c r="F443" t="s">
        <v>1818</v>
      </c>
      <c r="G443" t="s">
        <v>1455</v>
      </c>
      <c r="H443" t="s">
        <v>2638</v>
      </c>
      <c r="I443" t="s">
        <v>2737</v>
      </c>
      <c r="J443" t="s">
        <v>2748</v>
      </c>
      <c r="K443" t="s">
        <v>1480</v>
      </c>
      <c r="L443" t="s">
        <v>2789</v>
      </c>
      <c r="M443" t="s">
        <v>2571</v>
      </c>
      <c r="N443" t="s">
        <v>2590</v>
      </c>
      <c r="O443" t="s">
        <v>2605</v>
      </c>
      <c r="R443" t="s">
        <v>2790</v>
      </c>
      <c r="S443" t="s">
        <v>2606</v>
      </c>
      <c r="T443">
        <v>2</v>
      </c>
      <c r="U443" s="2">
        <v>50791.32</v>
      </c>
      <c r="V443" s="3">
        <v>0</v>
      </c>
      <c r="W443" s="2">
        <v>101582.64</v>
      </c>
      <c r="X443" s="2">
        <v>11802</v>
      </c>
      <c r="Y443" s="3">
        <v>0.11618126876797059</v>
      </c>
      <c r="Z443" t="s">
        <v>1496</v>
      </c>
      <c r="AA443" t="s">
        <v>1498</v>
      </c>
      <c r="AB443" t="s">
        <v>1501</v>
      </c>
      <c r="AC443">
        <v>3</v>
      </c>
      <c r="AD443">
        <v>2024</v>
      </c>
      <c r="AE443" t="s">
        <v>2818</v>
      </c>
      <c r="AF443" t="s">
        <v>2830</v>
      </c>
      <c r="AG443" t="s">
        <v>2847</v>
      </c>
      <c r="AH443" t="s">
        <v>2848</v>
      </c>
      <c r="AI443">
        <v>1</v>
      </c>
    </row>
    <row r="444" spans="1:35" x14ac:dyDescent="0.3">
      <c r="A444" t="s">
        <v>433</v>
      </c>
      <c r="B444">
        <v>1</v>
      </c>
      <c r="C444" s="1">
        <v>45613</v>
      </c>
      <c r="D444" s="1">
        <v>45615</v>
      </c>
      <c r="E444" t="s">
        <v>1119</v>
      </c>
      <c r="F444" t="s">
        <v>1733</v>
      </c>
      <c r="G444" t="s">
        <v>1348</v>
      </c>
      <c r="H444" t="s">
        <v>2669</v>
      </c>
      <c r="I444" t="s">
        <v>2739</v>
      </c>
      <c r="J444" t="s">
        <v>2756</v>
      </c>
      <c r="K444" t="s">
        <v>1480</v>
      </c>
      <c r="L444" t="s">
        <v>2789</v>
      </c>
      <c r="M444" t="s">
        <v>2557</v>
      </c>
      <c r="N444" t="s">
        <v>2576</v>
      </c>
      <c r="O444" t="s">
        <v>2602</v>
      </c>
      <c r="R444" t="s">
        <v>2790</v>
      </c>
      <c r="S444" t="s">
        <v>2606</v>
      </c>
      <c r="T444">
        <v>1</v>
      </c>
      <c r="U444" s="2">
        <v>921.12</v>
      </c>
      <c r="V444" s="3">
        <v>0</v>
      </c>
      <c r="W444" s="2">
        <v>921.12</v>
      </c>
      <c r="X444" s="2">
        <v>383.08</v>
      </c>
      <c r="Y444" s="3">
        <v>0.41588500955358693</v>
      </c>
      <c r="Z444" t="s">
        <v>1496</v>
      </c>
      <c r="AA444" t="s">
        <v>1499</v>
      </c>
      <c r="AB444" t="s">
        <v>1501</v>
      </c>
      <c r="AC444">
        <v>2</v>
      </c>
      <c r="AD444">
        <v>2024</v>
      </c>
      <c r="AE444" t="s">
        <v>2818</v>
      </c>
      <c r="AF444" t="s">
        <v>2830</v>
      </c>
      <c r="AG444" t="s">
        <v>2847</v>
      </c>
      <c r="AH444" t="s">
        <v>2848</v>
      </c>
      <c r="AI444">
        <v>1</v>
      </c>
    </row>
    <row r="445" spans="1:35" x14ac:dyDescent="0.3">
      <c r="A445" t="s">
        <v>434</v>
      </c>
      <c r="B445">
        <v>2</v>
      </c>
      <c r="C445" s="1">
        <v>45613</v>
      </c>
      <c r="D445" s="1">
        <v>45613</v>
      </c>
      <c r="E445" t="s">
        <v>1217</v>
      </c>
      <c r="F445" t="s">
        <v>1727</v>
      </c>
      <c r="G445" t="s">
        <v>1366</v>
      </c>
      <c r="H445" t="s">
        <v>2694</v>
      </c>
      <c r="I445" t="s">
        <v>2740</v>
      </c>
      <c r="J445" t="s">
        <v>2762</v>
      </c>
      <c r="K445" t="s">
        <v>1490</v>
      </c>
      <c r="L445" t="s">
        <v>2784</v>
      </c>
      <c r="M445" t="s">
        <v>2563</v>
      </c>
      <c r="N445" t="s">
        <v>2581</v>
      </c>
      <c r="O445" t="s">
        <v>2604</v>
      </c>
      <c r="P445" t="s">
        <v>2567</v>
      </c>
      <c r="Q445" t="s">
        <v>2585</v>
      </c>
      <c r="R445" t="s">
        <v>2604</v>
      </c>
      <c r="S445" t="s">
        <v>2606</v>
      </c>
      <c r="T445">
        <v>1</v>
      </c>
      <c r="U445" s="2">
        <v>1397.64</v>
      </c>
      <c r="V445" s="3">
        <v>0</v>
      </c>
      <c r="W445" s="2">
        <v>1397.64</v>
      </c>
      <c r="X445" s="2">
        <v>86.62</v>
      </c>
      <c r="Y445" s="3">
        <v>6.1975902235196473E-2</v>
      </c>
      <c r="Z445" t="s">
        <v>1496</v>
      </c>
      <c r="AA445" t="s">
        <v>1500</v>
      </c>
      <c r="AB445" t="s">
        <v>1501</v>
      </c>
      <c r="AC445">
        <v>0</v>
      </c>
      <c r="AD445">
        <v>2024</v>
      </c>
      <c r="AE445" t="s">
        <v>2818</v>
      </c>
      <c r="AF445" t="s">
        <v>2830</v>
      </c>
      <c r="AG445" t="s">
        <v>2847</v>
      </c>
      <c r="AH445" t="s">
        <v>2848</v>
      </c>
      <c r="AI445">
        <v>1</v>
      </c>
    </row>
    <row r="446" spans="1:35" x14ac:dyDescent="0.3">
      <c r="A446" t="s">
        <v>435</v>
      </c>
      <c r="B446">
        <v>1</v>
      </c>
      <c r="C446" s="1">
        <v>45614</v>
      </c>
      <c r="D446" s="1">
        <v>45615</v>
      </c>
      <c r="E446" t="s">
        <v>1218</v>
      </c>
      <c r="F446" t="s">
        <v>1837</v>
      </c>
      <c r="G446" t="s">
        <v>1423</v>
      </c>
      <c r="H446" t="s">
        <v>2708</v>
      </c>
      <c r="I446" t="s">
        <v>2741</v>
      </c>
      <c r="J446" t="s">
        <v>2765</v>
      </c>
      <c r="K446" t="s">
        <v>1489</v>
      </c>
      <c r="L446" t="s">
        <v>2787</v>
      </c>
      <c r="M446" t="s">
        <v>2566</v>
      </c>
      <c r="N446" t="s">
        <v>2584</v>
      </c>
      <c r="O446" t="s">
        <v>2601</v>
      </c>
      <c r="P446" t="s">
        <v>2566</v>
      </c>
      <c r="Q446" t="s">
        <v>2584</v>
      </c>
      <c r="R446" t="s">
        <v>2601</v>
      </c>
      <c r="S446" t="s">
        <v>2606</v>
      </c>
      <c r="T446">
        <v>1</v>
      </c>
      <c r="U446" s="2">
        <v>2319.64</v>
      </c>
      <c r="V446" s="3">
        <v>0</v>
      </c>
      <c r="W446" s="2">
        <v>2319.64</v>
      </c>
      <c r="X446" s="2">
        <v>822.13</v>
      </c>
      <c r="Y446" s="3">
        <v>0.35442137573071691</v>
      </c>
      <c r="Z446" t="s">
        <v>2807</v>
      </c>
      <c r="AA446" t="s">
        <v>1498</v>
      </c>
      <c r="AB446" t="s">
        <v>1501</v>
      </c>
      <c r="AC446">
        <v>1</v>
      </c>
      <c r="AD446">
        <v>2024</v>
      </c>
      <c r="AE446" t="s">
        <v>2818</v>
      </c>
      <c r="AF446" t="s">
        <v>2830</v>
      </c>
      <c r="AG446" t="s">
        <v>2847</v>
      </c>
      <c r="AH446" t="s">
        <v>2848</v>
      </c>
      <c r="AI446">
        <v>1</v>
      </c>
    </row>
    <row r="447" spans="1:35" x14ac:dyDescent="0.3">
      <c r="A447" t="s">
        <v>436</v>
      </c>
      <c r="B447">
        <v>2</v>
      </c>
      <c r="C447" s="1">
        <v>45615</v>
      </c>
      <c r="D447" s="1">
        <v>45617</v>
      </c>
      <c r="E447" t="s">
        <v>1219</v>
      </c>
      <c r="F447" t="s">
        <v>2045</v>
      </c>
      <c r="G447" t="s">
        <v>1381</v>
      </c>
      <c r="H447" t="s">
        <v>2682</v>
      </c>
      <c r="I447" t="s">
        <v>2739</v>
      </c>
      <c r="J447" t="s">
        <v>2759</v>
      </c>
      <c r="K447" t="s">
        <v>1480</v>
      </c>
      <c r="L447" t="s">
        <v>2789</v>
      </c>
      <c r="M447" t="s">
        <v>2562</v>
      </c>
      <c r="N447" t="s">
        <v>2574</v>
      </c>
      <c r="O447" t="s">
        <v>2602</v>
      </c>
      <c r="R447" t="s">
        <v>2790</v>
      </c>
      <c r="S447" t="s">
        <v>2607</v>
      </c>
      <c r="T447">
        <v>2</v>
      </c>
      <c r="U447" s="2">
        <v>4870.55</v>
      </c>
      <c r="V447" s="3">
        <v>0.05</v>
      </c>
      <c r="W447" s="2">
        <v>9254.0499999999993</v>
      </c>
      <c r="X447" s="2">
        <v>3466.81</v>
      </c>
      <c r="Y447" s="3">
        <v>0.37462624472528239</v>
      </c>
      <c r="Z447" t="s">
        <v>1496</v>
      </c>
      <c r="AA447" t="s">
        <v>1499</v>
      </c>
      <c r="AB447" t="s">
        <v>1501</v>
      </c>
      <c r="AC447">
        <v>2</v>
      </c>
      <c r="AD447">
        <v>2024</v>
      </c>
      <c r="AE447" t="s">
        <v>2818</v>
      </c>
      <c r="AF447" t="s">
        <v>2830</v>
      </c>
      <c r="AG447" t="s">
        <v>2847</v>
      </c>
      <c r="AH447" t="s">
        <v>2848</v>
      </c>
      <c r="AI447">
        <v>1</v>
      </c>
    </row>
    <row r="448" spans="1:35" x14ac:dyDescent="0.3">
      <c r="A448" t="s">
        <v>437</v>
      </c>
      <c r="B448">
        <v>2</v>
      </c>
      <c r="C448" s="1">
        <v>45615</v>
      </c>
      <c r="D448" s="1">
        <v>45616</v>
      </c>
      <c r="E448" t="s">
        <v>1004</v>
      </c>
      <c r="F448" t="s">
        <v>1699</v>
      </c>
      <c r="G448" t="s">
        <v>1342</v>
      </c>
      <c r="H448" t="s">
        <v>2623</v>
      </c>
      <c r="I448" t="s">
        <v>2737</v>
      </c>
      <c r="J448" t="s">
        <v>2745</v>
      </c>
      <c r="K448" t="s">
        <v>1485</v>
      </c>
      <c r="L448" t="s">
        <v>2775</v>
      </c>
      <c r="M448" t="s">
        <v>2557</v>
      </c>
      <c r="N448" t="s">
        <v>2576</v>
      </c>
      <c r="O448" t="s">
        <v>2602</v>
      </c>
      <c r="P448" t="s">
        <v>2562</v>
      </c>
      <c r="Q448" t="s">
        <v>2574</v>
      </c>
      <c r="R448" t="s">
        <v>2602</v>
      </c>
      <c r="S448" t="s">
        <v>2606</v>
      </c>
      <c r="T448">
        <v>1</v>
      </c>
      <c r="U448" s="2">
        <v>18924.84</v>
      </c>
      <c r="V448" s="3">
        <v>0</v>
      </c>
      <c r="W448" s="2">
        <v>18924.84</v>
      </c>
      <c r="X448" s="2">
        <v>2781.6</v>
      </c>
      <c r="Y448" s="3">
        <v>0.1469814275840641</v>
      </c>
      <c r="Z448" t="s">
        <v>1494</v>
      </c>
      <c r="AA448" t="s">
        <v>1499</v>
      </c>
      <c r="AB448" t="s">
        <v>1501</v>
      </c>
      <c r="AC448">
        <v>1</v>
      </c>
      <c r="AD448">
        <v>2024</v>
      </c>
      <c r="AE448" t="s">
        <v>2818</v>
      </c>
      <c r="AF448" t="s">
        <v>2830</v>
      </c>
      <c r="AG448" t="s">
        <v>2847</v>
      </c>
      <c r="AH448" t="s">
        <v>2848</v>
      </c>
      <c r="AI448">
        <v>1</v>
      </c>
    </row>
    <row r="449" spans="1:35" x14ac:dyDescent="0.3">
      <c r="A449" t="s">
        <v>438</v>
      </c>
      <c r="B449">
        <v>1</v>
      </c>
      <c r="C449" s="1">
        <v>45615</v>
      </c>
      <c r="D449" s="1">
        <v>45618</v>
      </c>
      <c r="E449" t="s">
        <v>1000</v>
      </c>
      <c r="F449" t="s">
        <v>1730</v>
      </c>
      <c r="G449" t="s">
        <v>1467</v>
      </c>
      <c r="H449" t="s">
        <v>2735</v>
      </c>
      <c r="I449" t="s">
        <v>2742</v>
      </c>
      <c r="J449" t="s">
        <v>2772</v>
      </c>
      <c r="K449" t="s">
        <v>1480</v>
      </c>
      <c r="L449" t="s">
        <v>2789</v>
      </c>
      <c r="M449" t="s">
        <v>2571</v>
      </c>
      <c r="N449" t="s">
        <v>2590</v>
      </c>
      <c r="O449" t="s">
        <v>2605</v>
      </c>
      <c r="R449" t="s">
        <v>2790</v>
      </c>
      <c r="S449" t="s">
        <v>2606</v>
      </c>
      <c r="T449">
        <v>1</v>
      </c>
      <c r="U449" s="2">
        <v>16820.04</v>
      </c>
      <c r="V449" s="3">
        <v>0</v>
      </c>
      <c r="W449" s="2">
        <v>16820.04</v>
      </c>
      <c r="X449" s="2">
        <v>4191.17</v>
      </c>
      <c r="Y449" s="3">
        <v>0.24917717199245659</v>
      </c>
      <c r="Z449" t="s">
        <v>1496</v>
      </c>
      <c r="AA449" t="s">
        <v>1498</v>
      </c>
      <c r="AB449" t="s">
        <v>1501</v>
      </c>
      <c r="AC449">
        <v>3</v>
      </c>
      <c r="AD449">
        <v>2024</v>
      </c>
      <c r="AE449" t="s">
        <v>2818</v>
      </c>
      <c r="AF449" t="s">
        <v>2830</v>
      </c>
      <c r="AG449" t="s">
        <v>2847</v>
      </c>
      <c r="AH449" t="s">
        <v>2848</v>
      </c>
      <c r="AI449">
        <v>1</v>
      </c>
    </row>
    <row r="450" spans="1:35" x14ac:dyDescent="0.3">
      <c r="A450" t="s">
        <v>439</v>
      </c>
      <c r="B450">
        <v>1</v>
      </c>
      <c r="C450" s="1">
        <v>45616</v>
      </c>
      <c r="D450" s="1">
        <v>45617</v>
      </c>
      <c r="E450" t="s">
        <v>1172</v>
      </c>
      <c r="F450" t="s">
        <v>1778</v>
      </c>
      <c r="G450" t="s">
        <v>1468</v>
      </c>
      <c r="H450" t="s">
        <v>2632</v>
      </c>
      <c r="I450" t="s">
        <v>2737</v>
      </c>
      <c r="J450" t="s">
        <v>2746</v>
      </c>
      <c r="K450" t="s">
        <v>1480</v>
      </c>
      <c r="L450" t="s">
        <v>2789</v>
      </c>
      <c r="M450" t="s">
        <v>2569</v>
      </c>
      <c r="N450" t="s">
        <v>2587</v>
      </c>
      <c r="O450" t="s">
        <v>2604</v>
      </c>
      <c r="R450" t="s">
        <v>2790</v>
      </c>
      <c r="S450" t="s">
        <v>2606</v>
      </c>
      <c r="T450">
        <v>1</v>
      </c>
      <c r="U450" s="2">
        <v>3433.61</v>
      </c>
      <c r="V450" s="3">
        <v>0.1</v>
      </c>
      <c r="W450" s="2">
        <v>3090.25</v>
      </c>
      <c r="X450" s="2">
        <v>81.28</v>
      </c>
      <c r="Y450" s="3">
        <v>2.6302079119812308E-2</v>
      </c>
      <c r="Z450" t="s">
        <v>1496</v>
      </c>
      <c r="AA450" t="s">
        <v>1498</v>
      </c>
      <c r="AB450" t="s">
        <v>1501</v>
      </c>
      <c r="AC450">
        <v>1</v>
      </c>
      <c r="AD450">
        <v>2024</v>
      </c>
      <c r="AE450" t="s">
        <v>2818</v>
      </c>
      <c r="AF450" t="s">
        <v>2830</v>
      </c>
      <c r="AG450" t="s">
        <v>2847</v>
      </c>
      <c r="AH450" t="s">
        <v>2848</v>
      </c>
      <c r="AI450">
        <v>1</v>
      </c>
    </row>
    <row r="451" spans="1:35" x14ac:dyDescent="0.3">
      <c r="A451" t="s">
        <v>440</v>
      </c>
      <c r="B451">
        <v>1</v>
      </c>
      <c r="C451" s="1">
        <v>45616</v>
      </c>
      <c r="D451" s="1">
        <v>45618</v>
      </c>
      <c r="E451" t="s">
        <v>1220</v>
      </c>
      <c r="F451" t="s">
        <v>1667</v>
      </c>
      <c r="G451" t="s">
        <v>1425</v>
      </c>
      <c r="H451" t="s">
        <v>2655</v>
      </c>
      <c r="I451" t="s">
        <v>2738</v>
      </c>
      <c r="J451" t="s">
        <v>2753</v>
      </c>
      <c r="K451" t="s">
        <v>1480</v>
      </c>
      <c r="L451" t="s">
        <v>2789</v>
      </c>
      <c r="M451" t="s">
        <v>2570</v>
      </c>
      <c r="N451" t="s">
        <v>2590</v>
      </c>
      <c r="O451" t="s">
        <v>2605</v>
      </c>
      <c r="R451" t="s">
        <v>2790</v>
      </c>
      <c r="S451" t="s">
        <v>2606</v>
      </c>
      <c r="T451">
        <v>3</v>
      </c>
      <c r="U451" s="2">
        <v>6347.66</v>
      </c>
      <c r="V451" s="3">
        <v>0</v>
      </c>
      <c r="W451" s="2">
        <v>19042.98</v>
      </c>
      <c r="X451" s="2">
        <v>5230.47</v>
      </c>
      <c r="Y451" s="3">
        <v>0.27466657004313411</v>
      </c>
      <c r="Z451" t="s">
        <v>1496</v>
      </c>
      <c r="AA451" t="s">
        <v>1499</v>
      </c>
      <c r="AB451" t="s">
        <v>1501</v>
      </c>
      <c r="AC451">
        <v>2</v>
      </c>
      <c r="AD451">
        <v>2024</v>
      </c>
      <c r="AE451" t="s">
        <v>2818</v>
      </c>
      <c r="AF451" t="s">
        <v>2830</v>
      </c>
      <c r="AG451" t="s">
        <v>2847</v>
      </c>
      <c r="AH451" t="s">
        <v>2848</v>
      </c>
      <c r="AI451">
        <v>1</v>
      </c>
    </row>
    <row r="452" spans="1:35" x14ac:dyDescent="0.3">
      <c r="A452" t="s">
        <v>440</v>
      </c>
      <c r="B452">
        <v>2</v>
      </c>
      <c r="C452" s="1">
        <v>45616</v>
      </c>
      <c r="D452" s="1">
        <v>45618</v>
      </c>
      <c r="E452" t="s">
        <v>1220</v>
      </c>
      <c r="F452" t="s">
        <v>1667</v>
      </c>
      <c r="G452" t="s">
        <v>1449</v>
      </c>
      <c r="H452" t="s">
        <v>2642</v>
      </c>
      <c r="I452" t="s">
        <v>2738</v>
      </c>
      <c r="J452" t="s">
        <v>2750</v>
      </c>
      <c r="K452" t="s">
        <v>1480</v>
      </c>
      <c r="L452" t="s">
        <v>2789</v>
      </c>
      <c r="M452" t="s">
        <v>2570</v>
      </c>
      <c r="N452" t="s">
        <v>2590</v>
      </c>
      <c r="O452" t="s">
        <v>2605</v>
      </c>
      <c r="R452" t="s">
        <v>2790</v>
      </c>
      <c r="S452" t="s">
        <v>2606</v>
      </c>
      <c r="T452">
        <v>1</v>
      </c>
      <c r="U452" s="2">
        <v>22795.96</v>
      </c>
      <c r="V452" s="3">
        <v>0.2</v>
      </c>
      <c r="W452" s="2">
        <v>18236.77</v>
      </c>
      <c r="X452" s="2">
        <v>538.12</v>
      </c>
      <c r="Y452" s="3">
        <v>2.95074182544387E-2</v>
      </c>
      <c r="Z452" t="s">
        <v>1496</v>
      </c>
      <c r="AA452" t="s">
        <v>1499</v>
      </c>
      <c r="AB452" t="s">
        <v>1501</v>
      </c>
      <c r="AC452">
        <v>2</v>
      </c>
      <c r="AD452">
        <v>2024</v>
      </c>
      <c r="AE452" t="s">
        <v>2818</v>
      </c>
      <c r="AF452" t="s">
        <v>2830</v>
      </c>
      <c r="AG452" t="s">
        <v>2847</v>
      </c>
      <c r="AH452" t="s">
        <v>2848</v>
      </c>
      <c r="AI452">
        <v>0</v>
      </c>
    </row>
    <row r="453" spans="1:35" x14ac:dyDescent="0.3">
      <c r="A453" t="s">
        <v>441</v>
      </c>
      <c r="B453">
        <v>1</v>
      </c>
      <c r="C453" s="1">
        <v>45617</v>
      </c>
      <c r="D453" s="1">
        <v>45618</v>
      </c>
      <c r="E453" t="s">
        <v>1191</v>
      </c>
      <c r="F453" t="s">
        <v>1650</v>
      </c>
      <c r="G453" t="s">
        <v>1376</v>
      </c>
      <c r="H453" t="s">
        <v>2681</v>
      </c>
      <c r="I453" t="s">
        <v>2739</v>
      </c>
      <c r="J453" t="s">
        <v>2759</v>
      </c>
      <c r="K453" t="s">
        <v>1480</v>
      </c>
      <c r="L453" t="s">
        <v>2789</v>
      </c>
      <c r="M453" t="s">
        <v>2551</v>
      </c>
      <c r="N453" t="s">
        <v>2574</v>
      </c>
      <c r="O453" t="s">
        <v>2602</v>
      </c>
      <c r="R453" t="s">
        <v>2790</v>
      </c>
      <c r="S453" t="s">
        <v>2607</v>
      </c>
      <c r="T453">
        <v>2</v>
      </c>
      <c r="U453" s="2">
        <v>5444.12</v>
      </c>
      <c r="V453" s="3">
        <v>0</v>
      </c>
      <c r="W453" s="2">
        <v>10888.24</v>
      </c>
      <c r="X453" s="2">
        <v>4855.22</v>
      </c>
      <c r="Y453" s="3">
        <v>0.44591412386207507</v>
      </c>
      <c r="Z453" t="s">
        <v>1494</v>
      </c>
      <c r="AA453" t="s">
        <v>1499</v>
      </c>
      <c r="AB453" t="s">
        <v>1501</v>
      </c>
      <c r="AC453">
        <v>1</v>
      </c>
      <c r="AD453">
        <v>2024</v>
      </c>
      <c r="AE453" t="s">
        <v>2818</v>
      </c>
      <c r="AF453" t="s">
        <v>2830</v>
      </c>
      <c r="AG453" t="s">
        <v>2847</v>
      </c>
      <c r="AH453" t="s">
        <v>2848</v>
      </c>
      <c r="AI453">
        <v>1</v>
      </c>
    </row>
    <row r="454" spans="1:35" x14ac:dyDescent="0.3">
      <c r="A454" t="s">
        <v>442</v>
      </c>
      <c r="B454">
        <v>1</v>
      </c>
      <c r="C454" s="1">
        <v>45617</v>
      </c>
      <c r="D454" s="1">
        <v>45620</v>
      </c>
      <c r="E454" t="s">
        <v>1167</v>
      </c>
      <c r="F454" t="s">
        <v>1819</v>
      </c>
      <c r="G454" t="s">
        <v>1349</v>
      </c>
      <c r="H454" t="s">
        <v>2668</v>
      </c>
      <c r="I454" t="s">
        <v>2739</v>
      </c>
      <c r="J454" t="s">
        <v>2756</v>
      </c>
      <c r="K454" t="s">
        <v>1480</v>
      </c>
      <c r="L454" t="s">
        <v>2789</v>
      </c>
      <c r="M454" t="s">
        <v>2567</v>
      </c>
      <c r="N454" t="s">
        <v>2585</v>
      </c>
      <c r="O454" t="s">
        <v>2604</v>
      </c>
      <c r="R454" t="s">
        <v>2790</v>
      </c>
      <c r="S454" t="s">
        <v>2608</v>
      </c>
      <c r="T454">
        <v>1</v>
      </c>
      <c r="U454" s="2">
        <v>2650.66</v>
      </c>
      <c r="V454" s="3">
        <v>0.05</v>
      </c>
      <c r="W454" s="2">
        <v>2518.13</v>
      </c>
      <c r="X454" s="2">
        <v>728.5</v>
      </c>
      <c r="Y454" s="3">
        <v>0.28930198202634488</v>
      </c>
      <c r="Z454" t="s">
        <v>1493</v>
      </c>
      <c r="AA454" t="s">
        <v>1498</v>
      </c>
      <c r="AB454" t="s">
        <v>1501</v>
      </c>
      <c r="AC454">
        <v>3</v>
      </c>
      <c r="AD454">
        <v>2024</v>
      </c>
      <c r="AE454" t="s">
        <v>2818</v>
      </c>
      <c r="AF454" t="s">
        <v>2830</v>
      </c>
      <c r="AG454" t="s">
        <v>2847</v>
      </c>
      <c r="AH454" t="s">
        <v>2848</v>
      </c>
      <c r="AI454">
        <v>1</v>
      </c>
    </row>
    <row r="455" spans="1:35" x14ac:dyDescent="0.3">
      <c r="A455" t="s">
        <v>443</v>
      </c>
      <c r="B455">
        <v>1</v>
      </c>
      <c r="C455" s="1">
        <v>45618</v>
      </c>
      <c r="D455" s="1">
        <v>45620</v>
      </c>
      <c r="E455" t="s">
        <v>972</v>
      </c>
      <c r="F455" t="s">
        <v>1806</v>
      </c>
      <c r="G455" t="s">
        <v>1369</v>
      </c>
      <c r="H455" t="s">
        <v>2725</v>
      </c>
      <c r="I455" t="s">
        <v>2742</v>
      </c>
      <c r="J455" t="s">
        <v>2770</v>
      </c>
      <c r="K455" t="s">
        <v>1480</v>
      </c>
      <c r="L455" t="s">
        <v>2789</v>
      </c>
      <c r="M455" t="s">
        <v>2555</v>
      </c>
      <c r="N455" t="s">
        <v>2578</v>
      </c>
      <c r="O455" t="s">
        <v>2603</v>
      </c>
      <c r="R455" t="s">
        <v>2790</v>
      </c>
      <c r="S455" t="s">
        <v>2606</v>
      </c>
      <c r="T455">
        <v>3</v>
      </c>
      <c r="U455" s="2">
        <v>23968.04</v>
      </c>
      <c r="V455" s="3">
        <v>0</v>
      </c>
      <c r="W455" s="2">
        <v>71904.12</v>
      </c>
      <c r="X455" s="2">
        <v>20090.759999999998</v>
      </c>
      <c r="Y455" s="3">
        <v>0.27941041486913398</v>
      </c>
      <c r="Z455" t="s">
        <v>1496</v>
      </c>
      <c r="AA455" t="s">
        <v>1500</v>
      </c>
      <c r="AB455" t="s">
        <v>1501</v>
      </c>
      <c r="AC455">
        <v>2</v>
      </c>
      <c r="AD455">
        <v>2024</v>
      </c>
      <c r="AE455" t="s">
        <v>2818</v>
      </c>
      <c r="AF455" t="s">
        <v>2830</v>
      </c>
      <c r="AG455" t="s">
        <v>2847</v>
      </c>
      <c r="AH455" t="s">
        <v>2848</v>
      </c>
      <c r="AI455">
        <v>1</v>
      </c>
    </row>
    <row r="456" spans="1:35" x14ac:dyDescent="0.3">
      <c r="A456" t="s">
        <v>444</v>
      </c>
      <c r="B456">
        <v>2</v>
      </c>
      <c r="C456" s="1">
        <v>45618</v>
      </c>
      <c r="D456" s="1">
        <v>45619</v>
      </c>
      <c r="E456" t="s">
        <v>1221</v>
      </c>
      <c r="F456" t="s">
        <v>2033</v>
      </c>
      <c r="G456" t="s">
        <v>1469</v>
      </c>
      <c r="H456" t="s">
        <v>2727</v>
      </c>
      <c r="I456" t="s">
        <v>2742</v>
      </c>
      <c r="J456" t="s">
        <v>2771</v>
      </c>
      <c r="K456" t="s">
        <v>1490</v>
      </c>
      <c r="L456" t="s">
        <v>2784</v>
      </c>
      <c r="M456" t="s">
        <v>2563</v>
      </c>
      <c r="N456" t="s">
        <v>2581</v>
      </c>
      <c r="O456" t="s">
        <v>2604</v>
      </c>
      <c r="P456" t="s">
        <v>2567</v>
      </c>
      <c r="Q456" t="s">
        <v>2585</v>
      </c>
      <c r="R456" t="s">
        <v>2604</v>
      </c>
      <c r="S456" t="s">
        <v>2606</v>
      </c>
      <c r="T456">
        <v>2</v>
      </c>
      <c r="U456" s="2">
        <v>13987.04</v>
      </c>
      <c r="V456" s="3">
        <v>0</v>
      </c>
      <c r="W456" s="2">
        <v>27974.080000000002</v>
      </c>
      <c r="X456" s="2">
        <v>7247.5</v>
      </c>
      <c r="Y456" s="3">
        <v>0.25907911895583341</v>
      </c>
      <c r="Z456" t="s">
        <v>1493</v>
      </c>
      <c r="AA456" t="s">
        <v>1498</v>
      </c>
      <c r="AB456" t="s">
        <v>1501</v>
      </c>
      <c r="AC456">
        <v>1</v>
      </c>
      <c r="AD456">
        <v>2024</v>
      </c>
      <c r="AE456" t="s">
        <v>2818</v>
      </c>
      <c r="AF456" t="s">
        <v>2830</v>
      </c>
      <c r="AG456" t="s">
        <v>2847</v>
      </c>
      <c r="AH456" t="s">
        <v>2848</v>
      </c>
      <c r="AI456">
        <v>1</v>
      </c>
    </row>
    <row r="457" spans="1:35" x14ac:dyDescent="0.3">
      <c r="A457" t="s">
        <v>445</v>
      </c>
      <c r="B457">
        <v>1</v>
      </c>
      <c r="C457" s="1">
        <v>45619</v>
      </c>
      <c r="D457" s="1">
        <v>45619</v>
      </c>
      <c r="E457" t="s">
        <v>1013</v>
      </c>
      <c r="F457" t="s">
        <v>1651</v>
      </c>
      <c r="G457" t="s">
        <v>1360</v>
      </c>
      <c r="H457" t="s">
        <v>2696</v>
      </c>
      <c r="I457" t="s">
        <v>2740</v>
      </c>
      <c r="J457" t="s">
        <v>2762</v>
      </c>
      <c r="K457" t="s">
        <v>1488</v>
      </c>
      <c r="L457" t="s">
        <v>2780</v>
      </c>
      <c r="M457" t="s">
        <v>2552</v>
      </c>
      <c r="N457" t="s">
        <v>2575</v>
      </c>
      <c r="O457" t="s">
        <v>2603</v>
      </c>
      <c r="P457" t="s">
        <v>2552</v>
      </c>
      <c r="Q457" t="s">
        <v>2575</v>
      </c>
      <c r="R457" t="s">
        <v>2603</v>
      </c>
      <c r="S457" t="s">
        <v>2606</v>
      </c>
      <c r="T457">
        <v>2</v>
      </c>
      <c r="U457" s="2">
        <v>1166.3499999999999</v>
      </c>
      <c r="V457" s="3">
        <v>0</v>
      </c>
      <c r="W457" s="2">
        <v>2332.6999999999998</v>
      </c>
      <c r="X457" s="2">
        <v>273.22000000000003</v>
      </c>
      <c r="Y457" s="3">
        <v>0.11712607707806411</v>
      </c>
      <c r="Z457" t="s">
        <v>1496</v>
      </c>
      <c r="AA457" t="s">
        <v>1499</v>
      </c>
      <c r="AB457" t="s">
        <v>1501</v>
      </c>
      <c r="AC457">
        <v>0</v>
      </c>
      <c r="AD457">
        <v>2024</v>
      </c>
      <c r="AE457" t="s">
        <v>2818</v>
      </c>
      <c r="AF457" t="s">
        <v>2830</v>
      </c>
      <c r="AG457" t="s">
        <v>2847</v>
      </c>
      <c r="AH457" t="s">
        <v>2848</v>
      </c>
      <c r="AI457">
        <v>1</v>
      </c>
    </row>
    <row r="458" spans="1:35" x14ac:dyDescent="0.3">
      <c r="A458" t="s">
        <v>446</v>
      </c>
      <c r="B458">
        <v>1</v>
      </c>
      <c r="C458" s="1">
        <v>45620</v>
      </c>
      <c r="D458" s="1">
        <v>45621</v>
      </c>
      <c r="E458" t="s">
        <v>978</v>
      </c>
      <c r="F458" t="s">
        <v>1887</v>
      </c>
      <c r="G458" t="s">
        <v>1357</v>
      </c>
      <c r="H458" t="s">
        <v>2689</v>
      </c>
      <c r="I458" t="s">
        <v>2740</v>
      </c>
      <c r="J458" t="s">
        <v>2760</v>
      </c>
      <c r="K458" t="s">
        <v>1480</v>
      </c>
      <c r="L458" t="s">
        <v>2789</v>
      </c>
      <c r="M458" t="s">
        <v>2555</v>
      </c>
      <c r="N458" t="s">
        <v>2578</v>
      </c>
      <c r="O458" t="s">
        <v>2603</v>
      </c>
      <c r="R458" t="s">
        <v>2790</v>
      </c>
      <c r="S458" t="s">
        <v>2607</v>
      </c>
      <c r="T458">
        <v>2</v>
      </c>
      <c r="U458" s="2">
        <v>986.91</v>
      </c>
      <c r="V458" s="3">
        <v>0</v>
      </c>
      <c r="W458" s="2">
        <v>1973.82</v>
      </c>
      <c r="X458" s="2">
        <v>257.45999999999998</v>
      </c>
      <c r="Y458" s="3">
        <v>0.13043742590509769</v>
      </c>
      <c r="Z458" t="s">
        <v>1497</v>
      </c>
      <c r="AA458" t="s">
        <v>1498</v>
      </c>
      <c r="AB458" t="s">
        <v>1501</v>
      </c>
      <c r="AC458">
        <v>1</v>
      </c>
      <c r="AD458">
        <v>2024</v>
      </c>
      <c r="AE458" t="s">
        <v>2818</v>
      </c>
      <c r="AF458" t="s">
        <v>2830</v>
      </c>
      <c r="AG458" t="s">
        <v>2847</v>
      </c>
      <c r="AH458" t="s">
        <v>2848</v>
      </c>
      <c r="AI458">
        <v>1</v>
      </c>
    </row>
    <row r="459" spans="1:35" x14ac:dyDescent="0.3">
      <c r="A459" t="s">
        <v>446</v>
      </c>
      <c r="B459">
        <v>2</v>
      </c>
      <c r="C459" s="1">
        <v>45620</v>
      </c>
      <c r="D459" s="1">
        <v>45621</v>
      </c>
      <c r="E459" t="s">
        <v>978</v>
      </c>
      <c r="F459" t="s">
        <v>1887</v>
      </c>
      <c r="G459" t="s">
        <v>1453</v>
      </c>
      <c r="H459" t="s">
        <v>2706</v>
      </c>
      <c r="I459" t="s">
        <v>2741</v>
      </c>
      <c r="J459" t="s">
        <v>2765</v>
      </c>
      <c r="K459" t="s">
        <v>1480</v>
      </c>
      <c r="L459" t="s">
        <v>2789</v>
      </c>
      <c r="M459" t="s">
        <v>2555</v>
      </c>
      <c r="N459" t="s">
        <v>2578</v>
      </c>
      <c r="O459" t="s">
        <v>2603</v>
      </c>
      <c r="R459" t="s">
        <v>2790</v>
      </c>
      <c r="S459" t="s">
        <v>2607</v>
      </c>
      <c r="T459">
        <v>2</v>
      </c>
      <c r="U459" s="2">
        <v>507.34</v>
      </c>
      <c r="V459" s="3">
        <v>0</v>
      </c>
      <c r="W459" s="2">
        <v>1014.68</v>
      </c>
      <c r="X459" s="2">
        <v>387.74</v>
      </c>
      <c r="Y459" s="3">
        <v>0.38213032680253878</v>
      </c>
      <c r="Z459" t="s">
        <v>1497</v>
      </c>
      <c r="AA459" t="s">
        <v>1498</v>
      </c>
      <c r="AB459" t="s">
        <v>1501</v>
      </c>
      <c r="AC459">
        <v>1</v>
      </c>
      <c r="AD459">
        <v>2024</v>
      </c>
      <c r="AE459" t="s">
        <v>2818</v>
      </c>
      <c r="AF459" t="s">
        <v>2830</v>
      </c>
      <c r="AG459" t="s">
        <v>2847</v>
      </c>
      <c r="AH459" t="s">
        <v>2848</v>
      </c>
      <c r="AI459">
        <v>0</v>
      </c>
    </row>
    <row r="460" spans="1:35" x14ac:dyDescent="0.3">
      <c r="A460" t="s">
        <v>447</v>
      </c>
      <c r="B460">
        <v>2</v>
      </c>
      <c r="C460" s="1">
        <v>45620</v>
      </c>
      <c r="D460" s="1">
        <v>45621</v>
      </c>
      <c r="E460" t="s">
        <v>965</v>
      </c>
      <c r="F460" t="s">
        <v>1685</v>
      </c>
      <c r="G460" t="s">
        <v>1450</v>
      </c>
      <c r="H460" t="s">
        <v>2723</v>
      </c>
      <c r="I460" t="s">
        <v>2742</v>
      </c>
      <c r="J460" t="s">
        <v>2770</v>
      </c>
      <c r="K460" t="s">
        <v>1482</v>
      </c>
      <c r="L460" t="s">
        <v>2783</v>
      </c>
      <c r="M460" t="s">
        <v>2569</v>
      </c>
      <c r="N460" t="s">
        <v>2587</v>
      </c>
      <c r="O460" t="s">
        <v>2604</v>
      </c>
      <c r="P460" t="s">
        <v>2560</v>
      </c>
      <c r="Q460" t="s">
        <v>2579</v>
      </c>
      <c r="R460" t="s">
        <v>2604</v>
      </c>
      <c r="S460" t="s">
        <v>2608</v>
      </c>
      <c r="T460">
        <v>1</v>
      </c>
      <c r="U460" s="2">
        <v>7983.56</v>
      </c>
      <c r="V460" s="3">
        <v>0.15</v>
      </c>
      <c r="W460" s="2">
        <v>6786.03</v>
      </c>
      <c r="X460" s="2">
        <v>770.82</v>
      </c>
      <c r="Y460" s="3">
        <v>0.1135892414268726</v>
      </c>
      <c r="Z460" t="s">
        <v>1493</v>
      </c>
      <c r="AA460" t="s">
        <v>1498</v>
      </c>
      <c r="AB460" t="s">
        <v>1501</v>
      </c>
      <c r="AC460">
        <v>1</v>
      </c>
      <c r="AD460">
        <v>2024</v>
      </c>
      <c r="AE460" t="s">
        <v>2818</v>
      </c>
      <c r="AF460" t="s">
        <v>2830</v>
      </c>
      <c r="AG460" t="s">
        <v>2847</v>
      </c>
      <c r="AH460" t="s">
        <v>2848</v>
      </c>
      <c r="AI460">
        <v>1</v>
      </c>
    </row>
    <row r="461" spans="1:35" x14ac:dyDescent="0.3">
      <c r="A461" t="s">
        <v>448</v>
      </c>
      <c r="B461">
        <v>1</v>
      </c>
      <c r="C461" s="1">
        <v>45621</v>
      </c>
      <c r="D461" s="1">
        <v>45622</v>
      </c>
      <c r="E461" t="s">
        <v>1132</v>
      </c>
      <c r="F461" t="s">
        <v>1966</v>
      </c>
      <c r="G461" t="s">
        <v>1337</v>
      </c>
      <c r="H461" t="s">
        <v>2628</v>
      </c>
      <c r="I461" t="s">
        <v>2737</v>
      </c>
      <c r="J461" t="s">
        <v>2746</v>
      </c>
      <c r="K461" t="s">
        <v>1489</v>
      </c>
      <c r="L461" t="s">
        <v>2787</v>
      </c>
      <c r="M461" t="s">
        <v>2554</v>
      </c>
      <c r="N461" t="s">
        <v>2577</v>
      </c>
      <c r="O461" t="s">
        <v>2601</v>
      </c>
      <c r="P461" t="s">
        <v>2566</v>
      </c>
      <c r="Q461" t="s">
        <v>2584</v>
      </c>
      <c r="R461" t="s">
        <v>2601</v>
      </c>
      <c r="S461" t="s">
        <v>2606</v>
      </c>
      <c r="T461">
        <v>1</v>
      </c>
      <c r="U461" s="2">
        <v>12042.96</v>
      </c>
      <c r="V461" s="3">
        <v>0</v>
      </c>
      <c r="W461" s="2">
        <v>12042.96</v>
      </c>
      <c r="X461" s="2">
        <v>1101.3599999999999</v>
      </c>
      <c r="Y461" s="3">
        <v>9.1452599693098699E-2</v>
      </c>
      <c r="Z461" t="s">
        <v>1496</v>
      </c>
      <c r="AA461" t="s">
        <v>1499</v>
      </c>
      <c r="AB461" t="s">
        <v>1501</v>
      </c>
      <c r="AC461">
        <v>1</v>
      </c>
      <c r="AD461">
        <v>2024</v>
      </c>
      <c r="AE461" t="s">
        <v>2818</v>
      </c>
      <c r="AF461" t="s">
        <v>2830</v>
      </c>
      <c r="AG461" t="s">
        <v>2847</v>
      </c>
      <c r="AH461" t="s">
        <v>2848</v>
      </c>
      <c r="AI461">
        <v>1</v>
      </c>
    </row>
    <row r="462" spans="1:35" x14ac:dyDescent="0.3">
      <c r="A462" t="s">
        <v>449</v>
      </c>
      <c r="B462">
        <v>1</v>
      </c>
      <c r="C462" s="1">
        <v>45621</v>
      </c>
      <c r="D462" s="1">
        <v>45623</v>
      </c>
      <c r="E462" t="s">
        <v>1035</v>
      </c>
      <c r="F462" t="s">
        <v>1926</v>
      </c>
      <c r="G462" t="s">
        <v>1413</v>
      </c>
      <c r="H462" t="s">
        <v>2716</v>
      </c>
      <c r="I462" t="s">
        <v>2741</v>
      </c>
      <c r="J462" t="s">
        <v>2768</v>
      </c>
      <c r="K462" t="s">
        <v>1480</v>
      </c>
      <c r="L462" t="s">
        <v>2789</v>
      </c>
      <c r="M462" t="s">
        <v>2565</v>
      </c>
      <c r="N462" t="s">
        <v>2583</v>
      </c>
      <c r="O462" t="s">
        <v>2604</v>
      </c>
      <c r="R462" t="s">
        <v>2790</v>
      </c>
      <c r="S462" t="s">
        <v>2607</v>
      </c>
      <c r="T462">
        <v>2</v>
      </c>
      <c r="U462" s="2">
        <v>771.89</v>
      </c>
      <c r="V462" s="3">
        <v>0.15</v>
      </c>
      <c r="W462" s="2">
        <v>1312.21</v>
      </c>
      <c r="X462" s="2">
        <v>209.31</v>
      </c>
      <c r="Y462" s="3">
        <v>0.15950952972466301</v>
      </c>
      <c r="Z462" t="s">
        <v>1496</v>
      </c>
      <c r="AA462" t="s">
        <v>1499</v>
      </c>
      <c r="AB462" t="s">
        <v>1501</v>
      </c>
      <c r="AC462">
        <v>2</v>
      </c>
      <c r="AD462">
        <v>2024</v>
      </c>
      <c r="AE462" t="s">
        <v>2818</v>
      </c>
      <c r="AF462" t="s">
        <v>2830</v>
      </c>
      <c r="AG462" t="s">
        <v>2847</v>
      </c>
      <c r="AH462" t="s">
        <v>2848</v>
      </c>
      <c r="AI462">
        <v>1</v>
      </c>
    </row>
    <row r="463" spans="1:35" x14ac:dyDescent="0.3">
      <c r="A463" t="s">
        <v>450</v>
      </c>
      <c r="B463">
        <v>1</v>
      </c>
      <c r="C463" s="1">
        <v>45622</v>
      </c>
      <c r="D463" s="1">
        <v>45623</v>
      </c>
      <c r="E463" t="s">
        <v>1055</v>
      </c>
      <c r="F463" t="s">
        <v>2024</v>
      </c>
      <c r="G463" t="s">
        <v>1432</v>
      </c>
      <c r="H463" t="s">
        <v>2651</v>
      </c>
      <c r="I463" t="s">
        <v>2738</v>
      </c>
      <c r="J463" t="s">
        <v>2751</v>
      </c>
      <c r="K463" t="s">
        <v>1480</v>
      </c>
      <c r="L463" t="s">
        <v>2789</v>
      </c>
      <c r="M463" t="s">
        <v>2554</v>
      </c>
      <c r="N463" t="s">
        <v>2577</v>
      </c>
      <c r="O463" t="s">
        <v>2601</v>
      </c>
      <c r="R463" t="s">
        <v>2790</v>
      </c>
      <c r="S463" t="s">
        <v>2606</v>
      </c>
      <c r="T463">
        <v>1</v>
      </c>
      <c r="U463" s="2">
        <v>2490.0500000000002</v>
      </c>
      <c r="V463" s="3">
        <v>0.15</v>
      </c>
      <c r="W463" s="2">
        <v>2116.54</v>
      </c>
      <c r="X463" s="2">
        <v>207.24</v>
      </c>
      <c r="Y463" s="3">
        <v>9.7914520868965391E-2</v>
      </c>
      <c r="Z463" t="s">
        <v>1496</v>
      </c>
      <c r="AA463" t="s">
        <v>1499</v>
      </c>
      <c r="AB463" t="s">
        <v>1501</v>
      </c>
      <c r="AC463">
        <v>1</v>
      </c>
      <c r="AD463">
        <v>2024</v>
      </c>
      <c r="AE463" t="s">
        <v>2818</v>
      </c>
      <c r="AF463" t="s">
        <v>2830</v>
      </c>
      <c r="AG463" t="s">
        <v>2847</v>
      </c>
      <c r="AH463" t="s">
        <v>2848</v>
      </c>
      <c r="AI463">
        <v>1</v>
      </c>
    </row>
    <row r="464" spans="1:35" x14ac:dyDescent="0.3">
      <c r="A464" t="s">
        <v>451</v>
      </c>
      <c r="B464">
        <v>1</v>
      </c>
      <c r="C464" s="1">
        <v>45622</v>
      </c>
      <c r="D464" s="1">
        <v>45622</v>
      </c>
      <c r="E464" t="s">
        <v>1158</v>
      </c>
      <c r="F464" t="s">
        <v>1981</v>
      </c>
      <c r="G464" t="s">
        <v>1467</v>
      </c>
      <c r="H464" t="s">
        <v>2735</v>
      </c>
      <c r="I464" t="s">
        <v>2742</v>
      </c>
      <c r="J464" t="s">
        <v>2772</v>
      </c>
      <c r="K464" t="s">
        <v>1483</v>
      </c>
      <c r="L464" t="s">
        <v>2781</v>
      </c>
      <c r="M464" t="s">
        <v>2555</v>
      </c>
      <c r="N464" t="s">
        <v>2578</v>
      </c>
      <c r="O464" t="s">
        <v>2603</v>
      </c>
      <c r="P464" t="s">
        <v>2568</v>
      </c>
      <c r="Q464" t="s">
        <v>2586</v>
      </c>
      <c r="R464" t="s">
        <v>2603</v>
      </c>
      <c r="S464" t="s">
        <v>2606</v>
      </c>
      <c r="T464">
        <v>1</v>
      </c>
      <c r="U464" s="2">
        <v>16820.04</v>
      </c>
      <c r="V464" s="3">
        <v>0.1</v>
      </c>
      <c r="W464" s="2">
        <v>15138.04</v>
      </c>
      <c r="X464" s="2">
        <v>2509.17</v>
      </c>
      <c r="Y464" s="3">
        <v>0.16575263376236291</v>
      </c>
      <c r="Z464" t="s">
        <v>1497</v>
      </c>
      <c r="AA464" t="s">
        <v>1498</v>
      </c>
      <c r="AB464" t="s">
        <v>1501</v>
      </c>
      <c r="AC464">
        <v>0</v>
      </c>
      <c r="AD464">
        <v>2024</v>
      </c>
      <c r="AE464" t="s">
        <v>2818</v>
      </c>
      <c r="AF464" t="s">
        <v>2830</v>
      </c>
      <c r="AG464" t="s">
        <v>2847</v>
      </c>
      <c r="AH464" t="s">
        <v>2848</v>
      </c>
      <c r="AI464">
        <v>1</v>
      </c>
    </row>
    <row r="465" spans="1:35" x14ac:dyDescent="0.3">
      <c r="A465" t="s">
        <v>452</v>
      </c>
      <c r="B465">
        <v>1</v>
      </c>
      <c r="C465" s="1">
        <v>45624</v>
      </c>
      <c r="D465" s="1">
        <v>45625</v>
      </c>
      <c r="E465" t="s">
        <v>1222</v>
      </c>
      <c r="F465" t="s">
        <v>1892</v>
      </c>
      <c r="G465" t="s">
        <v>1459</v>
      </c>
      <c r="H465" t="s">
        <v>2688</v>
      </c>
      <c r="I465" t="s">
        <v>2740</v>
      </c>
      <c r="J465" t="s">
        <v>2760</v>
      </c>
      <c r="K465" t="s">
        <v>1486</v>
      </c>
      <c r="L465" t="s">
        <v>2776</v>
      </c>
      <c r="M465" t="s">
        <v>2562</v>
      </c>
      <c r="N465" t="s">
        <v>2574</v>
      </c>
      <c r="O465" t="s">
        <v>2602</v>
      </c>
      <c r="P465" t="s">
        <v>2551</v>
      </c>
      <c r="Q465" t="s">
        <v>2574</v>
      </c>
      <c r="R465" t="s">
        <v>2602</v>
      </c>
      <c r="S465" t="s">
        <v>2606</v>
      </c>
      <c r="T465">
        <v>1</v>
      </c>
      <c r="U465" s="2">
        <v>814.23</v>
      </c>
      <c r="V465" s="3">
        <v>0.2</v>
      </c>
      <c r="W465" s="2">
        <v>651.38</v>
      </c>
      <c r="X465" s="2">
        <v>-53.05</v>
      </c>
      <c r="Y465" s="3">
        <v>-8.1442475974085785E-2</v>
      </c>
      <c r="Z465" t="s">
        <v>1494</v>
      </c>
      <c r="AA465" t="s">
        <v>1499</v>
      </c>
      <c r="AB465" t="s">
        <v>1501</v>
      </c>
      <c r="AC465">
        <v>1</v>
      </c>
      <c r="AD465">
        <v>2024</v>
      </c>
      <c r="AE465" t="s">
        <v>2818</v>
      </c>
      <c r="AF465" t="s">
        <v>2830</v>
      </c>
      <c r="AG465" t="s">
        <v>2847</v>
      </c>
      <c r="AH465" t="s">
        <v>2848</v>
      </c>
      <c r="AI465">
        <v>1</v>
      </c>
    </row>
    <row r="466" spans="1:35" x14ac:dyDescent="0.3">
      <c r="A466" t="s">
        <v>453</v>
      </c>
      <c r="B466">
        <v>1</v>
      </c>
      <c r="C466" s="1">
        <v>45624</v>
      </c>
      <c r="D466" s="1">
        <v>45625</v>
      </c>
      <c r="E466" t="s">
        <v>1223</v>
      </c>
      <c r="F466" t="s">
        <v>1883</v>
      </c>
      <c r="G466" t="s">
        <v>1356</v>
      </c>
      <c r="H466" t="s">
        <v>2640</v>
      </c>
      <c r="I466" t="s">
        <v>2737</v>
      </c>
      <c r="J466" t="s">
        <v>2748</v>
      </c>
      <c r="K466" t="s">
        <v>1480</v>
      </c>
      <c r="L466" t="s">
        <v>2789</v>
      </c>
      <c r="M466" t="s">
        <v>2555</v>
      </c>
      <c r="N466" t="s">
        <v>2578</v>
      </c>
      <c r="O466" t="s">
        <v>2603</v>
      </c>
      <c r="R466" t="s">
        <v>2790</v>
      </c>
      <c r="S466" t="s">
        <v>2606</v>
      </c>
      <c r="T466">
        <v>1</v>
      </c>
      <c r="U466" s="2">
        <v>68671.53</v>
      </c>
      <c r="V466" s="3">
        <v>0</v>
      </c>
      <c r="W466" s="2">
        <v>68671.53</v>
      </c>
      <c r="X466" s="2">
        <v>10702.59</v>
      </c>
      <c r="Y466" s="3">
        <v>0.15585192291478001</v>
      </c>
      <c r="Z466" t="s">
        <v>1493</v>
      </c>
      <c r="AA466" t="s">
        <v>1498</v>
      </c>
      <c r="AB466" t="s">
        <v>1501</v>
      </c>
      <c r="AC466">
        <v>1</v>
      </c>
      <c r="AD466">
        <v>2024</v>
      </c>
      <c r="AE466" t="s">
        <v>2818</v>
      </c>
      <c r="AF466" t="s">
        <v>2830</v>
      </c>
      <c r="AG466" t="s">
        <v>2847</v>
      </c>
      <c r="AH466" t="s">
        <v>2848</v>
      </c>
      <c r="AI466">
        <v>1</v>
      </c>
    </row>
    <row r="467" spans="1:35" x14ac:dyDescent="0.3">
      <c r="A467" t="s">
        <v>454</v>
      </c>
      <c r="B467">
        <v>2</v>
      </c>
      <c r="C467" s="1">
        <v>45624</v>
      </c>
      <c r="D467" s="1">
        <v>45625</v>
      </c>
      <c r="E467" t="s">
        <v>1125</v>
      </c>
      <c r="F467" t="s">
        <v>1661</v>
      </c>
      <c r="G467" t="s">
        <v>1448</v>
      </c>
      <c r="H467" t="s">
        <v>2679</v>
      </c>
      <c r="I467" t="s">
        <v>2739</v>
      </c>
      <c r="J467" t="s">
        <v>2758</v>
      </c>
      <c r="K467" t="s">
        <v>1480</v>
      </c>
      <c r="L467" t="s">
        <v>2789</v>
      </c>
      <c r="M467" t="s">
        <v>2560</v>
      </c>
      <c r="N467" t="s">
        <v>2579</v>
      </c>
      <c r="O467" t="s">
        <v>2604</v>
      </c>
      <c r="R467" t="s">
        <v>2790</v>
      </c>
      <c r="S467" t="s">
        <v>2606</v>
      </c>
      <c r="T467">
        <v>1</v>
      </c>
      <c r="U467" s="2">
        <v>579.75</v>
      </c>
      <c r="V467" s="3">
        <v>0.05</v>
      </c>
      <c r="W467" s="2">
        <v>550.76</v>
      </c>
      <c r="X467" s="2">
        <v>159.27000000000001</v>
      </c>
      <c r="Y467" s="3">
        <v>0.28918222093107709</v>
      </c>
      <c r="Z467" t="s">
        <v>1496</v>
      </c>
      <c r="AA467" t="s">
        <v>1499</v>
      </c>
      <c r="AB467" t="s">
        <v>1501</v>
      </c>
      <c r="AC467">
        <v>1</v>
      </c>
      <c r="AD467">
        <v>2024</v>
      </c>
      <c r="AE467" t="s">
        <v>2818</v>
      </c>
      <c r="AF467" t="s">
        <v>2830</v>
      </c>
      <c r="AG467" t="s">
        <v>2847</v>
      </c>
      <c r="AH467" t="s">
        <v>2848</v>
      </c>
      <c r="AI467">
        <v>1</v>
      </c>
    </row>
    <row r="468" spans="1:35" x14ac:dyDescent="0.3">
      <c r="A468" t="s">
        <v>455</v>
      </c>
      <c r="B468">
        <v>1</v>
      </c>
      <c r="C468" s="1">
        <v>45624</v>
      </c>
      <c r="D468" s="1">
        <v>45625</v>
      </c>
      <c r="E468" t="s">
        <v>1172</v>
      </c>
      <c r="F468" t="s">
        <v>1778</v>
      </c>
      <c r="G468" t="s">
        <v>1460</v>
      </c>
      <c r="H468" t="s">
        <v>2667</v>
      </c>
      <c r="I468" t="s">
        <v>2739</v>
      </c>
      <c r="J468" t="s">
        <v>2755</v>
      </c>
      <c r="K468" t="s">
        <v>1480</v>
      </c>
      <c r="L468" t="s">
        <v>2789</v>
      </c>
      <c r="M468" t="s">
        <v>2569</v>
      </c>
      <c r="N468" t="s">
        <v>2587</v>
      </c>
      <c r="O468" t="s">
        <v>2604</v>
      </c>
      <c r="R468" t="s">
        <v>2790</v>
      </c>
      <c r="S468" t="s">
        <v>2606</v>
      </c>
      <c r="T468">
        <v>1</v>
      </c>
      <c r="U468" s="2">
        <v>4883.8599999999997</v>
      </c>
      <c r="V468" s="3">
        <v>0</v>
      </c>
      <c r="W468" s="2">
        <v>4883.8599999999997</v>
      </c>
      <c r="X468" s="2">
        <v>1677.49</v>
      </c>
      <c r="Y468" s="3">
        <v>0.34347626672345238</v>
      </c>
      <c r="Z468" t="s">
        <v>1494</v>
      </c>
      <c r="AA468" t="s">
        <v>1498</v>
      </c>
      <c r="AB468" t="s">
        <v>1501</v>
      </c>
      <c r="AC468">
        <v>1</v>
      </c>
      <c r="AD468">
        <v>2024</v>
      </c>
      <c r="AE468" t="s">
        <v>2818</v>
      </c>
      <c r="AF468" t="s">
        <v>2830</v>
      </c>
      <c r="AG468" t="s">
        <v>2847</v>
      </c>
      <c r="AH468" t="s">
        <v>2848</v>
      </c>
      <c r="AI468">
        <v>1</v>
      </c>
    </row>
    <row r="469" spans="1:35" x14ac:dyDescent="0.3">
      <c r="A469" t="s">
        <v>456</v>
      </c>
      <c r="B469">
        <v>1</v>
      </c>
      <c r="C469" s="1">
        <v>45625</v>
      </c>
      <c r="D469" s="1">
        <v>45625</v>
      </c>
      <c r="E469" t="s">
        <v>1014</v>
      </c>
      <c r="F469" t="s">
        <v>1882</v>
      </c>
      <c r="G469" t="s">
        <v>1333</v>
      </c>
      <c r="H469" t="s">
        <v>2620</v>
      </c>
      <c r="I469" t="s">
        <v>2737</v>
      </c>
      <c r="J469" t="s">
        <v>2744</v>
      </c>
      <c r="K469" t="s">
        <v>1487</v>
      </c>
      <c r="L469" t="s">
        <v>2785</v>
      </c>
      <c r="M469" t="s">
        <v>2564</v>
      </c>
      <c r="N469" t="s">
        <v>2582</v>
      </c>
      <c r="O469" t="s">
        <v>2601</v>
      </c>
      <c r="P469" t="s">
        <v>2550</v>
      </c>
      <c r="Q469" t="s">
        <v>2573</v>
      </c>
      <c r="R469" t="s">
        <v>2601</v>
      </c>
      <c r="S469" t="s">
        <v>2606</v>
      </c>
      <c r="T469">
        <v>2</v>
      </c>
      <c r="U469" s="2">
        <v>16375.46</v>
      </c>
      <c r="V469" s="3">
        <v>0</v>
      </c>
      <c r="W469" s="2">
        <v>32750.92</v>
      </c>
      <c r="X469" s="2">
        <v>4148.62</v>
      </c>
      <c r="Y469" s="3">
        <v>0.12667186143167891</v>
      </c>
      <c r="Z469" t="s">
        <v>1495</v>
      </c>
      <c r="AA469" t="s">
        <v>1498</v>
      </c>
      <c r="AB469" t="s">
        <v>1501</v>
      </c>
      <c r="AC469">
        <v>0</v>
      </c>
      <c r="AD469">
        <v>2024</v>
      </c>
      <c r="AE469" t="s">
        <v>2818</v>
      </c>
      <c r="AF469" t="s">
        <v>2830</v>
      </c>
      <c r="AG469" t="s">
        <v>2847</v>
      </c>
      <c r="AH469" t="s">
        <v>2848</v>
      </c>
      <c r="AI469">
        <v>1</v>
      </c>
    </row>
    <row r="470" spans="1:35" x14ac:dyDescent="0.3">
      <c r="A470" t="s">
        <v>457</v>
      </c>
      <c r="B470">
        <v>1</v>
      </c>
      <c r="C470" s="1">
        <v>45625</v>
      </c>
      <c r="D470" s="1">
        <v>45626</v>
      </c>
      <c r="E470" t="s">
        <v>1022</v>
      </c>
      <c r="F470" t="s">
        <v>1658</v>
      </c>
      <c r="G470" t="s">
        <v>1470</v>
      </c>
      <c r="H470" t="s">
        <v>2672</v>
      </c>
      <c r="I470" t="s">
        <v>2739</v>
      </c>
      <c r="J470" t="s">
        <v>2756</v>
      </c>
      <c r="K470" t="s">
        <v>1481</v>
      </c>
      <c r="L470" t="s">
        <v>2777</v>
      </c>
      <c r="M470" t="s">
        <v>2557</v>
      </c>
      <c r="N470" t="s">
        <v>2576</v>
      </c>
      <c r="O470" t="s">
        <v>2602</v>
      </c>
      <c r="P470" t="s">
        <v>2557</v>
      </c>
      <c r="Q470" t="s">
        <v>2576</v>
      </c>
      <c r="R470" t="s">
        <v>2602</v>
      </c>
      <c r="S470" t="s">
        <v>2606</v>
      </c>
      <c r="T470">
        <v>1</v>
      </c>
      <c r="U470" s="2">
        <v>4551.28</v>
      </c>
      <c r="V470" s="3">
        <v>0</v>
      </c>
      <c r="W470" s="2">
        <v>4551.28</v>
      </c>
      <c r="X470" s="2">
        <v>1881.11</v>
      </c>
      <c r="Y470" s="3">
        <v>0.41331449614174481</v>
      </c>
      <c r="Z470" t="s">
        <v>1496</v>
      </c>
      <c r="AA470" t="s">
        <v>1499</v>
      </c>
      <c r="AB470" t="s">
        <v>1501</v>
      </c>
      <c r="AC470">
        <v>1</v>
      </c>
      <c r="AD470">
        <v>2024</v>
      </c>
      <c r="AE470" t="s">
        <v>2818</v>
      </c>
      <c r="AF470" t="s">
        <v>2830</v>
      </c>
      <c r="AG470" t="s">
        <v>2847</v>
      </c>
      <c r="AH470" t="s">
        <v>2848</v>
      </c>
      <c r="AI470">
        <v>1</v>
      </c>
    </row>
    <row r="471" spans="1:35" x14ac:dyDescent="0.3">
      <c r="A471" t="s">
        <v>458</v>
      </c>
      <c r="B471">
        <v>1</v>
      </c>
      <c r="C471" s="1">
        <v>45626</v>
      </c>
      <c r="D471" s="1">
        <v>45626</v>
      </c>
      <c r="E471" t="s">
        <v>1050</v>
      </c>
      <c r="F471" t="s">
        <v>1753</v>
      </c>
      <c r="G471" t="s">
        <v>1471</v>
      </c>
      <c r="H471" t="s">
        <v>2637</v>
      </c>
      <c r="I471" t="s">
        <v>2737</v>
      </c>
      <c r="J471" t="s">
        <v>2747</v>
      </c>
      <c r="K471" t="s">
        <v>1486</v>
      </c>
      <c r="L471" t="s">
        <v>2776</v>
      </c>
      <c r="M471" t="s">
        <v>2556</v>
      </c>
      <c r="N471" t="s">
        <v>2574</v>
      </c>
      <c r="O471" t="s">
        <v>2602</v>
      </c>
      <c r="P471" t="s">
        <v>2551</v>
      </c>
      <c r="Q471" t="s">
        <v>2574</v>
      </c>
      <c r="R471" t="s">
        <v>2602</v>
      </c>
      <c r="S471" t="s">
        <v>2608</v>
      </c>
      <c r="T471">
        <v>3</v>
      </c>
      <c r="U471" s="2">
        <v>31099.68</v>
      </c>
      <c r="V471" s="3">
        <v>0</v>
      </c>
      <c r="W471" s="2">
        <v>93299.04</v>
      </c>
      <c r="X471" s="2">
        <v>10277.01</v>
      </c>
      <c r="Y471" s="3">
        <v>0.1101512941612261</v>
      </c>
      <c r="Z471" t="s">
        <v>2807</v>
      </c>
      <c r="AA471" t="s">
        <v>1498</v>
      </c>
      <c r="AB471" t="s">
        <v>1501</v>
      </c>
      <c r="AC471">
        <v>0</v>
      </c>
      <c r="AD471">
        <v>2024</v>
      </c>
      <c r="AE471" t="s">
        <v>2818</v>
      </c>
      <c r="AF471" t="s">
        <v>2830</v>
      </c>
      <c r="AG471" t="s">
        <v>2847</v>
      </c>
      <c r="AH471" t="s">
        <v>2848</v>
      </c>
      <c r="AI471">
        <v>1</v>
      </c>
    </row>
    <row r="472" spans="1:35" x14ac:dyDescent="0.3">
      <c r="A472" t="s">
        <v>459</v>
      </c>
      <c r="B472">
        <v>1</v>
      </c>
      <c r="C472" s="1">
        <v>45626</v>
      </c>
      <c r="D472" s="1">
        <v>45627</v>
      </c>
      <c r="E472" t="s">
        <v>1224</v>
      </c>
      <c r="F472" t="s">
        <v>1976</v>
      </c>
      <c r="G472" t="s">
        <v>1338</v>
      </c>
      <c r="H472" t="s">
        <v>2693</v>
      </c>
      <c r="I472" t="s">
        <v>2740</v>
      </c>
      <c r="J472" t="s">
        <v>2761</v>
      </c>
      <c r="K472" t="s">
        <v>1480</v>
      </c>
      <c r="L472" t="s">
        <v>2789</v>
      </c>
      <c r="M472" t="s">
        <v>2557</v>
      </c>
      <c r="N472" t="s">
        <v>2576</v>
      </c>
      <c r="O472" t="s">
        <v>2602</v>
      </c>
      <c r="R472" t="s">
        <v>2790</v>
      </c>
      <c r="S472" t="s">
        <v>2606</v>
      </c>
      <c r="T472">
        <v>2</v>
      </c>
      <c r="U472" s="2">
        <v>1151.02</v>
      </c>
      <c r="V472" s="3">
        <v>0.05</v>
      </c>
      <c r="W472" s="2">
        <v>2186.94</v>
      </c>
      <c r="X472" s="2">
        <v>184</v>
      </c>
      <c r="Y472" s="3">
        <v>8.4135824485353963E-2</v>
      </c>
      <c r="Z472" t="s">
        <v>1496</v>
      </c>
      <c r="AA472" t="s">
        <v>1498</v>
      </c>
      <c r="AB472" t="s">
        <v>1501</v>
      </c>
      <c r="AC472">
        <v>1</v>
      </c>
      <c r="AD472">
        <v>2024</v>
      </c>
      <c r="AE472" t="s">
        <v>2818</v>
      </c>
      <c r="AF472" t="s">
        <v>2830</v>
      </c>
      <c r="AG472" t="s">
        <v>2847</v>
      </c>
      <c r="AH472" t="s">
        <v>2848</v>
      </c>
      <c r="AI472">
        <v>1</v>
      </c>
    </row>
    <row r="473" spans="1:35" x14ac:dyDescent="0.3">
      <c r="A473" t="s">
        <v>460</v>
      </c>
      <c r="B473">
        <v>1</v>
      </c>
      <c r="C473" s="1">
        <v>45627</v>
      </c>
      <c r="D473" s="1">
        <v>45629</v>
      </c>
      <c r="E473" t="s">
        <v>989</v>
      </c>
      <c r="F473" t="s">
        <v>1758</v>
      </c>
      <c r="G473" t="s">
        <v>1447</v>
      </c>
      <c r="H473" t="s">
        <v>2728</v>
      </c>
      <c r="I473" t="s">
        <v>2742</v>
      </c>
      <c r="J473" t="s">
        <v>2771</v>
      </c>
      <c r="K473" t="s">
        <v>1480</v>
      </c>
      <c r="L473" t="s">
        <v>2789</v>
      </c>
      <c r="M473" t="s">
        <v>2563</v>
      </c>
      <c r="N473" t="s">
        <v>2581</v>
      </c>
      <c r="O473" t="s">
        <v>2604</v>
      </c>
      <c r="R473" t="s">
        <v>2790</v>
      </c>
      <c r="S473" t="s">
        <v>2606</v>
      </c>
      <c r="T473">
        <v>1</v>
      </c>
      <c r="U473" s="2">
        <v>4260.03</v>
      </c>
      <c r="V473" s="3">
        <v>0</v>
      </c>
      <c r="W473" s="2">
        <v>4260.03</v>
      </c>
      <c r="X473" s="2">
        <v>730.88</v>
      </c>
      <c r="Y473" s="3">
        <v>0.17156686689999839</v>
      </c>
      <c r="Z473" t="s">
        <v>1496</v>
      </c>
      <c r="AA473" t="s">
        <v>1498</v>
      </c>
      <c r="AB473" t="s">
        <v>1501</v>
      </c>
      <c r="AC473">
        <v>2</v>
      </c>
      <c r="AD473">
        <v>2024</v>
      </c>
      <c r="AE473" t="s">
        <v>2819</v>
      </c>
      <c r="AF473" t="s">
        <v>2831</v>
      </c>
      <c r="AG473" t="s">
        <v>2847</v>
      </c>
      <c r="AH473" t="s">
        <v>2848</v>
      </c>
      <c r="AI473">
        <v>1</v>
      </c>
    </row>
    <row r="474" spans="1:35" x14ac:dyDescent="0.3">
      <c r="A474" t="s">
        <v>461</v>
      </c>
      <c r="B474">
        <v>2</v>
      </c>
      <c r="C474" s="1">
        <v>45627</v>
      </c>
      <c r="D474" s="1">
        <v>45630</v>
      </c>
      <c r="E474" t="s">
        <v>1225</v>
      </c>
      <c r="F474" t="s">
        <v>1859</v>
      </c>
      <c r="G474" t="s">
        <v>1454</v>
      </c>
      <c r="H474" t="s">
        <v>2631</v>
      </c>
      <c r="I474" t="s">
        <v>2737</v>
      </c>
      <c r="J474" t="s">
        <v>2746</v>
      </c>
      <c r="K474" t="s">
        <v>1480</v>
      </c>
      <c r="L474" t="s">
        <v>2789</v>
      </c>
      <c r="M474" t="s">
        <v>2565</v>
      </c>
      <c r="N474" t="s">
        <v>2583</v>
      </c>
      <c r="O474" t="s">
        <v>2604</v>
      </c>
      <c r="R474" t="s">
        <v>2790</v>
      </c>
      <c r="S474" t="s">
        <v>2606</v>
      </c>
      <c r="T474">
        <v>1</v>
      </c>
      <c r="U474" s="2">
        <v>51141.75</v>
      </c>
      <c r="V474" s="3">
        <v>0</v>
      </c>
      <c r="W474" s="2">
        <v>51141.75</v>
      </c>
      <c r="X474" s="2">
        <v>6922.44</v>
      </c>
      <c r="Y474" s="3">
        <v>0.13535790230095759</v>
      </c>
      <c r="Z474" t="s">
        <v>1497</v>
      </c>
      <c r="AA474" t="s">
        <v>1499</v>
      </c>
      <c r="AB474" t="s">
        <v>1501</v>
      </c>
      <c r="AC474">
        <v>3</v>
      </c>
      <c r="AD474">
        <v>2024</v>
      </c>
      <c r="AE474" t="s">
        <v>2819</v>
      </c>
      <c r="AF474" t="s">
        <v>2831</v>
      </c>
      <c r="AG474" t="s">
        <v>2847</v>
      </c>
      <c r="AH474" t="s">
        <v>2848</v>
      </c>
      <c r="AI474">
        <v>1</v>
      </c>
    </row>
    <row r="475" spans="1:35" x14ac:dyDescent="0.3">
      <c r="A475" t="s">
        <v>462</v>
      </c>
      <c r="B475">
        <v>1</v>
      </c>
      <c r="C475" s="1">
        <v>45630</v>
      </c>
      <c r="D475" s="1">
        <v>45632</v>
      </c>
      <c r="E475" t="s">
        <v>994</v>
      </c>
      <c r="F475" t="s">
        <v>1694</v>
      </c>
      <c r="G475" t="s">
        <v>1432</v>
      </c>
      <c r="H475" t="s">
        <v>2651</v>
      </c>
      <c r="I475" t="s">
        <v>2738</v>
      </c>
      <c r="J475" t="s">
        <v>2751</v>
      </c>
      <c r="K475" t="s">
        <v>1480</v>
      </c>
      <c r="L475" t="s">
        <v>2789</v>
      </c>
      <c r="M475" t="s">
        <v>2571</v>
      </c>
      <c r="N475" t="s">
        <v>2588</v>
      </c>
      <c r="O475" t="s">
        <v>2605</v>
      </c>
      <c r="R475" t="s">
        <v>2790</v>
      </c>
      <c r="S475" t="s">
        <v>2606</v>
      </c>
      <c r="T475">
        <v>1</v>
      </c>
      <c r="U475" s="2">
        <v>2490.0500000000002</v>
      </c>
      <c r="V475" s="3">
        <v>0.1</v>
      </c>
      <c r="W475" s="2">
        <v>2241.0500000000002</v>
      </c>
      <c r="X475" s="2">
        <v>331.75</v>
      </c>
      <c r="Y475" s="3">
        <v>0.14803328796769369</v>
      </c>
      <c r="Z475" t="s">
        <v>1496</v>
      </c>
      <c r="AA475" t="s">
        <v>1499</v>
      </c>
      <c r="AB475" t="s">
        <v>1501</v>
      </c>
      <c r="AC475">
        <v>2</v>
      </c>
      <c r="AD475">
        <v>2024</v>
      </c>
      <c r="AE475" t="s">
        <v>2819</v>
      </c>
      <c r="AF475" t="s">
        <v>2831</v>
      </c>
      <c r="AG475" t="s">
        <v>2847</v>
      </c>
      <c r="AH475" t="s">
        <v>2848</v>
      </c>
      <c r="AI475">
        <v>1</v>
      </c>
    </row>
    <row r="476" spans="1:35" x14ac:dyDescent="0.3">
      <c r="A476" t="s">
        <v>463</v>
      </c>
      <c r="B476">
        <v>1</v>
      </c>
      <c r="C476" s="1">
        <v>45630</v>
      </c>
      <c r="D476" s="1">
        <v>45631</v>
      </c>
      <c r="E476" t="s">
        <v>1226</v>
      </c>
      <c r="F476" t="s">
        <v>1760</v>
      </c>
      <c r="G476" t="s">
        <v>1472</v>
      </c>
      <c r="H476" t="s">
        <v>2625</v>
      </c>
      <c r="I476" t="s">
        <v>2737</v>
      </c>
      <c r="J476" t="s">
        <v>2745</v>
      </c>
      <c r="K476" t="s">
        <v>1485</v>
      </c>
      <c r="L476" t="s">
        <v>2775</v>
      </c>
      <c r="M476" t="s">
        <v>2557</v>
      </c>
      <c r="N476" t="s">
        <v>2576</v>
      </c>
      <c r="O476" t="s">
        <v>2602</v>
      </c>
      <c r="P476" t="s">
        <v>2562</v>
      </c>
      <c r="Q476" t="s">
        <v>2574</v>
      </c>
      <c r="R476" t="s">
        <v>2602</v>
      </c>
      <c r="S476" t="s">
        <v>2606</v>
      </c>
      <c r="T476">
        <v>1</v>
      </c>
      <c r="U476" s="2">
        <v>16791.75</v>
      </c>
      <c r="V476" s="3">
        <v>0.15</v>
      </c>
      <c r="W476" s="2">
        <v>14272.99</v>
      </c>
      <c r="X476" s="2">
        <v>-1163.06</v>
      </c>
      <c r="Y476" s="3">
        <v>-8.1486780275191115E-2</v>
      </c>
      <c r="Z476" t="s">
        <v>1496</v>
      </c>
      <c r="AA476" t="s">
        <v>1500</v>
      </c>
      <c r="AB476" t="s">
        <v>1501</v>
      </c>
      <c r="AC476">
        <v>1</v>
      </c>
      <c r="AD476">
        <v>2024</v>
      </c>
      <c r="AE476" t="s">
        <v>2819</v>
      </c>
      <c r="AF476" t="s">
        <v>2831</v>
      </c>
      <c r="AG476" t="s">
        <v>2847</v>
      </c>
      <c r="AH476" t="s">
        <v>2848</v>
      </c>
      <c r="AI476">
        <v>1</v>
      </c>
    </row>
    <row r="477" spans="1:35" x14ac:dyDescent="0.3">
      <c r="A477" t="s">
        <v>464</v>
      </c>
      <c r="B477">
        <v>1</v>
      </c>
      <c r="C477" s="1">
        <v>45630</v>
      </c>
      <c r="D477" s="1">
        <v>45633</v>
      </c>
      <c r="E477" t="s">
        <v>1227</v>
      </c>
      <c r="F477" t="s">
        <v>1960</v>
      </c>
      <c r="G477" t="s">
        <v>1356</v>
      </c>
      <c r="H477" t="s">
        <v>2640</v>
      </c>
      <c r="I477" t="s">
        <v>2737</v>
      </c>
      <c r="J477" t="s">
        <v>2748</v>
      </c>
      <c r="K477" t="s">
        <v>1480</v>
      </c>
      <c r="L477" t="s">
        <v>2789</v>
      </c>
      <c r="M477" t="s">
        <v>2555</v>
      </c>
      <c r="N477" t="s">
        <v>2578</v>
      </c>
      <c r="O477" t="s">
        <v>2603</v>
      </c>
      <c r="R477" t="s">
        <v>2790</v>
      </c>
      <c r="S477" t="s">
        <v>2606</v>
      </c>
      <c r="T477">
        <v>1</v>
      </c>
      <c r="U477" s="2">
        <v>68671.53</v>
      </c>
      <c r="V477" s="3">
        <v>0.15</v>
      </c>
      <c r="W477" s="2">
        <v>58370.8</v>
      </c>
      <c r="X477" s="2">
        <v>401.86</v>
      </c>
      <c r="Y477" s="3">
        <v>6.8846066869050959E-3</v>
      </c>
      <c r="Z477" t="s">
        <v>1496</v>
      </c>
      <c r="AA477" t="s">
        <v>1499</v>
      </c>
      <c r="AB477" t="s">
        <v>1501</v>
      </c>
      <c r="AC477">
        <v>3</v>
      </c>
      <c r="AD477">
        <v>2024</v>
      </c>
      <c r="AE477" t="s">
        <v>2819</v>
      </c>
      <c r="AF477" t="s">
        <v>2831</v>
      </c>
      <c r="AG477" t="s">
        <v>2847</v>
      </c>
      <c r="AH477" t="s">
        <v>2848</v>
      </c>
      <c r="AI477">
        <v>1</v>
      </c>
    </row>
    <row r="478" spans="1:35" x14ac:dyDescent="0.3">
      <c r="A478" t="s">
        <v>465</v>
      </c>
      <c r="B478">
        <v>1</v>
      </c>
      <c r="C478" s="1">
        <v>45632</v>
      </c>
      <c r="D478" s="1">
        <v>45635</v>
      </c>
      <c r="E478" t="s">
        <v>1228</v>
      </c>
      <c r="F478" t="s">
        <v>1992</v>
      </c>
      <c r="G478" t="s">
        <v>1410</v>
      </c>
      <c r="H478" t="s">
        <v>2715</v>
      </c>
      <c r="I478" t="s">
        <v>2741</v>
      </c>
      <c r="J478" t="s">
        <v>2767</v>
      </c>
      <c r="K478" t="s">
        <v>1480</v>
      </c>
      <c r="L478" t="s">
        <v>2789</v>
      </c>
      <c r="M478" t="s">
        <v>2566</v>
      </c>
      <c r="N478" t="s">
        <v>2584</v>
      </c>
      <c r="O478" t="s">
        <v>2601</v>
      </c>
      <c r="R478" t="s">
        <v>2790</v>
      </c>
      <c r="S478" t="s">
        <v>2606</v>
      </c>
      <c r="T478">
        <v>1</v>
      </c>
      <c r="U478" s="2">
        <v>1753.24</v>
      </c>
      <c r="V478" s="3">
        <v>0</v>
      </c>
      <c r="W478" s="2">
        <v>1753.24</v>
      </c>
      <c r="X478" s="2">
        <v>578.29999999999995</v>
      </c>
      <c r="Y478" s="3">
        <v>0.32984645570486643</v>
      </c>
      <c r="Z478" t="s">
        <v>1497</v>
      </c>
      <c r="AA478" t="s">
        <v>1499</v>
      </c>
      <c r="AB478" t="s">
        <v>1501</v>
      </c>
      <c r="AC478">
        <v>3</v>
      </c>
      <c r="AD478">
        <v>2024</v>
      </c>
      <c r="AE478" t="s">
        <v>2819</v>
      </c>
      <c r="AF478" t="s">
        <v>2831</v>
      </c>
      <c r="AG478" t="s">
        <v>2847</v>
      </c>
      <c r="AH478" t="s">
        <v>2848</v>
      </c>
      <c r="AI478">
        <v>1</v>
      </c>
    </row>
    <row r="479" spans="1:35" x14ac:dyDescent="0.3">
      <c r="A479" t="s">
        <v>466</v>
      </c>
      <c r="B479">
        <v>1</v>
      </c>
      <c r="C479" s="1">
        <v>45632</v>
      </c>
      <c r="D479" s="1">
        <v>45633</v>
      </c>
      <c r="E479" t="s">
        <v>1229</v>
      </c>
      <c r="F479" t="s">
        <v>1749</v>
      </c>
      <c r="G479" t="s">
        <v>1457</v>
      </c>
      <c r="H479" t="s">
        <v>2687</v>
      </c>
      <c r="I479" t="s">
        <v>2740</v>
      </c>
      <c r="J479" t="s">
        <v>2760</v>
      </c>
      <c r="K479" t="s">
        <v>1480</v>
      </c>
      <c r="L479" t="s">
        <v>2789</v>
      </c>
      <c r="M479" t="s">
        <v>2554</v>
      </c>
      <c r="N479" t="s">
        <v>2577</v>
      </c>
      <c r="O479" t="s">
        <v>2601</v>
      </c>
      <c r="R479" t="s">
        <v>2790</v>
      </c>
      <c r="S479" t="s">
        <v>2606</v>
      </c>
      <c r="T479">
        <v>1</v>
      </c>
      <c r="U479" s="2">
        <v>1423.62</v>
      </c>
      <c r="V479" s="3">
        <v>0</v>
      </c>
      <c r="W479" s="2">
        <v>1423.62</v>
      </c>
      <c r="X479" s="2">
        <v>201.63</v>
      </c>
      <c r="Y479" s="3">
        <v>0.14163189615206309</v>
      </c>
      <c r="Z479" t="s">
        <v>1494</v>
      </c>
      <c r="AA479" t="s">
        <v>1499</v>
      </c>
      <c r="AB479" t="s">
        <v>1501</v>
      </c>
      <c r="AC479">
        <v>1</v>
      </c>
      <c r="AD479">
        <v>2024</v>
      </c>
      <c r="AE479" t="s">
        <v>2819</v>
      </c>
      <c r="AF479" t="s">
        <v>2831</v>
      </c>
      <c r="AG479" t="s">
        <v>2847</v>
      </c>
      <c r="AH479" t="s">
        <v>2848</v>
      </c>
      <c r="AI479">
        <v>1</v>
      </c>
    </row>
    <row r="480" spans="1:35" x14ac:dyDescent="0.3">
      <c r="A480" t="s">
        <v>467</v>
      </c>
      <c r="B480">
        <v>1</v>
      </c>
      <c r="C480" s="1">
        <v>45633</v>
      </c>
      <c r="D480" s="1">
        <v>45635</v>
      </c>
      <c r="E480" t="s">
        <v>1155</v>
      </c>
      <c r="F480" t="s">
        <v>1776</v>
      </c>
      <c r="G480" t="s">
        <v>1462</v>
      </c>
      <c r="H480" t="s">
        <v>2647</v>
      </c>
      <c r="I480" t="s">
        <v>2738</v>
      </c>
      <c r="J480" t="s">
        <v>2751</v>
      </c>
      <c r="K480" t="s">
        <v>1480</v>
      </c>
      <c r="L480" t="s">
        <v>2789</v>
      </c>
      <c r="M480" t="s">
        <v>2561</v>
      </c>
      <c r="N480" t="s">
        <v>2580</v>
      </c>
      <c r="O480" t="s">
        <v>2601</v>
      </c>
      <c r="R480" t="s">
        <v>2790</v>
      </c>
      <c r="S480" t="s">
        <v>2606</v>
      </c>
      <c r="T480">
        <v>4</v>
      </c>
      <c r="U480" s="2">
        <v>31184.25</v>
      </c>
      <c r="V480" s="3">
        <v>0.05</v>
      </c>
      <c r="W480" s="2">
        <v>118500.15</v>
      </c>
      <c r="X480" s="2">
        <v>17735.75</v>
      </c>
      <c r="Y480" s="3">
        <v>0.14966858691740051</v>
      </c>
      <c r="Z480" t="s">
        <v>1496</v>
      </c>
      <c r="AA480" t="s">
        <v>1498</v>
      </c>
      <c r="AB480" t="s">
        <v>1501</v>
      </c>
      <c r="AC480">
        <v>2</v>
      </c>
      <c r="AD480">
        <v>2024</v>
      </c>
      <c r="AE480" t="s">
        <v>2819</v>
      </c>
      <c r="AF480" t="s">
        <v>2831</v>
      </c>
      <c r="AG480" t="s">
        <v>2847</v>
      </c>
      <c r="AH480" t="s">
        <v>2848</v>
      </c>
      <c r="AI480">
        <v>1</v>
      </c>
    </row>
    <row r="481" spans="1:35" x14ac:dyDescent="0.3">
      <c r="A481" t="s">
        <v>468</v>
      </c>
      <c r="B481">
        <v>1</v>
      </c>
      <c r="C481" s="1">
        <v>45634</v>
      </c>
      <c r="D481" s="1">
        <v>45634</v>
      </c>
      <c r="E481" t="s">
        <v>1187</v>
      </c>
      <c r="F481" t="s">
        <v>1985</v>
      </c>
      <c r="G481" t="s">
        <v>1334</v>
      </c>
      <c r="H481" t="s">
        <v>2691</v>
      </c>
      <c r="I481" t="s">
        <v>2740</v>
      </c>
      <c r="J481" t="s">
        <v>2761</v>
      </c>
      <c r="K481" t="s">
        <v>1489</v>
      </c>
      <c r="L481" t="s">
        <v>2787</v>
      </c>
      <c r="M481" t="s">
        <v>2550</v>
      </c>
      <c r="N481" t="s">
        <v>2573</v>
      </c>
      <c r="O481" t="s">
        <v>2601</v>
      </c>
      <c r="P481" t="s">
        <v>2566</v>
      </c>
      <c r="Q481" t="s">
        <v>2584</v>
      </c>
      <c r="R481" t="s">
        <v>2601</v>
      </c>
      <c r="S481" t="s">
        <v>2606</v>
      </c>
      <c r="T481">
        <v>3</v>
      </c>
      <c r="U481" s="2">
        <v>1178.5899999999999</v>
      </c>
      <c r="V481" s="3">
        <v>0</v>
      </c>
      <c r="W481" s="2">
        <v>3535.77</v>
      </c>
      <c r="X481" s="2">
        <v>457.92</v>
      </c>
      <c r="Y481" s="3">
        <v>0.12951068649827341</v>
      </c>
      <c r="Z481" t="s">
        <v>1497</v>
      </c>
      <c r="AA481" t="s">
        <v>1500</v>
      </c>
      <c r="AB481" t="s">
        <v>1501</v>
      </c>
      <c r="AC481">
        <v>0</v>
      </c>
      <c r="AD481">
        <v>2024</v>
      </c>
      <c r="AE481" t="s">
        <v>2819</v>
      </c>
      <c r="AF481" t="s">
        <v>2831</v>
      </c>
      <c r="AG481" t="s">
        <v>2847</v>
      </c>
      <c r="AH481" t="s">
        <v>2848</v>
      </c>
      <c r="AI481">
        <v>1</v>
      </c>
    </row>
    <row r="482" spans="1:35" x14ac:dyDescent="0.3">
      <c r="A482" t="s">
        <v>469</v>
      </c>
      <c r="B482">
        <v>1</v>
      </c>
      <c r="C482" s="1">
        <v>45634</v>
      </c>
      <c r="D482" s="1">
        <v>45634</v>
      </c>
      <c r="E482" t="s">
        <v>967</v>
      </c>
      <c r="F482" t="s">
        <v>1849</v>
      </c>
      <c r="G482" t="s">
        <v>1404</v>
      </c>
      <c r="H482" t="s">
        <v>2643</v>
      </c>
      <c r="I482" t="s">
        <v>2738</v>
      </c>
      <c r="J482" t="s">
        <v>2750</v>
      </c>
      <c r="K482" t="s">
        <v>1489</v>
      </c>
      <c r="L482" t="s">
        <v>2787</v>
      </c>
      <c r="M482" t="s">
        <v>2550</v>
      </c>
      <c r="N482" t="s">
        <v>2573</v>
      </c>
      <c r="O482" t="s">
        <v>2601</v>
      </c>
      <c r="P482" t="s">
        <v>2566</v>
      </c>
      <c r="Q482" t="s">
        <v>2584</v>
      </c>
      <c r="R482" t="s">
        <v>2601</v>
      </c>
      <c r="S482" t="s">
        <v>2607</v>
      </c>
      <c r="T482">
        <v>1</v>
      </c>
      <c r="U482" s="2">
        <v>44125.88</v>
      </c>
      <c r="V482" s="3">
        <v>0.25</v>
      </c>
      <c r="W482" s="2">
        <v>33094.410000000003</v>
      </c>
      <c r="X482" s="2">
        <v>-1220.28</v>
      </c>
      <c r="Y482" s="3">
        <v>-3.6872692397296097E-2</v>
      </c>
      <c r="Z482" t="s">
        <v>1497</v>
      </c>
      <c r="AA482" t="s">
        <v>1500</v>
      </c>
      <c r="AB482" t="s">
        <v>1501</v>
      </c>
      <c r="AC482">
        <v>0</v>
      </c>
      <c r="AD482">
        <v>2024</v>
      </c>
      <c r="AE482" t="s">
        <v>2819</v>
      </c>
      <c r="AF482" t="s">
        <v>2831</v>
      </c>
      <c r="AG482" t="s">
        <v>2847</v>
      </c>
      <c r="AH482" t="s">
        <v>2848</v>
      </c>
      <c r="AI482">
        <v>1</v>
      </c>
    </row>
    <row r="483" spans="1:35" x14ac:dyDescent="0.3">
      <c r="A483" t="s">
        <v>470</v>
      </c>
      <c r="B483">
        <v>2</v>
      </c>
      <c r="C483" s="1">
        <v>45635</v>
      </c>
      <c r="D483" s="1">
        <v>45636</v>
      </c>
      <c r="E483" t="s">
        <v>972</v>
      </c>
      <c r="F483" t="s">
        <v>1806</v>
      </c>
      <c r="G483" t="s">
        <v>1461</v>
      </c>
      <c r="H483" t="s">
        <v>2692</v>
      </c>
      <c r="I483" t="s">
        <v>2740</v>
      </c>
      <c r="J483" t="s">
        <v>2761</v>
      </c>
      <c r="K483" t="s">
        <v>1488</v>
      </c>
      <c r="L483" t="s">
        <v>2780</v>
      </c>
      <c r="M483" t="s">
        <v>2555</v>
      </c>
      <c r="N483" t="s">
        <v>2578</v>
      </c>
      <c r="O483" t="s">
        <v>2603</v>
      </c>
      <c r="P483" t="s">
        <v>2552</v>
      </c>
      <c r="Q483" t="s">
        <v>2575</v>
      </c>
      <c r="R483" t="s">
        <v>2603</v>
      </c>
      <c r="S483" t="s">
        <v>2606</v>
      </c>
      <c r="T483">
        <v>1</v>
      </c>
      <c r="U483" s="2">
        <v>933.23</v>
      </c>
      <c r="V483" s="3">
        <v>0</v>
      </c>
      <c r="W483" s="2">
        <v>933.23</v>
      </c>
      <c r="X483" s="2">
        <v>62.65</v>
      </c>
      <c r="Y483" s="3">
        <v>6.7132432519314639E-2</v>
      </c>
      <c r="Z483" t="s">
        <v>1496</v>
      </c>
      <c r="AA483" t="s">
        <v>1498</v>
      </c>
      <c r="AB483" t="s">
        <v>1501</v>
      </c>
      <c r="AC483">
        <v>1</v>
      </c>
      <c r="AD483">
        <v>2024</v>
      </c>
      <c r="AE483" t="s">
        <v>2819</v>
      </c>
      <c r="AF483" t="s">
        <v>2831</v>
      </c>
      <c r="AG483" t="s">
        <v>2847</v>
      </c>
      <c r="AH483" t="s">
        <v>2848</v>
      </c>
      <c r="AI483">
        <v>1</v>
      </c>
    </row>
    <row r="484" spans="1:35" x14ac:dyDescent="0.3">
      <c r="A484" t="s">
        <v>471</v>
      </c>
      <c r="B484">
        <v>1</v>
      </c>
      <c r="C484" s="1">
        <v>45636</v>
      </c>
      <c r="D484" s="1">
        <v>45636</v>
      </c>
      <c r="E484" t="s">
        <v>1230</v>
      </c>
      <c r="F484" t="s">
        <v>1701</v>
      </c>
      <c r="G484" t="s">
        <v>1405</v>
      </c>
      <c r="H484" t="s">
        <v>2639</v>
      </c>
      <c r="I484" t="s">
        <v>2737</v>
      </c>
      <c r="J484" t="s">
        <v>2748</v>
      </c>
      <c r="K484" t="s">
        <v>1491</v>
      </c>
      <c r="L484" t="s">
        <v>2779</v>
      </c>
      <c r="M484" t="s">
        <v>2555</v>
      </c>
      <c r="N484" t="s">
        <v>2578</v>
      </c>
      <c r="O484" t="s">
        <v>2603</v>
      </c>
      <c r="P484" t="s">
        <v>2555</v>
      </c>
      <c r="Q484" t="s">
        <v>2578</v>
      </c>
      <c r="R484" t="s">
        <v>2603</v>
      </c>
      <c r="S484" t="s">
        <v>2608</v>
      </c>
      <c r="T484">
        <v>3</v>
      </c>
      <c r="U484" s="2">
        <v>57633.32</v>
      </c>
      <c r="V484" s="3">
        <v>0</v>
      </c>
      <c r="W484" s="2">
        <v>172899.96</v>
      </c>
      <c r="X484" s="2">
        <v>21601.47</v>
      </c>
      <c r="Y484" s="3">
        <v>0.1249362348030618</v>
      </c>
      <c r="Z484" t="s">
        <v>1494</v>
      </c>
      <c r="AA484" t="s">
        <v>1499</v>
      </c>
      <c r="AB484" t="s">
        <v>1501</v>
      </c>
      <c r="AC484">
        <v>0</v>
      </c>
      <c r="AD484">
        <v>2024</v>
      </c>
      <c r="AE484" t="s">
        <v>2819</v>
      </c>
      <c r="AF484" t="s">
        <v>2831</v>
      </c>
      <c r="AG484" t="s">
        <v>2847</v>
      </c>
      <c r="AH484" t="s">
        <v>2848</v>
      </c>
      <c r="AI484">
        <v>1</v>
      </c>
    </row>
    <row r="485" spans="1:35" x14ac:dyDescent="0.3">
      <c r="A485" t="s">
        <v>472</v>
      </c>
      <c r="B485">
        <v>1</v>
      </c>
      <c r="C485" s="1">
        <v>45637</v>
      </c>
      <c r="D485" s="1">
        <v>45639</v>
      </c>
      <c r="E485" t="s">
        <v>1231</v>
      </c>
      <c r="F485" t="s">
        <v>1755</v>
      </c>
      <c r="G485" t="s">
        <v>1360</v>
      </c>
      <c r="H485" t="s">
        <v>2696</v>
      </c>
      <c r="I485" t="s">
        <v>2740</v>
      </c>
      <c r="J485" t="s">
        <v>2762</v>
      </c>
      <c r="K485" t="s">
        <v>1480</v>
      </c>
      <c r="L485" t="s">
        <v>2789</v>
      </c>
      <c r="M485" t="s">
        <v>2563</v>
      </c>
      <c r="N485" t="s">
        <v>2581</v>
      </c>
      <c r="O485" t="s">
        <v>2604</v>
      </c>
      <c r="R485" t="s">
        <v>2790</v>
      </c>
      <c r="S485" t="s">
        <v>2606</v>
      </c>
      <c r="T485">
        <v>1</v>
      </c>
      <c r="U485" s="2">
        <v>1166.3499999999999</v>
      </c>
      <c r="V485" s="3">
        <v>0</v>
      </c>
      <c r="W485" s="2">
        <v>1166.3499999999999</v>
      </c>
      <c r="X485" s="2">
        <v>136.61000000000001</v>
      </c>
      <c r="Y485" s="3">
        <v>0.11712607707806411</v>
      </c>
      <c r="Z485" t="s">
        <v>1496</v>
      </c>
      <c r="AA485" t="s">
        <v>1499</v>
      </c>
      <c r="AB485" t="s">
        <v>1501</v>
      </c>
      <c r="AC485">
        <v>2</v>
      </c>
      <c r="AD485">
        <v>2024</v>
      </c>
      <c r="AE485" t="s">
        <v>2819</v>
      </c>
      <c r="AF485" t="s">
        <v>2831</v>
      </c>
      <c r="AG485" t="s">
        <v>2847</v>
      </c>
      <c r="AH485" t="s">
        <v>2848</v>
      </c>
      <c r="AI485">
        <v>1</v>
      </c>
    </row>
    <row r="486" spans="1:35" x14ac:dyDescent="0.3">
      <c r="A486" t="s">
        <v>473</v>
      </c>
      <c r="B486">
        <v>1</v>
      </c>
      <c r="C486" s="1">
        <v>45637</v>
      </c>
      <c r="D486" s="1">
        <v>45640</v>
      </c>
      <c r="E486" t="s">
        <v>1046</v>
      </c>
      <c r="F486" t="s">
        <v>1843</v>
      </c>
      <c r="G486" t="s">
        <v>1401</v>
      </c>
      <c r="H486" t="s">
        <v>2618</v>
      </c>
      <c r="I486" t="s">
        <v>2737</v>
      </c>
      <c r="J486" t="s">
        <v>2744</v>
      </c>
      <c r="K486" t="s">
        <v>1480</v>
      </c>
      <c r="L486" t="s">
        <v>2789</v>
      </c>
      <c r="M486" t="s">
        <v>2555</v>
      </c>
      <c r="N486" t="s">
        <v>2578</v>
      </c>
      <c r="O486" t="s">
        <v>2603</v>
      </c>
      <c r="R486" t="s">
        <v>2790</v>
      </c>
      <c r="S486" t="s">
        <v>2606</v>
      </c>
      <c r="T486">
        <v>1</v>
      </c>
      <c r="U486" s="2">
        <v>50900.49</v>
      </c>
      <c r="V486" s="3">
        <v>0</v>
      </c>
      <c r="W486" s="2">
        <v>50900.49</v>
      </c>
      <c r="X486" s="2">
        <v>7930.74</v>
      </c>
      <c r="Y486" s="3">
        <v>0.15580871618328229</v>
      </c>
      <c r="Z486" t="s">
        <v>1494</v>
      </c>
      <c r="AA486" t="s">
        <v>1498</v>
      </c>
      <c r="AB486" t="s">
        <v>1501</v>
      </c>
      <c r="AC486">
        <v>3</v>
      </c>
      <c r="AD486">
        <v>2024</v>
      </c>
      <c r="AE486" t="s">
        <v>2819</v>
      </c>
      <c r="AF486" t="s">
        <v>2831</v>
      </c>
      <c r="AG486" t="s">
        <v>2847</v>
      </c>
      <c r="AH486" t="s">
        <v>2848</v>
      </c>
      <c r="AI486">
        <v>1</v>
      </c>
    </row>
    <row r="487" spans="1:35" x14ac:dyDescent="0.3">
      <c r="A487" t="s">
        <v>474</v>
      </c>
      <c r="B487">
        <v>1</v>
      </c>
      <c r="C487" s="1">
        <v>45638</v>
      </c>
      <c r="D487" s="1">
        <v>45639</v>
      </c>
      <c r="E487" t="s">
        <v>1229</v>
      </c>
      <c r="F487" t="s">
        <v>1749</v>
      </c>
      <c r="G487" t="s">
        <v>1388</v>
      </c>
      <c r="H487" t="s">
        <v>2662</v>
      </c>
      <c r="I487" t="s">
        <v>2739</v>
      </c>
      <c r="J487" t="s">
        <v>2755</v>
      </c>
      <c r="K487" t="s">
        <v>1487</v>
      </c>
      <c r="L487" t="s">
        <v>2785</v>
      </c>
      <c r="M487" t="s">
        <v>2554</v>
      </c>
      <c r="N487" t="s">
        <v>2577</v>
      </c>
      <c r="O487" t="s">
        <v>2601</v>
      </c>
      <c r="P487" t="s">
        <v>2550</v>
      </c>
      <c r="Q487" t="s">
        <v>2573</v>
      </c>
      <c r="R487" t="s">
        <v>2601</v>
      </c>
      <c r="S487" t="s">
        <v>2606</v>
      </c>
      <c r="T487">
        <v>1</v>
      </c>
      <c r="U487" s="2">
        <v>5746.05</v>
      </c>
      <c r="V487" s="3">
        <v>0</v>
      </c>
      <c r="W487" s="2">
        <v>5746.05</v>
      </c>
      <c r="X487" s="2">
        <v>1765.7</v>
      </c>
      <c r="Y487" s="3">
        <v>0.30728935529624701</v>
      </c>
      <c r="Z487" t="s">
        <v>1496</v>
      </c>
      <c r="AA487" t="s">
        <v>1498</v>
      </c>
      <c r="AB487" t="s">
        <v>1501</v>
      </c>
      <c r="AC487">
        <v>1</v>
      </c>
      <c r="AD487">
        <v>2024</v>
      </c>
      <c r="AE487" t="s">
        <v>2819</v>
      </c>
      <c r="AF487" t="s">
        <v>2831</v>
      </c>
      <c r="AG487" t="s">
        <v>2847</v>
      </c>
      <c r="AH487" t="s">
        <v>2848</v>
      </c>
      <c r="AI487">
        <v>1</v>
      </c>
    </row>
    <row r="488" spans="1:35" x14ac:dyDescent="0.3">
      <c r="A488" t="s">
        <v>475</v>
      </c>
      <c r="B488">
        <v>2</v>
      </c>
      <c r="C488" s="1">
        <v>45640</v>
      </c>
      <c r="D488" s="1">
        <v>45640</v>
      </c>
      <c r="E488" t="s">
        <v>1180</v>
      </c>
      <c r="F488" t="s">
        <v>1969</v>
      </c>
      <c r="G488" t="s">
        <v>1461</v>
      </c>
      <c r="H488" t="s">
        <v>2692</v>
      </c>
      <c r="I488" t="s">
        <v>2740</v>
      </c>
      <c r="J488" t="s">
        <v>2761</v>
      </c>
      <c r="K488" t="s">
        <v>1490</v>
      </c>
      <c r="L488" t="s">
        <v>2784</v>
      </c>
      <c r="M488" t="s">
        <v>2560</v>
      </c>
      <c r="N488" t="s">
        <v>2579</v>
      </c>
      <c r="O488" t="s">
        <v>2604</v>
      </c>
      <c r="P488" t="s">
        <v>2567</v>
      </c>
      <c r="Q488" t="s">
        <v>2585</v>
      </c>
      <c r="R488" t="s">
        <v>2604</v>
      </c>
      <c r="S488" t="s">
        <v>2608</v>
      </c>
      <c r="T488">
        <v>1</v>
      </c>
      <c r="U488" s="2">
        <v>933.23</v>
      </c>
      <c r="V488" s="3">
        <v>0.1</v>
      </c>
      <c r="W488" s="2">
        <v>839.91</v>
      </c>
      <c r="X488" s="2">
        <v>-30.67</v>
      </c>
      <c r="Y488" s="3">
        <v>-3.6515817170887359E-2</v>
      </c>
      <c r="Z488" t="s">
        <v>1496</v>
      </c>
      <c r="AA488" t="s">
        <v>1498</v>
      </c>
      <c r="AB488" t="s">
        <v>1501</v>
      </c>
      <c r="AC488">
        <v>0</v>
      </c>
      <c r="AD488">
        <v>2024</v>
      </c>
      <c r="AE488" t="s">
        <v>2819</v>
      </c>
      <c r="AF488" t="s">
        <v>2831</v>
      </c>
      <c r="AG488" t="s">
        <v>2847</v>
      </c>
      <c r="AH488" t="s">
        <v>2848</v>
      </c>
      <c r="AI488">
        <v>1</v>
      </c>
    </row>
    <row r="489" spans="1:35" x14ac:dyDescent="0.3">
      <c r="A489" t="s">
        <v>476</v>
      </c>
      <c r="B489">
        <v>2</v>
      </c>
      <c r="C489" s="1">
        <v>45642</v>
      </c>
      <c r="D489" s="1">
        <v>45642</v>
      </c>
      <c r="E489" t="s">
        <v>1232</v>
      </c>
      <c r="F489" t="s">
        <v>1656</v>
      </c>
      <c r="G489" t="s">
        <v>1451</v>
      </c>
      <c r="H489" t="s">
        <v>2644</v>
      </c>
      <c r="I489" t="s">
        <v>2738</v>
      </c>
      <c r="J489" t="s">
        <v>2750</v>
      </c>
      <c r="K489" t="s">
        <v>1492</v>
      </c>
      <c r="L489" t="s">
        <v>2788</v>
      </c>
      <c r="M489" t="s">
        <v>2550</v>
      </c>
      <c r="N489" t="s">
        <v>2573</v>
      </c>
      <c r="O489" t="s">
        <v>2601</v>
      </c>
      <c r="P489" t="s">
        <v>2554</v>
      </c>
      <c r="Q489" t="s">
        <v>2577</v>
      </c>
      <c r="R489" t="s">
        <v>2601</v>
      </c>
      <c r="S489" t="s">
        <v>2607</v>
      </c>
      <c r="T489">
        <v>1</v>
      </c>
      <c r="U489" s="2">
        <v>43188.76</v>
      </c>
      <c r="V489" s="3">
        <v>0</v>
      </c>
      <c r="W489" s="2">
        <v>43188.76</v>
      </c>
      <c r="X489" s="2">
        <v>10182.15</v>
      </c>
      <c r="Y489" s="3">
        <v>0.23575925773279899</v>
      </c>
      <c r="Z489" t="s">
        <v>1494</v>
      </c>
      <c r="AA489" t="s">
        <v>1498</v>
      </c>
      <c r="AB489" t="s">
        <v>1501</v>
      </c>
      <c r="AC489">
        <v>0</v>
      </c>
      <c r="AD489">
        <v>2024</v>
      </c>
      <c r="AE489" t="s">
        <v>2819</v>
      </c>
      <c r="AF489" t="s">
        <v>2831</v>
      </c>
      <c r="AG489" t="s">
        <v>2847</v>
      </c>
      <c r="AH489" t="s">
        <v>2848</v>
      </c>
      <c r="AI489">
        <v>1</v>
      </c>
    </row>
    <row r="490" spans="1:35" x14ac:dyDescent="0.3">
      <c r="A490" t="s">
        <v>477</v>
      </c>
      <c r="B490">
        <v>1</v>
      </c>
      <c r="C490" s="1">
        <v>45642</v>
      </c>
      <c r="D490" s="1">
        <v>45645</v>
      </c>
      <c r="E490" t="s">
        <v>1125</v>
      </c>
      <c r="F490" t="s">
        <v>1661</v>
      </c>
      <c r="G490" t="s">
        <v>1404</v>
      </c>
      <c r="H490" t="s">
        <v>2643</v>
      </c>
      <c r="I490" t="s">
        <v>2738</v>
      </c>
      <c r="J490" t="s">
        <v>2750</v>
      </c>
      <c r="K490" t="s">
        <v>1480</v>
      </c>
      <c r="L490" t="s">
        <v>2789</v>
      </c>
      <c r="M490" t="s">
        <v>2560</v>
      </c>
      <c r="N490" t="s">
        <v>2579</v>
      </c>
      <c r="O490" t="s">
        <v>2604</v>
      </c>
      <c r="R490" t="s">
        <v>2790</v>
      </c>
      <c r="S490" t="s">
        <v>2606</v>
      </c>
      <c r="T490">
        <v>1</v>
      </c>
      <c r="U490" s="2">
        <v>44125.88</v>
      </c>
      <c r="V490" s="3">
        <v>0.05</v>
      </c>
      <c r="W490" s="2">
        <v>41919.589999999997</v>
      </c>
      <c r="X490" s="2">
        <v>7604.9</v>
      </c>
      <c r="Y490" s="3">
        <v>0.18141637358571491</v>
      </c>
      <c r="Z490" t="s">
        <v>1496</v>
      </c>
      <c r="AA490" t="s">
        <v>1498</v>
      </c>
      <c r="AB490" t="s">
        <v>1501</v>
      </c>
      <c r="AC490">
        <v>3</v>
      </c>
      <c r="AD490">
        <v>2024</v>
      </c>
      <c r="AE490" t="s">
        <v>2819</v>
      </c>
      <c r="AF490" t="s">
        <v>2831</v>
      </c>
      <c r="AG490" t="s">
        <v>2847</v>
      </c>
      <c r="AH490" t="s">
        <v>2848</v>
      </c>
      <c r="AI490">
        <v>1</v>
      </c>
    </row>
    <row r="491" spans="1:35" x14ac:dyDescent="0.3">
      <c r="A491" t="s">
        <v>478</v>
      </c>
      <c r="B491">
        <v>1</v>
      </c>
      <c r="C491" s="1">
        <v>45644</v>
      </c>
      <c r="D491" s="1">
        <v>45644</v>
      </c>
      <c r="E491" t="s">
        <v>1233</v>
      </c>
      <c r="F491" t="s">
        <v>2004</v>
      </c>
      <c r="G491" t="s">
        <v>1468</v>
      </c>
      <c r="H491" t="s">
        <v>2632</v>
      </c>
      <c r="I491" t="s">
        <v>2737</v>
      </c>
      <c r="J491" t="s">
        <v>2746</v>
      </c>
      <c r="K491" t="s">
        <v>1489</v>
      </c>
      <c r="L491" t="s">
        <v>2787</v>
      </c>
      <c r="M491" t="s">
        <v>2554</v>
      </c>
      <c r="N491" t="s">
        <v>2577</v>
      </c>
      <c r="O491" t="s">
        <v>2601</v>
      </c>
      <c r="P491" t="s">
        <v>2566</v>
      </c>
      <c r="Q491" t="s">
        <v>2584</v>
      </c>
      <c r="R491" t="s">
        <v>2601</v>
      </c>
      <c r="S491" t="s">
        <v>2606</v>
      </c>
      <c r="T491">
        <v>1</v>
      </c>
      <c r="U491" s="2">
        <v>3433.61</v>
      </c>
      <c r="V491" s="3">
        <v>0</v>
      </c>
      <c r="W491" s="2">
        <v>3433.61</v>
      </c>
      <c r="X491" s="2">
        <v>424.64</v>
      </c>
      <c r="Y491" s="3">
        <v>0.12367158762934639</v>
      </c>
      <c r="Z491" t="s">
        <v>1495</v>
      </c>
      <c r="AA491" t="s">
        <v>1498</v>
      </c>
      <c r="AB491" t="s">
        <v>1501</v>
      </c>
      <c r="AC491">
        <v>0</v>
      </c>
      <c r="AD491">
        <v>2024</v>
      </c>
      <c r="AE491" t="s">
        <v>2819</v>
      </c>
      <c r="AF491" t="s">
        <v>2831</v>
      </c>
      <c r="AG491" t="s">
        <v>2847</v>
      </c>
      <c r="AH491" t="s">
        <v>2848</v>
      </c>
      <c r="AI491">
        <v>1</v>
      </c>
    </row>
    <row r="492" spans="1:35" x14ac:dyDescent="0.3">
      <c r="A492" t="s">
        <v>479</v>
      </c>
      <c r="B492">
        <v>1</v>
      </c>
      <c r="C492" s="1">
        <v>45644</v>
      </c>
      <c r="D492" s="1">
        <v>45645</v>
      </c>
      <c r="E492" t="s">
        <v>1039</v>
      </c>
      <c r="F492" t="s">
        <v>1877</v>
      </c>
      <c r="G492" t="s">
        <v>1370</v>
      </c>
      <c r="H492" t="s">
        <v>2633</v>
      </c>
      <c r="I492" t="s">
        <v>2737</v>
      </c>
      <c r="J492" t="s">
        <v>2747</v>
      </c>
      <c r="K492" t="s">
        <v>1485</v>
      </c>
      <c r="L492" t="s">
        <v>2775</v>
      </c>
      <c r="M492" t="s">
        <v>2556</v>
      </c>
      <c r="N492" t="s">
        <v>2574</v>
      </c>
      <c r="O492" t="s">
        <v>2602</v>
      </c>
      <c r="P492" t="s">
        <v>2562</v>
      </c>
      <c r="Q492" t="s">
        <v>2574</v>
      </c>
      <c r="R492" t="s">
        <v>2602</v>
      </c>
      <c r="S492" t="s">
        <v>2606</v>
      </c>
      <c r="T492">
        <v>3</v>
      </c>
      <c r="U492" s="2">
        <v>19480.22</v>
      </c>
      <c r="V492" s="3">
        <v>0</v>
      </c>
      <c r="W492" s="2">
        <v>58440.66</v>
      </c>
      <c r="X492" s="2">
        <v>5015.97</v>
      </c>
      <c r="Y492" s="3">
        <v>8.5830139495344501E-2</v>
      </c>
      <c r="Z492" t="s">
        <v>1496</v>
      </c>
      <c r="AA492" t="s">
        <v>1499</v>
      </c>
      <c r="AB492" t="s">
        <v>1501</v>
      </c>
      <c r="AC492">
        <v>1</v>
      </c>
      <c r="AD492">
        <v>2024</v>
      </c>
      <c r="AE492" t="s">
        <v>2819</v>
      </c>
      <c r="AF492" t="s">
        <v>2831</v>
      </c>
      <c r="AG492" t="s">
        <v>2847</v>
      </c>
      <c r="AH492" t="s">
        <v>2848</v>
      </c>
      <c r="AI492">
        <v>1</v>
      </c>
    </row>
    <row r="493" spans="1:35" x14ac:dyDescent="0.3">
      <c r="A493" t="s">
        <v>480</v>
      </c>
      <c r="B493">
        <v>1</v>
      </c>
      <c r="C493" s="1">
        <v>45644</v>
      </c>
      <c r="D493" s="1">
        <v>45644</v>
      </c>
      <c r="E493" t="s">
        <v>1065</v>
      </c>
      <c r="F493" t="s">
        <v>1881</v>
      </c>
      <c r="G493" t="s">
        <v>1329</v>
      </c>
      <c r="H493" t="s">
        <v>2659</v>
      </c>
      <c r="I493" t="s">
        <v>2739</v>
      </c>
      <c r="J493" t="s">
        <v>2759</v>
      </c>
      <c r="K493" t="s">
        <v>1490</v>
      </c>
      <c r="L493" t="s">
        <v>2784</v>
      </c>
      <c r="M493" t="s">
        <v>2563</v>
      </c>
      <c r="N493" t="s">
        <v>2581</v>
      </c>
      <c r="O493" t="s">
        <v>2604</v>
      </c>
      <c r="P493" t="s">
        <v>2567</v>
      </c>
      <c r="Q493" t="s">
        <v>2585</v>
      </c>
      <c r="R493" t="s">
        <v>2604</v>
      </c>
      <c r="S493" t="s">
        <v>2607</v>
      </c>
      <c r="T493">
        <v>2</v>
      </c>
      <c r="U493" s="2">
        <v>1065.95</v>
      </c>
      <c r="V493" s="3">
        <v>0</v>
      </c>
      <c r="W493" s="2">
        <v>2131.9</v>
      </c>
      <c r="X493" s="2">
        <v>761.54</v>
      </c>
      <c r="Y493" s="3">
        <v>0.35721187672967769</v>
      </c>
      <c r="Z493" t="s">
        <v>1496</v>
      </c>
      <c r="AA493" t="s">
        <v>1498</v>
      </c>
      <c r="AB493" t="s">
        <v>1501</v>
      </c>
      <c r="AC493">
        <v>0</v>
      </c>
      <c r="AD493">
        <v>2024</v>
      </c>
      <c r="AE493" t="s">
        <v>2819</v>
      </c>
      <c r="AF493" t="s">
        <v>2831</v>
      </c>
      <c r="AG493" t="s">
        <v>2847</v>
      </c>
      <c r="AH493" t="s">
        <v>2848</v>
      </c>
      <c r="AI493">
        <v>1</v>
      </c>
    </row>
    <row r="494" spans="1:35" x14ac:dyDescent="0.3">
      <c r="A494" t="s">
        <v>481</v>
      </c>
      <c r="B494">
        <v>1</v>
      </c>
      <c r="C494" s="1">
        <v>45646</v>
      </c>
      <c r="D494" s="1">
        <v>45648</v>
      </c>
      <c r="E494" t="s">
        <v>1163</v>
      </c>
      <c r="F494" t="s">
        <v>1735</v>
      </c>
      <c r="G494" t="s">
        <v>1418</v>
      </c>
      <c r="H494" t="s">
        <v>2648</v>
      </c>
      <c r="I494" t="s">
        <v>2738</v>
      </c>
      <c r="J494" t="s">
        <v>2751</v>
      </c>
      <c r="K494" t="s">
        <v>1480</v>
      </c>
      <c r="L494" t="s">
        <v>2789</v>
      </c>
      <c r="M494" t="s">
        <v>2570</v>
      </c>
      <c r="N494" t="s">
        <v>2590</v>
      </c>
      <c r="O494" t="s">
        <v>2605</v>
      </c>
      <c r="R494" t="s">
        <v>2790</v>
      </c>
      <c r="S494" t="s">
        <v>2606</v>
      </c>
      <c r="T494">
        <v>1</v>
      </c>
      <c r="U494" s="2">
        <v>30604.9</v>
      </c>
      <c r="V494" s="3">
        <v>0</v>
      </c>
      <c r="W494" s="2">
        <v>30604.9</v>
      </c>
      <c r="X494" s="2">
        <v>7928.17</v>
      </c>
      <c r="Y494" s="3">
        <v>0.25904904116661048</v>
      </c>
      <c r="Z494" t="s">
        <v>1496</v>
      </c>
      <c r="AA494" t="s">
        <v>1499</v>
      </c>
      <c r="AB494" t="s">
        <v>1501</v>
      </c>
      <c r="AC494">
        <v>2</v>
      </c>
      <c r="AD494">
        <v>2024</v>
      </c>
      <c r="AE494" t="s">
        <v>2819</v>
      </c>
      <c r="AF494" t="s">
        <v>2831</v>
      </c>
      <c r="AG494" t="s">
        <v>2847</v>
      </c>
      <c r="AH494" t="s">
        <v>2848</v>
      </c>
      <c r="AI494">
        <v>1</v>
      </c>
    </row>
    <row r="495" spans="1:35" x14ac:dyDescent="0.3">
      <c r="A495" t="s">
        <v>481</v>
      </c>
      <c r="B495">
        <v>2</v>
      </c>
      <c r="C495" s="1">
        <v>45646</v>
      </c>
      <c r="D495" s="1">
        <v>45648</v>
      </c>
      <c r="E495" t="s">
        <v>1163</v>
      </c>
      <c r="F495" t="s">
        <v>1735</v>
      </c>
      <c r="G495" t="s">
        <v>1470</v>
      </c>
      <c r="H495" t="s">
        <v>2672</v>
      </c>
      <c r="I495" t="s">
        <v>2739</v>
      </c>
      <c r="J495" t="s">
        <v>2756</v>
      </c>
      <c r="K495" t="s">
        <v>1480</v>
      </c>
      <c r="L495" t="s">
        <v>2789</v>
      </c>
      <c r="M495" t="s">
        <v>2570</v>
      </c>
      <c r="N495" t="s">
        <v>2590</v>
      </c>
      <c r="O495" t="s">
        <v>2605</v>
      </c>
      <c r="R495" t="s">
        <v>2790</v>
      </c>
      <c r="S495" t="s">
        <v>2606</v>
      </c>
      <c r="T495">
        <v>1</v>
      </c>
      <c r="U495" s="2">
        <v>4551.28</v>
      </c>
      <c r="V495" s="3">
        <v>0</v>
      </c>
      <c r="W495" s="2">
        <v>4551.28</v>
      </c>
      <c r="X495" s="2">
        <v>1881.11</v>
      </c>
      <c r="Y495" s="3">
        <v>0.41331449614174481</v>
      </c>
      <c r="Z495" t="s">
        <v>1496</v>
      </c>
      <c r="AA495" t="s">
        <v>1499</v>
      </c>
      <c r="AB495" t="s">
        <v>1501</v>
      </c>
      <c r="AC495">
        <v>2</v>
      </c>
      <c r="AD495">
        <v>2024</v>
      </c>
      <c r="AE495" t="s">
        <v>2819</v>
      </c>
      <c r="AF495" t="s">
        <v>2831</v>
      </c>
      <c r="AG495" t="s">
        <v>2847</v>
      </c>
      <c r="AH495" t="s">
        <v>2848</v>
      </c>
      <c r="AI495">
        <v>0</v>
      </c>
    </row>
    <row r="496" spans="1:35" x14ac:dyDescent="0.3">
      <c r="A496" t="s">
        <v>482</v>
      </c>
      <c r="B496">
        <v>1</v>
      </c>
      <c r="C496" s="1">
        <v>45646</v>
      </c>
      <c r="D496" s="1">
        <v>45647</v>
      </c>
      <c r="E496" t="s">
        <v>1234</v>
      </c>
      <c r="F496" t="s">
        <v>1932</v>
      </c>
      <c r="G496" t="s">
        <v>1348</v>
      </c>
      <c r="H496" t="s">
        <v>2669</v>
      </c>
      <c r="I496" t="s">
        <v>2739</v>
      </c>
      <c r="J496" t="s">
        <v>2756</v>
      </c>
      <c r="K496" t="s">
        <v>1491</v>
      </c>
      <c r="L496" t="s">
        <v>2779</v>
      </c>
      <c r="M496" t="s">
        <v>2555</v>
      </c>
      <c r="N496" t="s">
        <v>2578</v>
      </c>
      <c r="O496" t="s">
        <v>2603</v>
      </c>
      <c r="P496" t="s">
        <v>2555</v>
      </c>
      <c r="Q496" t="s">
        <v>2578</v>
      </c>
      <c r="R496" t="s">
        <v>2603</v>
      </c>
      <c r="S496" t="s">
        <v>2606</v>
      </c>
      <c r="T496">
        <v>1</v>
      </c>
      <c r="U496" s="2">
        <v>921.12</v>
      </c>
      <c r="V496" s="3">
        <v>0.05</v>
      </c>
      <c r="W496" s="2">
        <v>875.06</v>
      </c>
      <c r="X496" s="2">
        <v>337.02</v>
      </c>
      <c r="Y496" s="3">
        <v>0.3851393047333897</v>
      </c>
      <c r="Z496" t="s">
        <v>1496</v>
      </c>
      <c r="AA496" t="s">
        <v>1499</v>
      </c>
      <c r="AB496" t="s">
        <v>1501</v>
      </c>
      <c r="AC496">
        <v>1</v>
      </c>
      <c r="AD496">
        <v>2024</v>
      </c>
      <c r="AE496" t="s">
        <v>2819</v>
      </c>
      <c r="AF496" t="s">
        <v>2831</v>
      </c>
      <c r="AG496" t="s">
        <v>2847</v>
      </c>
      <c r="AH496" t="s">
        <v>2848</v>
      </c>
      <c r="AI496">
        <v>1</v>
      </c>
    </row>
    <row r="497" spans="1:35" x14ac:dyDescent="0.3">
      <c r="A497" t="s">
        <v>483</v>
      </c>
      <c r="B497">
        <v>1</v>
      </c>
      <c r="C497" s="1">
        <v>45646</v>
      </c>
      <c r="D497" s="1">
        <v>45647</v>
      </c>
      <c r="E497" t="s">
        <v>1017</v>
      </c>
      <c r="F497" t="s">
        <v>1898</v>
      </c>
      <c r="G497" t="s">
        <v>1414</v>
      </c>
      <c r="H497" t="s">
        <v>2641</v>
      </c>
      <c r="I497" t="s">
        <v>2738</v>
      </c>
      <c r="J497" t="s">
        <v>2749</v>
      </c>
      <c r="K497" t="s">
        <v>1486</v>
      </c>
      <c r="L497" t="s">
        <v>2776</v>
      </c>
      <c r="M497" t="s">
        <v>2551</v>
      </c>
      <c r="N497" t="s">
        <v>2574</v>
      </c>
      <c r="O497" t="s">
        <v>2602</v>
      </c>
      <c r="P497" t="s">
        <v>2551</v>
      </c>
      <c r="Q497" t="s">
        <v>2574</v>
      </c>
      <c r="R497" t="s">
        <v>2602</v>
      </c>
      <c r="S497" t="s">
        <v>2606</v>
      </c>
      <c r="T497">
        <v>2</v>
      </c>
      <c r="U497" s="2">
        <v>20329.61</v>
      </c>
      <c r="V497" s="3">
        <v>0</v>
      </c>
      <c r="W497" s="2">
        <v>40659.22</v>
      </c>
      <c r="X497" s="2">
        <v>9924.76</v>
      </c>
      <c r="Y497" s="3">
        <v>0.2440961730205351</v>
      </c>
      <c r="Z497" t="s">
        <v>1497</v>
      </c>
      <c r="AA497" t="s">
        <v>1498</v>
      </c>
      <c r="AB497" t="s">
        <v>1501</v>
      </c>
      <c r="AC497">
        <v>1</v>
      </c>
      <c r="AD497">
        <v>2024</v>
      </c>
      <c r="AE497" t="s">
        <v>2819</v>
      </c>
      <c r="AF497" t="s">
        <v>2831</v>
      </c>
      <c r="AG497" t="s">
        <v>2847</v>
      </c>
      <c r="AH497" t="s">
        <v>2848</v>
      </c>
      <c r="AI497">
        <v>1</v>
      </c>
    </row>
    <row r="498" spans="1:35" x14ac:dyDescent="0.3">
      <c r="A498" t="s">
        <v>484</v>
      </c>
      <c r="B498">
        <v>1</v>
      </c>
      <c r="C498" s="1">
        <v>45646</v>
      </c>
      <c r="D498" s="1">
        <v>45647</v>
      </c>
      <c r="E498" t="s">
        <v>1086</v>
      </c>
      <c r="F498" t="s">
        <v>1840</v>
      </c>
      <c r="G498" t="s">
        <v>1379</v>
      </c>
      <c r="H498" t="s">
        <v>2729</v>
      </c>
      <c r="I498" t="s">
        <v>2742</v>
      </c>
      <c r="J498" t="s">
        <v>2771</v>
      </c>
      <c r="K498" t="s">
        <v>1480</v>
      </c>
      <c r="L498" t="s">
        <v>2789</v>
      </c>
      <c r="M498" t="s">
        <v>2566</v>
      </c>
      <c r="N498" t="s">
        <v>2584</v>
      </c>
      <c r="O498" t="s">
        <v>2601</v>
      </c>
      <c r="R498" t="s">
        <v>2790</v>
      </c>
      <c r="S498" t="s">
        <v>2607</v>
      </c>
      <c r="T498">
        <v>1</v>
      </c>
      <c r="U498" s="2">
        <v>20939.349999999999</v>
      </c>
      <c r="V498" s="3">
        <v>0</v>
      </c>
      <c r="W498" s="2">
        <v>20939.349999999999</v>
      </c>
      <c r="X498" s="2">
        <v>5833.44</v>
      </c>
      <c r="Y498" s="3">
        <v>0.27858744421388443</v>
      </c>
      <c r="Z498" t="s">
        <v>1496</v>
      </c>
      <c r="AA498" t="s">
        <v>1498</v>
      </c>
      <c r="AB498" t="s">
        <v>1501</v>
      </c>
      <c r="AC498">
        <v>1</v>
      </c>
      <c r="AD498">
        <v>2024</v>
      </c>
      <c r="AE498" t="s">
        <v>2819</v>
      </c>
      <c r="AF498" t="s">
        <v>2831</v>
      </c>
      <c r="AG498" t="s">
        <v>2847</v>
      </c>
      <c r="AH498" t="s">
        <v>2848</v>
      </c>
      <c r="AI498">
        <v>1</v>
      </c>
    </row>
    <row r="499" spans="1:35" x14ac:dyDescent="0.3">
      <c r="A499" t="s">
        <v>485</v>
      </c>
      <c r="B499">
        <v>1</v>
      </c>
      <c r="C499" s="1">
        <v>45647</v>
      </c>
      <c r="D499" s="1">
        <v>45649</v>
      </c>
      <c r="E499" t="s">
        <v>1002</v>
      </c>
      <c r="F499" t="s">
        <v>1654</v>
      </c>
      <c r="G499" t="s">
        <v>1423</v>
      </c>
      <c r="H499" t="s">
        <v>2708</v>
      </c>
      <c r="I499" t="s">
        <v>2741</v>
      </c>
      <c r="J499" t="s">
        <v>2765</v>
      </c>
      <c r="K499" t="s">
        <v>1480</v>
      </c>
      <c r="L499" t="s">
        <v>2789</v>
      </c>
      <c r="M499" t="s">
        <v>2550</v>
      </c>
      <c r="N499" t="s">
        <v>2573</v>
      </c>
      <c r="O499" t="s">
        <v>2601</v>
      </c>
      <c r="R499" t="s">
        <v>2790</v>
      </c>
      <c r="S499" t="s">
        <v>2607</v>
      </c>
      <c r="T499">
        <v>1</v>
      </c>
      <c r="U499" s="2">
        <v>2319.64</v>
      </c>
      <c r="V499" s="3">
        <v>0</v>
      </c>
      <c r="W499" s="2">
        <v>2319.64</v>
      </c>
      <c r="X499" s="2">
        <v>822.13</v>
      </c>
      <c r="Y499" s="3">
        <v>0.35442137573071691</v>
      </c>
      <c r="Z499" t="s">
        <v>1495</v>
      </c>
      <c r="AA499" t="s">
        <v>1499</v>
      </c>
      <c r="AB499" t="s">
        <v>1501</v>
      </c>
      <c r="AC499">
        <v>2</v>
      </c>
      <c r="AD499">
        <v>2024</v>
      </c>
      <c r="AE499" t="s">
        <v>2819</v>
      </c>
      <c r="AF499" t="s">
        <v>2831</v>
      </c>
      <c r="AG499" t="s">
        <v>2847</v>
      </c>
      <c r="AH499" t="s">
        <v>2848</v>
      </c>
      <c r="AI499">
        <v>1</v>
      </c>
    </row>
    <row r="500" spans="1:35" x14ac:dyDescent="0.3">
      <c r="A500" t="s">
        <v>485</v>
      </c>
      <c r="B500">
        <v>2</v>
      </c>
      <c r="C500" s="1">
        <v>45647</v>
      </c>
      <c r="D500" s="1">
        <v>45649</v>
      </c>
      <c r="E500" t="s">
        <v>1002</v>
      </c>
      <c r="F500" t="s">
        <v>1654</v>
      </c>
      <c r="G500" t="s">
        <v>1333</v>
      </c>
      <c r="H500" t="s">
        <v>2620</v>
      </c>
      <c r="I500" t="s">
        <v>2737</v>
      </c>
      <c r="J500" t="s">
        <v>2744</v>
      </c>
      <c r="K500" t="s">
        <v>1480</v>
      </c>
      <c r="L500" t="s">
        <v>2789</v>
      </c>
      <c r="M500" t="s">
        <v>2550</v>
      </c>
      <c r="N500" t="s">
        <v>2573</v>
      </c>
      <c r="O500" t="s">
        <v>2601</v>
      </c>
      <c r="R500" t="s">
        <v>2790</v>
      </c>
      <c r="S500" t="s">
        <v>2607</v>
      </c>
      <c r="T500">
        <v>2</v>
      </c>
      <c r="U500" s="2">
        <v>16375.46</v>
      </c>
      <c r="V500" s="3">
        <v>0</v>
      </c>
      <c r="W500" s="2">
        <v>32750.92</v>
      </c>
      <c r="X500" s="2">
        <v>4148.62</v>
      </c>
      <c r="Y500" s="3">
        <v>0.12667186143167891</v>
      </c>
      <c r="Z500" t="s">
        <v>1495</v>
      </c>
      <c r="AA500" t="s">
        <v>1499</v>
      </c>
      <c r="AB500" t="s">
        <v>1501</v>
      </c>
      <c r="AC500">
        <v>2</v>
      </c>
      <c r="AD500">
        <v>2024</v>
      </c>
      <c r="AE500" t="s">
        <v>2819</v>
      </c>
      <c r="AF500" t="s">
        <v>2831</v>
      </c>
      <c r="AG500" t="s">
        <v>2847</v>
      </c>
      <c r="AH500" t="s">
        <v>2848</v>
      </c>
      <c r="AI500">
        <v>0</v>
      </c>
    </row>
    <row r="501" spans="1:35" x14ac:dyDescent="0.3">
      <c r="A501" t="s">
        <v>486</v>
      </c>
      <c r="B501">
        <v>1</v>
      </c>
      <c r="C501" s="1">
        <v>45647</v>
      </c>
      <c r="D501" s="1">
        <v>45650</v>
      </c>
      <c r="E501" t="s">
        <v>1004</v>
      </c>
      <c r="F501" t="s">
        <v>1699</v>
      </c>
      <c r="G501" t="s">
        <v>1392</v>
      </c>
      <c r="H501" t="s">
        <v>2655</v>
      </c>
      <c r="I501" t="s">
        <v>2738</v>
      </c>
      <c r="J501" t="s">
        <v>2753</v>
      </c>
      <c r="K501" t="s">
        <v>1480</v>
      </c>
      <c r="L501" t="s">
        <v>2789</v>
      </c>
      <c r="M501" t="s">
        <v>2557</v>
      </c>
      <c r="N501" t="s">
        <v>2576</v>
      </c>
      <c r="O501" t="s">
        <v>2602</v>
      </c>
      <c r="R501" t="s">
        <v>2790</v>
      </c>
      <c r="S501" t="s">
        <v>2606</v>
      </c>
      <c r="T501">
        <v>1</v>
      </c>
      <c r="U501" s="2">
        <v>17688.330000000002</v>
      </c>
      <c r="V501" s="3">
        <v>0.1</v>
      </c>
      <c r="W501" s="2">
        <v>15919.5</v>
      </c>
      <c r="X501" s="2">
        <v>1135.06</v>
      </c>
      <c r="Y501" s="3">
        <v>7.1299978014384868E-2</v>
      </c>
      <c r="Z501" t="s">
        <v>1496</v>
      </c>
      <c r="AA501" t="s">
        <v>1498</v>
      </c>
      <c r="AB501" t="s">
        <v>1501</v>
      </c>
      <c r="AC501">
        <v>3</v>
      </c>
      <c r="AD501">
        <v>2024</v>
      </c>
      <c r="AE501" t="s">
        <v>2819</v>
      </c>
      <c r="AF501" t="s">
        <v>2831</v>
      </c>
      <c r="AG501" t="s">
        <v>2847</v>
      </c>
      <c r="AH501" t="s">
        <v>2848</v>
      </c>
      <c r="AI501">
        <v>1</v>
      </c>
    </row>
    <row r="502" spans="1:35" x14ac:dyDescent="0.3">
      <c r="A502" t="s">
        <v>487</v>
      </c>
      <c r="B502">
        <v>1</v>
      </c>
      <c r="C502" s="1">
        <v>45647</v>
      </c>
      <c r="D502" s="1">
        <v>45650</v>
      </c>
      <c r="E502" t="s">
        <v>1113</v>
      </c>
      <c r="F502" t="s">
        <v>1990</v>
      </c>
      <c r="G502" t="s">
        <v>1338</v>
      </c>
      <c r="H502" t="s">
        <v>2693</v>
      </c>
      <c r="I502" t="s">
        <v>2740</v>
      </c>
      <c r="J502" t="s">
        <v>2761</v>
      </c>
      <c r="K502" t="s">
        <v>1480</v>
      </c>
      <c r="L502" t="s">
        <v>2789</v>
      </c>
      <c r="M502" t="s">
        <v>2563</v>
      </c>
      <c r="N502" t="s">
        <v>2581</v>
      </c>
      <c r="O502" t="s">
        <v>2604</v>
      </c>
      <c r="R502" t="s">
        <v>2790</v>
      </c>
      <c r="S502" t="s">
        <v>2606</v>
      </c>
      <c r="T502">
        <v>1</v>
      </c>
      <c r="U502" s="2">
        <v>1151.02</v>
      </c>
      <c r="V502" s="3">
        <v>0</v>
      </c>
      <c r="W502" s="2">
        <v>1151.02</v>
      </c>
      <c r="X502" s="2">
        <v>149.55000000000001</v>
      </c>
      <c r="Y502" s="3">
        <v>0.12992823756320479</v>
      </c>
      <c r="Z502" t="s">
        <v>1493</v>
      </c>
      <c r="AA502" t="s">
        <v>1499</v>
      </c>
      <c r="AB502" t="s">
        <v>1501</v>
      </c>
      <c r="AC502">
        <v>3</v>
      </c>
      <c r="AD502">
        <v>2024</v>
      </c>
      <c r="AE502" t="s">
        <v>2819</v>
      </c>
      <c r="AF502" t="s">
        <v>2831</v>
      </c>
      <c r="AG502" t="s">
        <v>2847</v>
      </c>
      <c r="AH502" t="s">
        <v>2848</v>
      </c>
      <c r="AI502">
        <v>1</v>
      </c>
    </row>
    <row r="503" spans="1:35" x14ac:dyDescent="0.3">
      <c r="A503" t="s">
        <v>488</v>
      </c>
      <c r="B503">
        <v>1</v>
      </c>
      <c r="C503" s="1">
        <v>45647</v>
      </c>
      <c r="D503" s="1">
        <v>45647</v>
      </c>
      <c r="E503" t="s">
        <v>1094</v>
      </c>
      <c r="F503" t="s">
        <v>1712</v>
      </c>
      <c r="G503" t="s">
        <v>1433</v>
      </c>
      <c r="H503" t="s">
        <v>2675</v>
      </c>
      <c r="I503" t="s">
        <v>2739</v>
      </c>
      <c r="J503" t="s">
        <v>2757</v>
      </c>
      <c r="K503" t="s">
        <v>1492</v>
      </c>
      <c r="L503" t="s">
        <v>2788</v>
      </c>
      <c r="M503" t="s">
        <v>2554</v>
      </c>
      <c r="N503" t="s">
        <v>2577</v>
      </c>
      <c r="O503" t="s">
        <v>2601</v>
      </c>
      <c r="P503" t="s">
        <v>2554</v>
      </c>
      <c r="Q503" t="s">
        <v>2577</v>
      </c>
      <c r="R503" t="s">
        <v>2601</v>
      </c>
      <c r="S503" t="s">
        <v>2606</v>
      </c>
      <c r="T503">
        <v>1</v>
      </c>
      <c r="U503" s="2">
        <v>2067.91</v>
      </c>
      <c r="V503" s="3">
        <v>0</v>
      </c>
      <c r="W503" s="2">
        <v>2067.91</v>
      </c>
      <c r="X503" s="2">
        <v>576.48</v>
      </c>
      <c r="Y503" s="3">
        <v>0.27877422131524099</v>
      </c>
      <c r="Z503" t="s">
        <v>1493</v>
      </c>
      <c r="AA503" t="s">
        <v>1498</v>
      </c>
      <c r="AB503" t="s">
        <v>1501</v>
      </c>
      <c r="AC503">
        <v>0</v>
      </c>
      <c r="AD503">
        <v>2024</v>
      </c>
      <c r="AE503" t="s">
        <v>2819</v>
      </c>
      <c r="AF503" t="s">
        <v>2831</v>
      </c>
      <c r="AG503" t="s">
        <v>2847</v>
      </c>
      <c r="AH503" t="s">
        <v>2848</v>
      </c>
      <c r="AI503">
        <v>1</v>
      </c>
    </row>
    <row r="504" spans="1:35" x14ac:dyDescent="0.3">
      <c r="A504" t="s">
        <v>488</v>
      </c>
      <c r="B504">
        <v>2</v>
      </c>
      <c r="C504" s="1">
        <v>45647</v>
      </c>
      <c r="D504" s="1">
        <v>45647</v>
      </c>
      <c r="E504" t="s">
        <v>1094</v>
      </c>
      <c r="F504" t="s">
        <v>1712</v>
      </c>
      <c r="G504" t="s">
        <v>1457</v>
      </c>
      <c r="H504" t="s">
        <v>2687</v>
      </c>
      <c r="I504" t="s">
        <v>2740</v>
      </c>
      <c r="J504" t="s">
        <v>2760</v>
      </c>
      <c r="K504" t="s">
        <v>1492</v>
      </c>
      <c r="L504" t="s">
        <v>2788</v>
      </c>
      <c r="M504" t="s">
        <v>2554</v>
      </c>
      <c r="N504" t="s">
        <v>2577</v>
      </c>
      <c r="O504" t="s">
        <v>2601</v>
      </c>
      <c r="P504" t="s">
        <v>2554</v>
      </c>
      <c r="Q504" t="s">
        <v>2577</v>
      </c>
      <c r="R504" t="s">
        <v>2601</v>
      </c>
      <c r="S504" t="s">
        <v>2606</v>
      </c>
      <c r="T504">
        <v>1</v>
      </c>
      <c r="U504" s="2">
        <v>1423.62</v>
      </c>
      <c r="V504" s="3">
        <v>0</v>
      </c>
      <c r="W504" s="2">
        <v>1423.62</v>
      </c>
      <c r="X504" s="2">
        <v>201.63</v>
      </c>
      <c r="Y504" s="3">
        <v>0.14163189615206309</v>
      </c>
      <c r="Z504" t="s">
        <v>1493</v>
      </c>
      <c r="AA504" t="s">
        <v>1498</v>
      </c>
      <c r="AB504" t="s">
        <v>1501</v>
      </c>
      <c r="AC504">
        <v>0</v>
      </c>
      <c r="AD504">
        <v>2024</v>
      </c>
      <c r="AE504" t="s">
        <v>2819</v>
      </c>
      <c r="AF504" t="s">
        <v>2831</v>
      </c>
      <c r="AG504" t="s">
        <v>2847</v>
      </c>
      <c r="AH504" t="s">
        <v>2848</v>
      </c>
      <c r="AI504">
        <v>0</v>
      </c>
    </row>
    <row r="505" spans="1:35" x14ac:dyDescent="0.3">
      <c r="A505" t="s">
        <v>489</v>
      </c>
      <c r="B505">
        <v>2</v>
      </c>
      <c r="C505" s="1">
        <v>45648</v>
      </c>
      <c r="D505" s="1">
        <v>45649</v>
      </c>
      <c r="E505" t="s">
        <v>1203</v>
      </c>
      <c r="F505" t="s">
        <v>2037</v>
      </c>
      <c r="G505" t="s">
        <v>1450</v>
      </c>
      <c r="H505" t="s">
        <v>2723</v>
      </c>
      <c r="I505" t="s">
        <v>2742</v>
      </c>
      <c r="J505" t="s">
        <v>2770</v>
      </c>
      <c r="K505" t="s">
        <v>1486</v>
      </c>
      <c r="L505" t="s">
        <v>2776</v>
      </c>
      <c r="M505" t="s">
        <v>2553</v>
      </c>
      <c r="N505" t="s">
        <v>2576</v>
      </c>
      <c r="O505" t="s">
        <v>2602</v>
      </c>
      <c r="P505" t="s">
        <v>2551</v>
      </c>
      <c r="Q505" t="s">
        <v>2574</v>
      </c>
      <c r="R505" t="s">
        <v>2602</v>
      </c>
      <c r="S505" t="s">
        <v>2608</v>
      </c>
      <c r="T505">
        <v>1</v>
      </c>
      <c r="U505" s="2">
        <v>7983.56</v>
      </c>
      <c r="V505" s="3">
        <v>0</v>
      </c>
      <c r="W505" s="2">
        <v>7983.56</v>
      </c>
      <c r="X505" s="2">
        <v>1968.35</v>
      </c>
      <c r="Y505" s="3">
        <v>0.2465504110947998</v>
      </c>
      <c r="Z505" t="s">
        <v>1496</v>
      </c>
      <c r="AA505" t="s">
        <v>1498</v>
      </c>
      <c r="AB505" t="s">
        <v>1501</v>
      </c>
      <c r="AC505">
        <v>1</v>
      </c>
      <c r="AD505">
        <v>2024</v>
      </c>
      <c r="AE505" t="s">
        <v>2819</v>
      </c>
      <c r="AF505" t="s">
        <v>2831</v>
      </c>
      <c r="AG505" t="s">
        <v>2847</v>
      </c>
      <c r="AH505" t="s">
        <v>2848</v>
      </c>
      <c r="AI505">
        <v>1</v>
      </c>
    </row>
    <row r="506" spans="1:35" x14ac:dyDescent="0.3">
      <c r="A506" t="s">
        <v>490</v>
      </c>
      <c r="B506">
        <v>1</v>
      </c>
      <c r="C506" s="1">
        <v>45648</v>
      </c>
      <c r="D506" s="1">
        <v>45651</v>
      </c>
      <c r="E506" t="s">
        <v>1235</v>
      </c>
      <c r="F506" t="s">
        <v>1688</v>
      </c>
      <c r="G506" t="s">
        <v>1359</v>
      </c>
      <c r="H506" t="s">
        <v>2663</v>
      </c>
      <c r="I506" t="s">
        <v>2739</v>
      </c>
      <c r="J506" t="s">
        <v>2755</v>
      </c>
      <c r="K506" t="s">
        <v>1480</v>
      </c>
      <c r="L506" t="s">
        <v>2789</v>
      </c>
      <c r="M506" t="s">
        <v>2556</v>
      </c>
      <c r="N506" t="s">
        <v>2574</v>
      </c>
      <c r="O506" t="s">
        <v>2602</v>
      </c>
      <c r="R506" t="s">
        <v>2790</v>
      </c>
      <c r="S506" t="s">
        <v>2608</v>
      </c>
      <c r="T506">
        <v>2</v>
      </c>
      <c r="U506" s="2">
        <v>5570.41</v>
      </c>
      <c r="V506" s="3">
        <v>0.1</v>
      </c>
      <c r="W506" s="2">
        <v>10026.74</v>
      </c>
      <c r="X506" s="2">
        <v>1726.52</v>
      </c>
      <c r="Y506" s="3">
        <v>0.17219155976917719</v>
      </c>
      <c r="Z506" t="s">
        <v>1495</v>
      </c>
      <c r="AA506" t="s">
        <v>1499</v>
      </c>
      <c r="AB506" t="s">
        <v>1501</v>
      </c>
      <c r="AC506">
        <v>3</v>
      </c>
      <c r="AD506">
        <v>2024</v>
      </c>
      <c r="AE506" t="s">
        <v>2819</v>
      </c>
      <c r="AF506" t="s">
        <v>2831</v>
      </c>
      <c r="AG506" t="s">
        <v>2847</v>
      </c>
      <c r="AH506" t="s">
        <v>2848</v>
      </c>
      <c r="AI506">
        <v>1</v>
      </c>
    </row>
    <row r="507" spans="1:35" x14ac:dyDescent="0.3">
      <c r="A507" t="s">
        <v>491</v>
      </c>
      <c r="B507">
        <v>1</v>
      </c>
      <c r="C507" s="1">
        <v>45648</v>
      </c>
      <c r="D507" s="1">
        <v>45651</v>
      </c>
      <c r="E507" t="s">
        <v>980</v>
      </c>
      <c r="F507" t="s">
        <v>1894</v>
      </c>
      <c r="G507" t="s">
        <v>1398</v>
      </c>
      <c r="H507" t="s">
        <v>2724</v>
      </c>
      <c r="I507" t="s">
        <v>2742</v>
      </c>
      <c r="J507" t="s">
        <v>2770</v>
      </c>
      <c r="K507" t="s">
        <v>1480</v>
      </c>
      <c r="L507" t="s">
        <v>2789</v>
      </c>
      <c r="M507" t="s">
        <v>2561</v>
      </c>
      <c r="N507" t="s">
        <v>2580</v>
      </c>
      <c r="O507" t="s">
        <v>2601</v>
      </c>
      <c r="R507" t="s">
        <v>2790</v>
      </c>
      <c r="S507" t="s">
        <v>2606</v>
      </c>
      <c r="T507">
        <v>1</v>
      </c>
      <c r="U507" s="2">
        <v>21441.39</v>
      </c>
      <c r="V507" s="3">
        <v>0</v>
      </c>
      <c r="W507" s="2">
        <v>21441.39</v>
      </c>
      <c r="X507" s="2">
        <v>4253.84</v>
      </c>
      <c r="Y507" s="3">
        <v>0.19839385412979291</v>
      </c>
      <c r="Z507" t="s">
        <v>1496</v>
      </c>
      <c r="AA507" t="s">
        <v>1498</v>
      </c>
      <c r="AB507" t="s">
        <v>1501</v>
      </c>
      <c r="AC507">
        <v>3</v>
      </c>
      <c r="AD507">
        <v>2024</v>
      </c>
      <c r="AE507" t="s">
        <v>2819</v>
      </c>
      <c r="AF507" t="s">
        <v>2831</v>
      </c>
      <c r="AG507" t="s">
        <v>2847</v>
      </c>
      <c r="AH507" t="s">
        <v>2848</v>
      </c>
      <c r="AI507">
        <v>1</v>
      </c>
    </row>
    <row r="508" spans="1:35" x14ac:dyDescent="0.3">
      <c r="A508" t="s">
        <v>492</v>
      </c>
      <c r="B508">
        <v>1</v>
      </c>
      <c r="C508" s="1">
        <v>45649</v>
      </c>
      <c r="D508" s="1">
        <v>45650</v>
      </c>
      <c r="E508" t="s">
        <v>972</v>
      </c>
      <c r="F508" t="s">
        <v>1806</v>
      </c>
      <c r="G508" t="s">
        <v>1374</v>
      </c>
      <c r="H508" t="s">
        <v>2707</v>
      </c>
      <c r="I508" t="s">
        <v>2741</v>
      </c>
      <c r="J508" t="s">
        <v>2765</v>
      </c>
      <c r="K508" t="s">
        <v>1483</v>
      </c>
      <c r="L508" t="s">
        <v>2781</v>
      </c>
      <c r="M508" t="s">
        <v>2555</v>
      </c>
      <c r="N508" t="s">
        <v>2578</v>
      </c>
      <c r="O508" t="s">
        <v>2603</v>
      </c>
      <c r="P508" t="s">
        <v>2568</v>
      </c>
      <c r="Q508" t="s">
        <v>2586</v>
      </c>
      <c r="R508" t="s">
        <v>2603</v>
      </c>
      <c r="S508" t="s">
        <v>2606</v>
      </c>
      <c r="T508">
        <v>1</v>
      </c>
      <c r="U508" s="2">
        <v>1645.17</v>
      </c>
      <c r="V508" s="3">
        <v>0</v>
      </c>
      <c r="W508" s="2">
        <v>1645.17</v>
      </c>
      <c r="X508" s="2">
        <v>340.93</v>
      </c>
      <c r="Y508" s="3">
        <v>0.20723086367974131</v>
      </c>
      <c r="Z508" t="s">
        <v>1496</v>
      </c>
      <c r="AA508" t="s">
        <v>1498</v>
      </c>
      <c r="AB508" t="s">
        <v>1501</v>
      </c>
      <c r="AC508">
        <v>1</v>
      </c>
      <c r="AD508">
        <v>2024</v>
      </c>
      <c r="AE508" t="s">
        <v>2819</v>
      </c>
      <c r="AF508" t="s">
        <v>2831</v>
      </c>
      <c r="AG508" t="s">
        <v>2847</v>
      </c>
      <c r="AH508" t="s">
        <v>2848</v>
      </c>
      <c r="AI508">
        <v>1</v>
      </c>
    </row>
    <row r="509" spans="1:35" x14ac:dyDescent="0.3">
      <c r="A509" t="s">
        <v>493</v>
      </c>
      <c r="B509">
        <v>1</v>
      </c>
      <c r="C509" s="1">
        <v>45649</v>
      </c>
      <c r="D509" s="1">
        <v>45650</v>
      </c>
      <c r="E509" t="s">
        <v>1236</v>
      </c>
      <c r="F509" t="s">
        <v>1811</v>
      </c>
      <c r="G509" t="s">
        <v>1471</v>
      </c>
      <c r="H509" t="s">
        <v>2637</v>
      </c>
      <c r="I509" t="s">
        <v>2737</v>
      </c>
      <c r="J509" t="s">
        <v>2747</v>
      </c>
      <c r="K509" t="s">
        <v>1480</v>
      </c>
      <c r="L509" t="s">
        <v>2789</v>
      </c>
      <c r="M509" t="s">
        <v>2569</v>
      </c>
      <c r="N509" t="s">
        <v>2587</v>
      </c>
      <c r="O509" t="s">
        <v>2604</v>
      </c>
      <c r="R509" t="s">
        <v>2790</v>
      </c>
      <c r="S509" t="s">
        <v>2608</v>
      </c>
      <c r="T509">
        <v>2</v>
      </c>
      <c r="U509" s="2">
        <v>31099.68</v>
      </c>
      <c r="V509" s="3">
        <v>0</v>
      </c>
      <c r="W509" s="2">
        <v>62199.360000000001</v>
      </c>
      <c r="X509" s="2">
        <v>6851.34</v>
      </c>
      <c r="Y509" s="3">
        <v>0.1101512941612261</v>
      </c>
      <c r="Z509" t="s">
        <v>1494</v>
      </c>
      <c r="AA509" t="s">
        <v>1498</v>
      </c>
      <c r="AB509" t="s">
        <v>1501</v>
      </c>
      <c r="AC509">
        <v>1</v>
      </c>
      <c r="AD509">
        <v>2024</v>
      </c>
      <c r="AE509" t="s">
        <v>2819</v>
      </c>
      <c r="AF509" t="s">
        <v>2831</v>
      </c>
      <c r="AG509" t="s">
        <v>2847</v>
      </c>
      <c r="AH509" t="s">
        <v>2848</v>
      </c>
      <c r="AI509">
        <v>1</v>
      </c>
    </row>
    <row r="510" spans="1:35" x14ac:dyDescent="0.3">
      <c r="A510" t="s">
        <v>494</v>
      </c>
      <c r="B510">
        <v>1</v>
      </c>
      <c r="C510" s="1">
        <v>45649</v>
      </c>
      <c r="D510" s="1">
        <v>45652</v>
      </c>
      <c r="E510" t="s">
        <v>1237</v>
      </c>
      <c r="F510" t="s">
        <v>1789</v>
      </c>
      <c r="G510" t="s">
        <v>1455</v>
      </c>
      <c r="H510" t="s">
        <v>2638</v>
      </c>
      <c r="I510" t="s">
        <v>2737</v>
      </c>
      <c r="J510" t="s">
        <v>2748</v>
      </c>
      <c r="K510" t="s">
        <v>1480</v>
      </c>
      <c r="L510" t="s">
        <v>2789</v>
      </c>
      <c r="M510" t="s">
        <v>2555</v>
      </c>
      <c r="N510" t="s">
        <v>2578</v>
      </c>
      <c r="O510" t="s">
        <v>2603</v>
      </c>
      <c r="R510" t="s">
        <v>2790</v>
      </c>
      <c r="S510" t="s">
        <v>2606</v>
      </c>
      <c r="T510">
        <v>2</v>
      </c>
      <c r="U510" s="2">
        <v>50791.32</v>
      </c>
      <c r="V510" s="3">
        <v>0</v>
      </c>
      <c r="W510" s="2">
        <v>101582.64</v>
      </c>
      <c r="X510" s="2">
        <v>11802</v>
      </c>
      <c r="Y510" s="3">
        <v>0.11618126876797059</v>
      </c>
      <c r="Z510" t="s">
        <v>1493</v>
      </c>
      <c r="AA510" t="s">
        <v>1498</v>
      </c>
      <c r="AB510" t="s">
        <v>1501</v>
      </c>
      <c r="AC510">
        <v>3</v>
      </c>
      <c r="AD510">
        <v>2024</v>
      </c>
      <c r="AE510" t="s">
        <v>2819</v>
      </c>
      <c r="AF510" t="s">
        <v>2831</v>
      </c>
      <c r="AG510" t="s">
        <v>2847</v>
      </c>
      <c r="AH510" t="s">
        <v>2848</v>
      </c>
      <c r="AI510">
        <v>1</v>
      </c>
    </row>
    <row r="511" spans="1:35" x14ac:dyDescent="0.3">
      <c r="A511" t="s">
        <v>495</v>
      </c>
      <c r="B511">
        <v>2</v>
      </c>
      <c r="C511" s="1">
        <v>45650</v>
      </c>
      <c r="D511" s="1">
        <v>45651</v>
      </c>
      <c r="E511" t="s">
        <v>1095</v>
      </c>
      <c r="F511" t="s">
        <v>1958</v>
      </c>
      <c r="G511" t="s">
        <v>1410</v>
      </c>
      <c r="H511" t="s">
        <v>2715</v>
      </c>
      <c r="I511" t="s">
        <v>2741</v>
      </c>
      <c r="J511" t="s">
        <v>2767</v>
      </c>
      <c r="K511" t="s">
        <v>1490</v>
      </c>
      <c r="L511" t="s">
        <v>2784</v>
      </c>
      <c r="M511" t="s">
        <v>2560</v>
      </c>
      <c r="N511" t="s">
        <v>2579</v>
      </c>
      <c r="O511" t="s">
        <v>2604</v>
      </c>
      <c r="P511" t="s">
        <v>2567</v>
      </c>
      <c r="Q511" t="s">
        <v>2585</v>
      </c>
      <c r="R511" t="s">
        <v>2604</v>
      </c>
      <c r="S511" t="s">
        <v>2606</v>
      </c>
      <c r="T511">
        <v>1</v>
      </c>
      <c r="U511" s="2">
        <v>1753.24</v>
      </c>
      <c r="V511" s="3">
        <v>0.05</v>
      </c>
      <c r="W511" s="2">
        <v>1665.58</v>
      </c>
      <c r="X511" s="2">
        <v>490.64</v>
      </c>
      <c r="Y511" s="3">
        <v>0.29457606359346289</v>
      </c>
      <c r="Z511" t="s">
        <v>1496</v>
      </c>
      <c r="AA511" t="s">
        <v>1498</v>
      </c>
      <c r="AB511" t="s">
        <v>1501</v>
      </c>
      <c r="AC511">
        <v>1</v>
      </c>
      <c r="AD511">
        <v>2024</v>
      </c>
      <c r="AE511" t="s">
        <v>2819</v>
      </c>
      <c r="AF511" t="s">
        <v>2831</v>
      </c>
      <c r="AG511" t="s">
        <v>2847</v>
      </c>
      <c r="AH511" t="s">
        <v>2848</v>
      </c>
      <c r="AI511">
        <v>1</v>
      </c>
    </row>
    <row r="512" spans="1:35" x14ac:dyDescent="0.3">
      <c r="A512" t="s">
        <v>496</v>
      </c>
      <c r="B512">
        <v>1</v>
      </c>
      <c r="C512" s="1">
        <v>45650</v>
      </c>
      <c r="D512" s="1">
        <v>45650</v>
      </c>
      <c r="E512" t="s">
        <v>1046</v>
      </c>
      <c r="F512" t="s">
        <v>1843</v>
      </c>
      <c r="G512" t="s">
        <v>1350</v>
      </c>
      <c r="H512" t="s">
        <v>2634</v>
      </c>
      <c r="I512" t="s">
        <v>2737</v>
      </c>
      <c r="J512" t="s">
        <v>2747</v>
      </c>
      <c r="K512" t="s">
        <v>1491</v>
      </c>
      <c r="L512" t="s">
        <v>2779</v>
      </c>
      <c r="M512" t="s">
        <v>2555</v>
      </c>
      <c r="N512" t="s">
        <v>2578</v>
      </c>
      <c r="O512" t="s">
        <v>2603</v>
      </c>
      <c r="P512" t="s">
        <v>2555</v>
      </c>
      <c r="Q512" t="s">
        <v>2578</v>
      </c>
      <c r="R512" t="s">
        <v>2603</v>
      </c>
      <c r="S512" t="s">
        <v>2606</v>
      </c>
      <c r="T512">
        <v>3</v>
      </c>
      <c r="U512" s="2">
        <v>53290.400000000001</v>
      </c>
      <c r="V512" s="3">
        <v>0</v>
      </c>
      <c r="W512" s="2">
        <v>159871.20000000001</v>
      </c>
      <c r="X512" s="2">
        <v>21695.040000000001</v>
      </c>
      <c r="Y512" s="3">
        <v>0.13570324110909279</v>
      </c>
      <c r="Z512" t="s">
        <v>1496</v>
      </c>
      <c r="AA512" t="s">
        <v>1498</v>
      </c>
      <c r="AB512" t="s">
        <v>1501</v>
      </c>
      <c r="AC512">
        <v>0</v>
      </c>
      <c r="AD512">
        <v>2024</v>
      </c>
      <c r="AE512" t="s">
        <v>2819</v>
      </c>
      <c r="AF512" t="s">
        <v>2831</v>
      </c>
      <c r="AG512" t="s">
        <v>2847</v>
      </c>
      <c r="AH512" t="s">
        <v>2848</v>
      </c>
      <c r="AI512">
        <v>1</v>
      </c>
    </row>
    <row r="513" spans="1:35" x14ac:dyDescent="0.3">
      <c r="A513" t="s">
        <v>497</v>
      </c>
      <c r="B513">
        <v>1</v>
      </c>
      <c r="C513" s="1">
        <v>45652</v>
      </c>
      <c r="D513" s="1">
        <v>45655</v>
      </c>
      <c r="E513" t="s">
        <v>1066</v>
      </c>
      <c r="F513" t="s">
        <v>1808</v>
      </c>
      <c r="G513" t="s">
        <v>1435</v>
      </c>
      <c r="H513" t="s">
        <v>2633</v>
      </c>
      <c r="I513" t="s">
        <v>2737</v>
      </c>
      <c r="J513" t="s">
        <v>2747</v>
      </c>
      <c r="K513" t="s">
        <v>1480</v>
      </c>
      <c r="L513" t="s">
        <v>2789</v>
      </c>
      <c r="M513" t="s">
        <v>2551</v>
      </c>
      <c r="N513" t="s">
        <v>2574</v>
      </c>
      <c r="O513" t="s">
        <v>2602</v>
      </c>
      <c r="R513" t="s">
        <v>2790</v>
      </c>
      <c r="S513" t="s">
        <v>2607</v>
      </c>
      <c r="T513">
        <v>1</v>
      </c>
      <c r="U513" s="2">
        <v>62926.96</v>
      </c>
      <c r="V513" s="3">
        <v>0.15</v>
      </c>
      <c r="W513" s="2">
        <v>53487.92</v>
      </c>
      <c r="X513" s="2">
        <v>-224.56</v>
      </c>
      <c r="Y513" s="3">
        <v>-4.1983311371988291E-3</v>
      </c>
      <c r="Z513" t="s">
        <v>1495</v>
      </c>
      <c r="AA513" t="s">
        <v>1499</v>
      </c>
      <c r="AB513" t="s">
        <v>1501</v>
      </c>
      <c r="AC513">
        <v>3</v>
      </c>
      <c r="AD513">
        <v>2024</v>
      </c>
      <c r="AE513" t="s">
        <v>2819</v>
      </c>
      <c r="AF513" t="s">
        <v>2831</v>
      </c>
      <c r="AG513" t="s">
        <v>2847</v>
      </c>
      <c r="AH513" t="s">
        <v>2848</v>
      </c>
      <c r="AI513">
        <v>1</v>
      </c>
    </row>
    <row r="514" spans="1:35" x14ac:dyDescent="0.3">
      <c r="A514" t="s">
        <v>498</v>
      </c>
      <c r="B514">
        <v>2</v>
      </c>
      <c r="C514" s="1">
        <v>45653</v>
      </c>
      <c r="D514" s="1">
        <v>45655</v>
      </c>
      <c r="E514" t="s">
        <v>1238</v>
      </c>
      <c r="F514" t="s">
        <v>1788</v>
      </c>
      <c r="G514" t="s">
        <v>1389</v>
      </c>
      <c r="H514" t="s">
        <v>2703</v>
      </c>
      <c r="I514" t="s">
        <v>2740</v>
      </c>
      <c r="J514" t="s">
        <v>2764</v>
      </c>
      <c r="K514" t="s">
        <v>1480</v>
      </c>
      <c r="L514" t="s">
        <v>2789</v>
      </c>
      <c r="M514" t="s">
        <v>2565</v>
      </c>
      <c r="N514" t="s">
        <v>2583</v>
      </c>
      <c r="O514" t="s">
        <v>2604</v>
      </c>
      <c r="R514" t="s">
        <v>2790</v>
      </c>
      <c r="S514" t="s">
        <v>2607</v>
      </c>
      <c r="T514">
        <v>1</v>
      </c>
      <c r="U514" s="2">
        <v>676.97</v>
      </c>
      <c r="V514" s="3">
        <v>0</v>
      </c>
      <c r="W514" s="2">
        <v>676.97</v>
      </c>
      <c r="X514" s="2">
        <v>54.29</v>
      </c>
      <c r="Y514" s="3">
        <v>8.0195577352024455E-2</v>
      </c>
      <c r="Z514" t="s">
        <v>1494</v>
      </c>
      <c r="AA514" t="s">
        <v>1498</v>
      </c>
      <c r="AB514" t="s">
        <v>1501</v>
      </c>
      <c r="AC514">
        <v>2</v>
      </c>
      <c r="AD514">
        <v>2024</v>
      </c>
      <c r="AE514" t="s">
        <v>2819</v>
      </c>
      <c r="AF514" t="s">
        <v>2831</v>
      </c>
      <c r="AG514" t="s">
        <v>2847</v>
      </c>
      <c r="AH514" t="s">
        <v>2848</v>
      </c>
      <c r="AI514">
        <v>1</v>
      </c>
    </row>
    <row r="515" spans="1:35" x14ac:dyDescent="0.3">
      <c r="A515" t="s">
        <v>499</v>
      </c>
      <c r="B515">
        <v>1</v>
      </c>
      <c r="C515" s="1">
        <v>45653</v>
      </c>
      <c r="E515" t="s">
        <v>1094</v>
      </c>
      <c r="F515" t="s">
        <v>1712</v>
      </c>
      <c r="G515" t="s">
        <v>1374</v>
      </c>
      <c r="H515" t="s">
        <v>2707</v>
      </c>
      <c r="I515" t="s">
        <v>2741</v>
      </c>
      <c r="J515" t="s">
        <v>2765</v>
      </c>
      <c r="K515" t="s">
        <v>1489</v>
      </c>
      <c r="L515" t="s">
        <v>2787</v>
      </c>
      <c r="M515" t="s">
        <v>2554</v>
      </c>
      <c r="N515" t="s">
        <v>2577</v>
      </c>
      <c r="O515" t="s">
        <v>2601</v>
      </c>
      <c r="P515" t="s">
        <v>2566</v>
      </c>
      <c r="Q515" t="s">
        <v>2584</v>
      </c>
      <c r="R515" t="s">
        <v>2601</v>
      </c>
      <c r="S515" t="s">
        <v>2606</v>
      </c>
      <c r="T515">
        <v>1</v>
      </c>
      <c r="U515" s="2">
        <v>1645.17</v>
      </c>
      <c r="V515" s="3">
        <v>0.15</v>
      </c>
      <c r="W515" s="2">
        <v>1398.39</v>
      </c>
      <c r="X515" s="2">
        <v>94.15</v>
      </c>
      <c r="Y515" s="3">
        <v>6.7327426540521595E-2</v>
      </c>
      <c r="Z515" t="s">
        <v>1496</v>
      </c>
      <c r="AA515" t="s">
        <v>1498</v>
      </c>
      <c r="AB515" t="s">
        <v>1503</v>
      </c>
      <c r="AD515">
        <v>2024</v>
      </c>
      <c r="AE515" t="s">
        <v>2819</v>
      </c>
      <c r="AF515" t="s">
        <v>2831</v>
      </c>
      <c r="AG515" t="s">
        <v>2847</v>
      </c>
      <c r="AH515" t="s">
        <v>2848</v>
      </c>
      <c r="AI515">
        <v>1</v>
      </c>
    </row>
    <row r="516" spans="1:35" x14ac:dyDescent="0.3">
      <c r="A516" t="s">
        <v>500</v>
      </c>
      <c r="B516">
        <v>1</v>
      </c>
      <c r="C516" s="1">
        <v>45654</v>
      </c>
      <c r="E516" t="s">
        <v>1239</v>
      </c>
      <c r="F516" t="s">
        <v>1838</v>
      </c>
      <c r="G516" t="s">
        <v>1358</v>
      </c>
      <c r="H516" t="s">
        <v>2636</v>
      </c>
      <c r="I516" t="s">
        <v>2737</v>
      </c>
      <c r="J516" t="s">
        <v>2747</v>
      </c>
      <c r="K516" t="s">
        <v>1480</v>
      </c>
      <c r="L516" t="s">
        <v>2789</v>
      </c>
      <c r="M516" t="s">
        <v>2565</v>
      </c>
      <c r="N516" t="s">
        <v>2583</v>
      </c>
      <c r="O516" t="s">
        <v>2604</v>
      </c>
      <c r="R516" t="s">
        <v>2790</v>
      </c>
      <c r="S516" t="s">
        <v>2608</v>
      </c>
      <c r="T516">
        <v>1</v>
      </c>
      <c r="U516" s="2">
        <v>37487.300000000003</v>
      </c>
      <c r="V516" s="3">
        <v>0</v>
      </c>
      <c r="W516" s="2">
        <v>37487.300000000003</v>
      </c>
      <c r="X516" s="2">
        <v>3603.55</v>
      </c>
      <c r="Y516" s="3">
        <v>9.6127221752433489E-2</v>
      </c>
      <c r="Z516" t="s">
        <v>1496</v>
      </c>
      <c r="AA516" t="s">
        <v>1499</v>
      </c>
      <c r="AB516" t="s">
        <v>1503</v>
      </c>
      <c r="AD516">
        <v>2024</v>
      </c>
      <c r="AE516" t="s">
        <v>2819</v>
      </c>
      <c r="AF516" t="s">
        <v>2831</v>
      </c>
      <c r="AG516" t="s">
        <v>2847</v>
      </c>
      <c r="AH516" t="s">
        <v>2848</v>
      </c>
      <c r="AI516">
        <v>1</v>
      </c>
    </row>
    <row r="517" spans="1:35" x14ac:dyDescent="0.3">
      <c r="A517" t="s">
        <v>501</v>
      </c>
      <c r="B517">
        <v>2</v>
      </c>
      <c r="C517" s="1">
        <v>45655</v>
      </c>
      <c r="D517" s="1">
        <v>45655</v>
      </c>
      <c r="E517" t="s">
        <v>1019</v>
      </c>
      <c r="F517" t="s">
        <v>1799</v>
      </c>
      <c r="G517" t="s">
        <v>1471</v>
      </c>
      <c r="H517" t="s">
        <v>2637</v>
      </c>
      <c r="I517" t="s">
        <v>2737</v>
      </c>
      <c r="J517" t="s">
        <v>2747</v>
      </c>
      <c r="K517" t="s">
        <v>1478</v>
      </c>
      <c r="L517" t="s">
        <v>2782</v>
      </c>
      <c r="M517" t="s">
        <v>2569</v>
      </c>
      <c r="N517" t="s">
        <v>2587</v>
      </c>
      <c r="O517" t="s">
        <v>2604</v>
      </c>
      <c r="P517" t="s">
        <v>2565</v>
      </c>
      <c r="Q517" t="s">
        <v>2583</v>
      </c>
      <c r="R517" t="s">
        <v>2604</v>
      </c>
      <c r="S517" t="s">
        <v>2607</v>
      </c>
      <c r="T517">
        <v>1</v>
      </c>
      <c r="U517" s="2">
        <v>31099.68</v>
      </c>
      <c r="V517" s="3">
        <v>0</v>
      </c>
      <c r="W517" s="2">
        <v>31099.68</v>
      </c>
      <c r="X517" s="2">
        <v>3425.67</v>
      </c>
      <c r="Y517" s="3">
        <v>0.1101512941612261</v>
      </c>
      <c r="Z517" t="s">
        <v>1496</v>
      </c>
      <c r="AA517" t="s">
        <v>1498</v>
      </c>
      <c r="AB517" t="s">
        <v>1501</v>
      </c>
      <c r="AC517">
        <v>0</v>
      </c>
      <c r="AD517">
        <v>2024</v>
      </c>
      <c r="AE517" t="s">
        <v>2819</v>
      </c>
      <c r="AF517" t="s">
        <v>2831</v>
      </c>
      <c r="AG517" t="s">
        <v>2847</v>
      </c>
      <c r="AH517" t="s">
        <v>2848</v>
      </c>
      <c r="AI517">
        <v>1</v>
      </c>
    </row>
    <row r="518" spans="1:35" x14ac:dyDescent="0.3">
      <c r="A518" t="s">
        <v>501</v>
      </c>
      <c r="B518">
        <v>3</v>
      </c>
      <c r="C518" s="1">
        <v>45655</v>
      </c>
      <c r="D518" s="1">
        <v>45655</v>
      </c>
      <c r="E518" t="s">
        <v>1019</v>
      </c>
      <c r="F518" t="s">
        <v>1799</v>
      </c>
      <c r="G518" t="s">
        <v>1466</v>
      </c>
      <c r="H518" t="s">
        <v>2716</v>
      </c>
      <c r="I518" t="s">
        <v>2741</v>
      </c>
      <c r="J518" t="s">
        <v>2768</v>
      </c>
      <c r="K518" t="s">
        <v>1478</v>
      </c>
      <c r="L518" t="s">
        <v>2782</v>
      </c>
      <c r="M518" t="s">
        <v>2569</v>
      </c>
      <c r="N518" t="s">
        <v>2587</v>
      </c>
      <c r="O518" t="s">
        <v>2604</v>
      </c>
      <c r="P518" t="s">
        <v>2565</v>
      </c>
      <c r="Q518" t="s">
        <v>2583</v>
      </c>
      <c r="R518" t="s">
        <v>2604</v>
      </c>
      <c r="S518" t="s">
        <v>2607</v>
      </c>
      <c r="T518">
        <v>1</v>
      </c>
      <c r="U518" s="2">
        <v>800.48</v>
      </c>
      <c r="V518" s="3">
        <v>0.05</v>
      </c>
      <c r="W518" s="2">
        <v>760.46</v>
      </c>
      <c r="X518" s="2">
        <v>246.14</v>
      </c>
      <c r="Y518" s="3">
        <v>0.32367251400468128</v>
      </c>
      <c r="Z518" t="s">
        <v>1496</v>
      </c>
      <c r="AA518" t="s">
        <v>1498</v>
      </c>
      <c r="AB518" t="s">
        <v>1501</v>
      </c>
      <c r="AC518">
        <v>0</v>
      </c>
      <c r="AD518">
        <v>2024</v>
      </c>
      <c r="AE518" t="s">
        <v>2819</v>
      </c>
      <c r="AF518" t="s">
        <v>2831</v>
      </c>
      <c r="AG518" t="s">
        <v>2847</v>
      </c>
      <c r="AH518" t="s">
        <v>2848</v>
      </c>
      <c r="AI518">
        <v>0</v>
      </c>
    </row>
    <row r="519" spans="1:35" x14ac:dyDescent="0.3">
      <c r="A519" t="s">
        <v>502</v>
      </c>
      <c r="B519">
        <v>1</v>
      </c>
      <c r="C519" s="1">
        <v>45656</v>
      </c>
      <c r="D519" s="1">
        <v>45656</v>
      </c>
      <c r="E519" t="s">
        <v>1101</v>
      </c>
      <c r="F519" t="s">
        <v>1736</v>
      </c>
      <c r="G519" t="s">
        <v>1390</v>
      </c>
      <c r="H519" t="s">
        <v>2645</v>
      </c>
      <c r="I519" t="s">
        <v>2738</v>
      </c>
      <c r="J519" t="s">
        <v>2750</v>
      </c>
      <c r="K519" t="s">
        <v>1484</v>
      </c>
      <c r="L519" t="s">
        <v>2778</v>
      </c>
      <c r="M519" t="s">
        <v>2555</v>
      </c>
      <c r="N519" t="s">
        <v>2578</v>
      </c>
      <c r="O519" t="s">
        <v>2603</v>
      </c>
      <c r="P519" t="s">
        <v>2559</v>
      </c>
      <c r="Q519" t="s">
        <v>2559</v>
      </c>
      <c r="R519" t="s">
        <v>2603</v>
      </c>
      <c r="S519" t="s">
        <v>2608</v>
      </c>
      <c r="T519">
        <v>1</v>
      </c>
      <c r="U519" s="2">
        <v>38147.39</v>
      </c>
      <c r="V519" s="3">
        <v>0</v>
      </c>
      <c r="W519" s="2">
        <v>38147.39</v>
      </c>
      <c r="X519" s="2">
        <v>10850.04</v>
      </c>
      <c r="Y519" s="3">
        <v>0.28442417685718469</v>
      </c>
      <c r="Z519" t="s">
        <v>1497</v>
      </c>
      <c r="AA519" t="s">
        <v>1499</v>
      </c>
      <c r="AB519" t="s">
        <v>1501</v>
      </c>
      <c r="AC519">
        <v>0</v>
      </c>
      <c r="AD519">
        <v>2024</v>
      </c>
      <c r="AE519" t="s">
        <v>2819</v>
      </c>
      <c r="AF519" t="s">
        <v>2831</v>
      </c>
      <c r="AG519" t="s">
        <v>2847</v>
      </c>
      <c r="AH519" t="s">
        <v>2848</v>
      </c>
      <c r="AI519">
        <v>1</v>
      </c>
    </row>
    <row r="520" spans="1:35" x14ac:dyDescent="0.3">
      <c r="A520" t="s">
        <v>503</v>
      </c>
      <c r="B520">
        <v>1</v>
      </c>
      <c r="C520" s="1">
        <v>45656</v>
      </c>
      <c r="D520" s="1">
        <v>45657</v>
      </c>
      <c r="E520" t="s">
        <v>1040</v>
      </c>
      <c r="F520" t="s">
        <v>1742</v>
      </c>
      <c r="G520" t="s">
        <v>1331</v>
      </c>
      <c r="H520" t="s">
        <v>2706</v>
      </c>
      <c r="I520" t="s">
        <v>2741</v>
      </c>
      <c r="J520" t="s">
        <v>2765</v>
      </c>
      <c r="K520" t="s">
        <v>1483</v>
      </c>
      <c r="L520" t="s">
        <v>2781</v>
      </c>
      <c r="M520" t="s">
        <v>2568</v>
      </c>
      <c r="N520" t="s">
        <v>2593</v>
      </c>
      <c r="O520" t="s">
        <v>2603</v>
      </c>
      <c r="P520" t="s">
        <v>2568</v>
      </c>
      <c r="Q520" t="s">
        <v>2586</v>
      </c>
      <c r="R520" t="s">
        <v>2603</v>
      </c>
      <c r="S520" t="s">
        <v>2606</v>
      </c>
      <c r="T520">
        <v>1</v>
      </c>
      <c r="U520" s="2">
        <v>1520.12</v>
      </c>
      <c r="V520" s="3">
        <v>0</v>
      </c>
      <c r="W520" s="2">
        <v>1520.12</v>
      </c>
      <c r="X520" s="2">
        <v>547.69000000000005</v>
      </c>
      <c r="Y520" s="3">
        <v>0.36029392416388178</v>
      </c>
      <c r="Z520" t="s">
        <v>1494</v>
      </c>
      <c r="AA520" t="s">
        <v>1498</v>
      </c>
      <c r="AB520" t="s">
        <v>1501</v>
      </c>
      <c r="AC520">
        <v>1</v>
      </c>
      <c r="AD520">
        <v>2024</v>
      </c>
      <c r="AE520" t="s">
        <v>2819</v>
      </c>
      <c r="AF520" t="s">
        <v>2831</v>
      </c>
      <c r="AG520" t="s">
        <v>2847</v>
      </c>
      <c r="AH520" t="s">
        <v>2848</v>
      </c>
      <c r="AI520">
        <v>1</v>
      </c>
    </row>
    <row r="521" spans="1:35" x14ac:dyDescent="0.3">
      <c r="A521" t="s">
        <v>504</v>
      </c>
      <c r="B521">
        <v>2</v>
      </c>
      <c r="C521" s="1">
        <v>45657</v>
      </c>
      <c r="D521" s="1">
        <v>45658</v>
      </c>
      <c r="E521" t="s">
        <v>967</v>
      </c>
      <c r="F521" t="s">
        <v>1849</v>
      </c>
      <c r="G521" t="s">
        <v>1472</v>
      </c>
      <c r="H521" t="s">
        <v>2625</v>
      </c>
      <c r="I521" t="s">
        <v>2737</v>
      </c>
      <c r="J521" t="s">
        <v>2745</v>
      </c>
      <c r="K521" t="s">
        <v>1480</v>
      </c>
      <c r="L521" t="s">
        <v>2789</v>
      </c>
      <c r="M521" t="s">
        <v>2550</v>
      </c>
      <c r="N521" t="s">
        <v>2573</v>
      </c>
      <c r="O521" t="s">
        <v>2601</v>
      </c>
      <c r="R521" t="s">
        <v>2790</v>
      </c>
      <c r="S521" t="s">
        <v>2607</v>
      </c>
      <c r="T521">
        <v>2</v>
      </c>
      <c r="U521" s="2">
        <v>16791.75</v>
      </c>
      <c r="V521" s="3">
        <v>0</v>
      </c>
      <c r="W521" s="2">
        <v>33583.5</v>
      </c>
      <c r="X521" s="2">
        <v>2711.4</v>
      </c>
      <c r="Y521" s="3">
        <v>8.0736075751485101E-2</v>
      </c>
      <c r="Z521" t="s">
        <v>1494</v>
      </c>
      <c r="AA521" t="s">
        <v>1500</v>
      </c>
      <c r="AB521" t="s">
        <v>1501</v>
      </c>
      <c r="AC521">
        <v>1</v>
      </c>
      <c r="AD521">
        <v>2024</v>
      </c>
      <c r="AE521" t="s">
        <v>2819</v>
      </c>
      <c r="AF521" t="s">
        <v>2831</v>
      </c>
      <c r="AG521" t="s">
        <v>2847</v>
      </c>
      <c r="AH521" t="s">
        <v>2848</v>
      </c>
      <c r="AI521">
        <v>1</v>
      </c>
    </row>
    <row r="522" spans="1:35" x14ac:dyDescent="0.3">
      <c r="A522" t="s">
        <v>505</v>
      </c>
      <c r="B522">
        <v>2</v>
      </c>
      <c r="C522" s="1">
        <v>45657</v>
      </c>
      <c r="D522" s="1">
        <v>45658</v>
      </c>
      <c r="E522" t="s">
        <v>1160</v>
      </c>
      <c r="F522" t="s">
        <v>1830</v>
      </c>
      <c r="G522" t="s">
        <v>1349</v>
      </c>
      <c r="H522" t="s">
        <v>2668</v>
      </c>
      <c r="I522" t="s">
        <v>2739</v>
      </c>
      <c r="J522" t="s">
        <v>2756</v>
      </c>
      <c r="K522" t="s">
        <v>1480</v>
      </c>
      <c r="L522" t="s">
        <v>2789</v>
      </c>
      <c r="M522" t="s">
        <v>2555</v>
      </c>
      <c r="N522" t="s">
        <v>2578</v>
      </c>
      <c r="O522" t="s">
        <v>2603</v>
      </c>
      <c r="R522" t="s">
        <v>2790</v>
      </c>
      <c r="S522" t="s">
        <v>2606</v>
      </c>
      <c r="T522">
        <v>1</v>
      </c>
      <c r="U522" s="2">
        <v>2650.66</v>
      </c>
      <c r="V522" s="3">
        <v>0.15</v>
      </c>
      <c r="W522" s="2">
        <v>2253.06</v>
      </c>
      <c r="X522" s="2">
        <v>463.43</v>
      </c>
      <c r="Y522" s="3">
        <v>0.20568915164265489</v>
      </c>
      <c r="Z522" t="s">
        <v>1497</v>
      </c>
      <c r="AA522" t="s">
        <v>1499</v>
      </c>
      <c r="AB522" t="s">
        <v>1501</v>
      </c>
      <c r="AC522">
        <v>1</v>
      </c>
      <c r="AD522">
        <v>2024</v>
      </c>
      <c r="AE522" t="s">
        <v>2819</v>
      </c>
      <c r="AF522" t="s">
        <v>2831</v>
      </c>
      <c r="AG522" t="s">
        <v>2847</v>
      </c>
      <c r="AH522" t="s">
        <v>2848</v>
      </c>
      <c r="AI522">
        <v>1</v>
      </c>
    </row>
    <row r="523" spans="1:35" x14ac:dyDescent="0.3">
      <c r="A523" t="s">
        <v>506</v>
      </c>
      <c r="B523">
        <v>1</v>
      </c>
      <c r="C523" s="1">
        <v>45657</v>
      </c>
      <c r="D523" s="1">
        <v>45659</v>
      </c>
      <c r="E523" t="s">
        <v>1132</v>
      </c>
      <c r="F523" t="s">
        <v>1966</v>
      </c>
      <c r="G523" t="s">
        <v>1447</v>
      </c>
      <c r="H523" t="s">
        <v>2728</v>
      </c>
      <c r="I523" t="s">
        <v>2742</v>
      </c>
      <c r="J523" t="s">
        <v>2771</v>
      </c>
      <c r="K523" t="s">
        <v>1480</v>
      </c>
      <c r="L523" t="s">
        <v>2789</v>
      </c>
      <c r="M523" t="s">
        <v>2554</v>
      </c>
      <c r="N523" t="s">
        <v>2577</v>
      </c>
      <c r="O523" t="s">
        <v>2601</v>
      </c>
      <c r="R523" t="s">
        <v>2790</v>
      </c>
      <c r="S523" t="s">
        <v>2606</v>
      </c>
      <c r="T523">
        <v>1</v>
      </c>
      <c r="U523" s="2">
        <v>4260.03</v>
      </c>
      <c r="V523" s="3">
        <v>0</v>
      </c>
      <c r="W523" s="2">
        <v>4260.03</v>
      </c>
      <c r="X523" s="2">
        <v>730.88</v>
      </c>
      <c r="Y523" s="3">
        <v>0.17156686689999839</v>
      </c>
      <c r="Z523" t="s">
        <v>1496</v>
      </c>
      <c r="AA523" t="s">
        <v>1498</v>
      </c>
      <c r="AB523" t="s">
        <v>1501</v>
      </c>
      <c r="AC523">
        <v>2</v>
      </c>
      <c r="AD523">
        <v>2024</v>
      </c>
      <c r="AE523" t="s">
        <v>2819</v>
      </c>
      <c r="AF523" t="s">
        <v>2831</v>
      </c>
      <c r="AG523" t="s">
        <v>2847</v>
      </c>
      <c r="AH523" t="s">
        <v>2848</v>
      </c>
      <c r="AI523">
        <v>1</v>
      </c>
    </row>
    <row r="524" spans="1:35" x14ac:dyDescent="0.3">
      <c r="A524" t="s">
        <v>507</v>
      </c>
      <c r="B524">
        <v>1</v>
      </c>
      <c r="C524" s="1">
        <v>45658</v>
      </c>
      <c r="D524" s="1">
        <v>45658</v>
      </c>
      <c r="E524" t="s">
        <v>1152</v>
      </c>
      <c r="F524" t="s">
        <v>1864</v>
      </c>
      <c r="G524" t="s">
        <v>1366</v>
      </c>
      <c r="H524" t="s">
        <v>2694</v>
      </c>
      <c r="I524" t="s">
        <v>2740</v>
      </c>
      <c r="J524" t="s">
        <v>2762</v>
      </c>
      <c r="K524" t="s">
        <v>1478</v>
      </c>
      <c r="L524" t="s">
        <v>2782</v>
      </c>
      <c r="M524" t="s">
        <v>2565</v>
      </c>
      <c r="N524" t="s">
        <v>2589</v>
      </c>
      <c r="O524" t="s">
        <v>2604</v>
      </c>
      <c r="P524" t="s">
        <v>2565</v>
      </c>
      <c r="Q524" t="s">
        <v>2583</v>
      </c>
      <c r="R524" t="s">
        <v>2604</v>
      </c>
      <c r="S524" t="s">
        <v>2608</v>
      </c>
      <c r="T524">
        <v>4</v>
      </c>
      <c r="U524" s="2">
        <v>1397.64</v>
      </c>
      <c r="V524" s="3">
        <v>0.1</v>
      </c>
      <c r="W524" s="2">
        <v>5031.5</v>
      </c>
      <c r="X524" s="2">
        <v>-212.58</v>
      </c>
      <c r="Y524" s="3">
        <v>-4.2249826095597742E-2</v>
      </c>
      <c r="Z524" t="s">
        <v>1495</v>
      </c>
      <c r="AA524" t="s">
        <v>1499</v>
      </c>
      <c r="AB524" t="s">
        <v>1501</v>
      </c>
      <c r="AC524">
        <v>0</v>
      </c>
      <c r="AD524">
        <v>2025</v>
      </c>
      <c r="AE524" t="s">
        <v>2808</v>
      </c>
      <c r="AF524" t="s">
        <v>2832</v>
      </c>
      <c r="AG524" t="s">
        <v>2844</v>
      </c>
      <c r="AH524" t="s">
        <v>2848</v>
      </c>
      <c r="AI524">
        <v>1</v>
      </c>
    </row>
    <row r="525" spans="1:35" x14ac:dyDescent="0.3">
      <c r="A525" t="s">
        <v>508</v>
      </c>
      <c r="B525">
        <v>1</v>
      </c>
      <c r="C525" s="1">
        <v>45660</v>
      </c>
      <c r="D525" s="1">
        <v>45663</v>
      </c>
      <c r="E525" t="s">
        <v>1161</v>
      </c>
      <c r="F525" t="s">
        <v>1959</v>
      </c>
      <c r="G525" t="s">
        <v>1400</v>
      </c>
      <c r="H525" t="s">
        <v>2642</v>
      </c>
      <c r="I525" t="s">
        <v>2738</v>
      </c>
      <c r="J525" t="s">
        <v>2750</v>
      </c>
      <c r="K525" t="s">
        <v>1480</v>
      </c>
      <c r="L525" t="s">
        <v>2789</v>
      </c>
      <c r="M525" t="s">
        <v>2554</v>
      </c>
      <c r="N525" t="s">
        <v>2577</v>
      </c>
      <c r="O525" t="s">
        <v>2601</v>
      </c>
      <c r="R525" t="s">
        <v>2790</v>
      </c>
      <c r="S525" t="s">
        <v>2606</v>
      </c>
      <c r="T525">
        <v>1</v>
      </c>
      <c r="U525" s="2">
        <v>36178.629999999997</v>
      </c>
      <c r="V525" s="3">
        <v>0.05</v>
      </c>
      <c r="W525" s="2">
        <v>34369.699999999997</v>
      </c>
      <c r="X525" s="2">
        <v>4066.82</v>
      </c>
      <c r="Y525" s="3">
        <v>0.11832573458598709</v>
      </c>
      <c r="Z525" t="s">
        <v>1496</v>
      </c>
      <c r="AA525" t="s">
        <v>1499</v>
      </c>
      <c r="AB525" t="s">
        <v>1501</v>
      </c>
      <c r="AC525">
        <v>3</v>
      </c>
      <c r="AD525">
        <v>2025</v>
      </c>
      <c r="AE525" t="s">
        <v>2808</v>
      </c>
      <c r="AF525" t="s">
        <v>2832</v>
      </c>
      <c r="AG525" t="s">
        <v>2844</v>
      </c>
      <c r="AH525" t="s">
        <v>2848</v>
      </c>
      <c r="AI525">
        <v>1</v>
      </c>
    </row>
    <row r="526" spans="1:35" x14ac:dyDescent="0.3">
      <c r="A526" t="s">
        <v>509</v>
      </c>
      <c r="B526">
        <v>1</v>
      </c>
      <c r="C526" s="1">
        <v>45661</v>
      </c>
      <c r="D526" s="1">
        <v>45662</v>
      </c>
      <c r="E526" t="s">
        <v>1200</v>
      </c>
      <c r="F526" t="s">
        <v>1872</v>
      </c>
      <c r="G526" t="s">
        <v>1462</v>
      </c>
      <c r="H526" t="s">
        <v>2647</v>
      </c>
      <c r="I526" t="s">
        <v>2738</v>
      </c>
      <c r="J526" t="s">
        <v>2751</v>
      </c>
      <c r="K526" t="s">
        <v>1481</v>
      </c>
      <c r="L526" t="s">
        <v>2777</v>
      </c>
      <c r="M526" t="s">
        <v>2557</v>
      </c>
      <c r="N526" t="s">
        <v>2576</v>
      </c>
      <c r="O526" t="s">
        <v>2602</v>
      </c>
      <c r="P526" t="s">
        <v>2557</v>
      </c>
      <c r="Q526" t="s">
        <v>2576</v>
      </c>
      <c r="R526" t="s">
        <v>2602</v>
      </c>
      <c r="S526" t="s">
        <v>2606</v>
      </c>
      <c r="T526">
        <v>2</v>
      </c>
      <c r="U526" s="2">
        <v>31184.25</v>
      </c>
      <c r="V526" s="3">
        <v>0</v>
      </c>
      <c r="W526" s="2">
        <v>62368.5</v>
      </c>
      <c r="X526" s="2">
        <v>11986.3</v>
      </c>
      <c r="Y526" s="3">
        <v>0.19218515757153051</v>
      </c>
      <c r="Z526" t="s">
        <v>1497</v>
      </c>
      <c r="AA526" t="s">
        <v>1500</v>
      </c>
      <c r="AB526" t="s">
        <v>1501</v>
      </c>
      <c r="AC526">
        <v>1</v>
      </c>
      <c r="AD526">
        <v>2025</v>
      </c>
      <c r="AE526" t="s">
        <v>2808</v>
      </c>
      <c r="AF526" t="s">
        <v>2832</v>
      </c>
      <c r="AG526" t="s">
        <v>2844</v>
      </c>
      <c r="AH526" t="s">
        <v>2848</v>
      </c>
      <c r="AI526">
        <v>1</v>
      </c>
    </row>
    <row r="527" spans="1:35" x14ac:dyDescent="0.3">
      <c r="A527" t="s">
        <v>509</v>
      </c>
      <c r="B527">
        <v>2</v>
      </c>
      <c r="C527" s="1">
        <v>45661</v>
      </c>
      <c r="D527" s="1">
        <v>45662</v>
      </c>
      <c r="E527" t="s">
        <v>1200</v>
      </c>
      <c r="F527" t="s">
        <v>1872</v>
      </c>
      <c r="G527" t="s">
        <v>1364</v>
      </c>
      <c r="H527" t="s">
        <v>2699</v>
      </c>
      <c r="I527" t="s">
        <v>2740</v>
      </c>
      <c r="J527" t="s">
        <v>2762</v>
      </c>
      <c r="K527" t="s">
        <v>1481</v>
      </c>
      <c r="L527" t="s">
        <v>2777</v>
      </c>
      <c r="M527" t="s">
        <v>2557</v>
      </c>
      <c r="N527" t="s">
        <v>2576</v>
      </c>
      <c r="O527" t="s">
        <v>2602</v>
      </c>
      <c r="P527" t="s">
        <v>2557</v>
      </c>
      <c r="Q527" t="s">
        <v>2576</v>
      </c>
      <c r="R527" t="s">
        <v>2602</v>
      </c>
      <c r="S527" t="s">
        <v>2606</v>
      </c>
      <c r="T527">
        <v>2</v>
      </c>
      <c r="U527" s="2">
        <v>590.01</v>
      </c>
      <c r="V527" s="3">
        <v>0</v>
      </c>
      <c r="W527" s="2">
        <v>1180.02</v>
      </c>
      <c r="X527" s="2">
        <v>145.1</v>
      </c>
      <c r="Y527" s="3">
        <v>0.12296401755902441</v>
      </c>
      <c r="Z527" t="s">
        <v>1497</v>
      </c>
      <c r="AA527" t="s">
        <v>1500</v>
      </c>
      <c r="AB527" t="s">
        <v>1501</v>
      </c>
      <c r="AC527">
        <v>1</v>
      </c>
      <c r="AD527">
        <v>2025</v>
      </c>
      <c r="AE527" t="s">
        <v>2808</v>
      </c>
      <c r="AF527" t="s">
        <v>2832</v>
      </c>
      <c r="AG527" t="s">
        <v>2844</v>
      </c>
      <c r="AH527" t="s">
        <v>2848</v>
      </c>
      <c r="AI527">
        <v>0</v>
      </c>
    </row>
    <row r="528" spans="1:35" x14ac:dyDescent="0.3">
      <c r="A528" t="s">
        <v>510</v>
      </c>
      <c r="B528">
        <v>1</v>
      </c>
      <c r="C528" s="1">
        <v>45662</v>
      </c>
      <c r="E528" t="s">
        <v>1233</v>
      </c>
      <c r="F528" t="s">
        <v>2004</v>
      </c>
      <c r="G528" t="s">
        <v>1395</v>
      </c>
      <c r="H528" t="s">
        <v>2727</v>
      </c>
      <c r="I528" t="s">
        <v>2742</v>
      </c>
      <c r="J528" t="s">
        <v>2771</v>
      </c>
      <c r="K528" t="s">
        <v>1480</v>
      </c>
      <c r="L528" t="s">
        <v>2789</v>
      </c>
      <c r="M528" t="s">
        <v>2554</v>
      </c>
      <c r="N528" t="s">
        <v>2577</v>
      </c>
      <c r="O528" t="s">
        <v>2601</v>
      </c>
      <c r="R528" t="s">
        <v>2790</v>
      </c>
      <c r="S528" t="s">
        <v>2606</v>
      </c>
      <c r="T528">
        <v>1</v>
      </c>
      <c r="U528" s="2">
        <v>5383.63</v>
      </c>
      <c r="V528" s="3">
        <v>0</v>
      </c>
      <c r="W528" s="2">
        <v>5383.63</v>
      </c>
      <c r="X528" s="2">
        <v>1175.04</v>
      </c>
      <c r="Y528" s="3">
        <v>0.2182616561687932</v>
      </c>
      <c r="Z528" t="s">
        <v>1496</v>
      </c>
      <c r="AA528" t="s">
        <v>1498</v>
      </c>
      <c r="AB528" t="s">
        <v>1503</v>
      </c>
      <c r="AD528">
        <v>2025</v>
      </c>
      <c r="AE528" t="s">
        <v>2808</v>
      </c>
      <c r="AF528" t="s">
        <v>2832</v>
      </c>
      <c r="AG528" t="s">
        <v>2844</v>
      </c>
      <c r="AH528" t="s">
        <v>2848</v>
      </c>
      <c r="AI528">
        <v>1</v>
      </c>
    </row>
    <row r="529" spans="1:35" x14ac:dyDescent="0.3">
      <c r="A529" t="s">
        <v>511</v>
      </c>
      <c r="B529">
        <v>1</v>
      </c>
      <c r="C529" s="1">
        <v>45665</v>
      </c>
      <c r="D529" s="1">
        <v>45666</v>
      </c>
      <c r="E529" t="s">
        <v>1013</v>
      </c>
      <c r="F529" t="s">
        <v>1651</v>
      </c>
      <c r="G529" t="s">
        <v>1387</v>
      </c>
      <c r="H529" t="s">
        <v>2730</v>
      </c>
      <c r="I529" t="s">
        <v>2742</v>
      </c>
      <c r="J529" t="s">
        <v>2771</v>
      </c>
      <c r="K529" t="s">
        <v>1484</v>
      </c>
      <c r="L529" t="s">
        <v>2778</v>
      </c>
      <c r="M529" t="s">
        <v>2552</v>
      </c>
      <c r="N529" t="s">
        <v>2575</v>
      </c>
      <c r="O529" t="s">
        <v>2603</v>
      </c>
      <c r="P529" t="s">
        <v>2559</v>
      </c>
      <c r="Q529" t="s">
        <v>2559</v>
      </c>
      <c r="R529" t="s">
        <v>2603</v>
      </c>
      <c r="S529" t="s">
        <v>2606</v>
      </c>
      <c r="T529">
        <v>1</v>
      </c>
      <c r="U529" s="2">
        <v>2184.2199999999998</v>
      </c>
      <c r="V529" s="3">
        <v>0</v>
      </c>
      <c r="W529" s="2">
        <v>2184.2199999999998</v>
      </c>
      <c r="X529" s="2">
        <v>542.11</v>
      </c>
      <c r="Y529" s="3">
        <v>0.24819386325553289</v>
      </c>
      <c r="Z529" t="s">
        <v>1493</v>
      </c>
      <c r="AA529" t="s">
        <v>1499</v>
      </c>
      <c r="AB529" t="s">
        <v>1502</v>
      </c>
      <c r="AC529">
        <v>1</v>
      </c>
      <c r="AD529">
        <v>2025</v>
      </c>
      <c r="AE529" t="s">
        <v>2808</v>
      </c>
      <c r="AF529" t="s">
        <v>2832</v>
      </c>
      <c r="AG529" t="s">
        <v>2844</v>
      </c>
      <c r="AH529" t="s">
        <v>2848</v>
      </c>
      <c r="AI529">
        <v>1</v>
      </c>
    </row>
    <row r="530" spans="1:35" x14ac:dyDescent="0.3">
      <c r="A530" t="s">
        <v>511</v>
      </c>
      <c r="B530">
        <v>3</v>
      </c>
      <c r="C530" s="1">
        <v>45665</v>
      </c>
      <c r="D530" s="1">
        <v>45666</v>
      </c>
      <c r="E530" t="s">
        <v>1013</v>
      </c>
      <c r="F530" t="s">
        <v>1651</v>
      </c>
      <c r="G530" t="s">
        <v>1352</v>
      </c>
      <c r="H530" t="s">
        <v>2666</v>
      </c>
      <c r="I530" t="s">
        <v>2739</v>
      </c>
      <c r="J530" t="s">
        <v>2755</v>
      </c>
      <c r="K530" t="s">
        <v>1484</v>
      </c>
      <c r="L530" t="s">
        <v>2778</v>
      </c>
      <c r="M530" t="s">
        <v>2552</v>
      </c>
      <c r="N530" t="s">
        <v>2575</v>
      </c>
      <c r="O530" t="s">
        <v>2603</v>
      </c>
      <c r="P530" t="s">
        <v>2559</v>
      </c>
      <c r="Q530" t="s">
        <v>2559</v>
      </c>
      <c r="R530" t="s">
        <v>2603</v>
      </c>
      <c r="S530" t="s">
        <v>2606</v>
      </c>
      <c r="T530">
        <v>1</v>
      </c>
      <c r="U530" s="2">
        <v>3696.44</v>
      </c>
      <c r="V530" s="3">
        <v>0</v>
      </c>
      <c r="W530" s="2">
        <v>3696.44</v>
      </c>
      <c r="X530" s="2">
        <v>1613.88</v>
      </c>
      <c r="Y530" s="3">
        <v>0.43660386750495073</v>
      </c>
      <c r="Z530" t="s">
        <v>1493</v>
      </c>
      <c r="AA530" t="s">
        <v>1499</v>
      </c>
      <c r="AB530" t="s">
        <v>1502</v>
      </c>
      <c r="AC530">
        <v>1</v>
      </c>
      <c r="AD530">
        <v>2025</v>
      </c>
      <c r="AE530" t="s">
        <v>2808</v>
      </c>
      <c r="AF530" t="s">
        <v>2832</v>
      </c>
      <c r="AG530" t="s">
        <v>2844</v>
      </c>
      <c r="AH530" t="s">
        <v>2848</v>
      </c>
      <c r="AI530">
        <v>0</v>
      </c>
    </row>
    <row r="531" spans="1:35" x14ac:dyDescent="0.3">
      <c r="A531" t="s">
        <v>512</v>
      </c>
      <c r="B531">
        <v>1</v>
      </c>
      <c r="C531" s="1">
        <v>45665</v>
      </c>
      <c r="D531" s="1">
        <v>45665</v>
      </c>
      <c r="E531" t="s">
        <v>1029</v>
      </c>
      <c r="F531" t="s">
        <v>1725</v>
      </c>
      <c r="G531" t="s">
        <v>1363</v>
      </c>
      <c r="H531" t="s">
        <v>2722</v>
      </c>
      <c r="I531" t="s">
        <v>2742</v>
      </c>
      <c r="J531" t="s">
        <v>2769</v>
      </c>
      <c r="K531" t="s">
        <v>1478</v>
      </c>
      <c r="L531" t="s">
        <v>2782</v>
      </c>
      <c r="M531" t="s">
        <v>2560</v>
      </c>
      <c r="N531" t="s">
        <v>2579</v>
      </c>
      <c r="O531" t="s">
        <v>2604</v>
      </c>
      <c r="P531" t="s">
        <v>2565</v>
      </c>
      <c r="Q531" t="s">
        <v>2583</v>
      </c>
      <c r="R531" t="s">
        <v>2604</v>
      </c>
      <c r="S531" t="s">
        <v>2607</v>
      </c>
      <c r="T531">
        <v>1</v>
      </c>
      <c r="U531" s="2">
        <v>23041.22</v>
      </c>
      <c r="V531" s="3">
        <v>0.05</v>
      </c>
      <c r="W531" s="2">
        <v>21889.16</v>
      </c>
      <c r="X531" s="2">
        <v>3812.68</v>
      </c>
      <c r="Y531" s="3">
        <v>0.1741811928826871</v>
      </c>
      <c r="Z531" t="s">
        <v>1497</v>
      </c>
      <c r="AA531" t="s">
        <v>1499</v>
      </c>
      <c r="AB531" t="s">
        <v>1501</v>
      </c>
      <c r="AC531">
        <v>0</v>
      </c>
      <c r="AD531">
        <v>2025</v>
      </c>
      <c r="AE531" t="s">
        <v>2808</v>
      </c>
      <c r="AF531" t="s">
        <v>2832</v>
      </c>
      <c r="AG531" t="s">
        <v>2844</v>
      </c>
      <c r="AH531" t="s">
        <v>2848</v>
      </c>
      <c r="AI531">
        <v>1</v>
      </c>
    </row>
    <row r="532" spans="1:35" x14ac:dyDescent="0.3">
      <c r="A532" t="s">
        <v>513</v>
      </c>
      <c r="B532">
        <v>1</v>
      </c>
      <c r="C532" s="1">
        <v>45666</v>
      </c>
      <c r="D532" s="1">
        <v>45668</v>
      </c>
      <c r="E532" t="s">
        <v>965</v>
      </c>
      <c r="F532" t="s">
        <v>1685</v>
      </c>
      <c r="G532" t="s">
        <v>1404</v>
      </c>
      <c r="H532" t="s">
        <v>2643</v>
      </c>
      <c r="I532" t="s">
        <v>2738</v>
      </c>
      <c r="J532" t="s">
        <v>2750</v>
      </c>
      <c r="K532" t="s">
        <v>1480</v>
      </c>
      <c r="L532" t="s">
        <v>2789</v>
      </c>
      <c r="M532" t="s">
        <v>2569</v>
      </c>
      <c r="N532" t="s">
        <v>2587</v>
      </c>
      <c r="O532" t="s">
        <v>2604</v>
      </c>
      <c r="R532" t="s">
        <v>2790</v>
      </c>
      <c r="S532" t="s">
        <v>2608</v>
      </c>
      <c r="T532">
        <v>1</v>
      </c>
      <c r="U532" s="2">
        <v>44125.88</v>
      </c>
      <c r="V532" s="3">
        <v>0</v>
      </c>
      <c r="W532" s="2">
        <v>44125.88</v>
      </c>
      <c r="X532" s="2">
        <v>9811.19</v>
      </c>
      <c r="Y532" s="3">
        <v>0.22234548070202789</v>
      </c>
      <c r="Z532" t="s">
        <v>1497</v>
      </c>
      <c r="AA532" t="s">
        <v>1499</v>
      </c>
      <c r="AB532" t="s">
        <v>1501</v>
      </c>
      <c r="AC532">
        <v>2</v>
      </c>
      <c r="AD532">
        <v>2025</v>
      </c>
      <c r="AE532" t="s">
        <v>2808</v>
      </c>
      <c r="AF532" t="s">
        <v>2832</v>
      </c>
      <c r="AG532" t="s">
        <v>2844</v>
      </c>
      <c r="AH532" t="s">
        <v>2848</v>
      </c>
      <c r="AI532">
        <v>1</v>
      </c>
    </row>
    <row r="533" spans="1:35" x14ac:dyDescent="0.3">
      <c r="A533" t="s">
        <v>514</v>
      </c>
      <c r="B533">
        <v>1</v>
      </c>
      <c r="C533" s="1">
        <v>45666</v>
      </c>
      <c r="D533" s="1">
        <v>45668</v>
      </c>
      <c r="E533" t="s">
        <v>1240</v>
      </c>
      <c r="F533" t="s">
        <v>1855</v>
      </c>
      <c r="G533" t="s">
        <v>1360</v>
      </c>
      <c r="H533" t="s">
        <v>2696</v>
      </c>
      <c r="I533" t="s">
        <v>2740</v>
      </c>
      <c r="J533" t="s">
        <v>2762</v>
      </c>
      <c r="K533" t="s">
        <v>1480</v>
      </c>
      <c r="L533" t="s">
        <v>2789</v>
      </c>
      <c r="M533" t="s">
        <v>2572</v>
      </c>
      <c r="N533" t="s">
        <v>2582</v>
      </c>
      <c r="O533" t="s">
        <v>2601</v>
      </c>
      <c r="R533" t="s">
        <v>2790</v>
      </c>
      <c r="S533" t="s">
        <v>2606</v>
      </c>
      <c r="T533">
        <v>2</v>
      </c>
      <c r="U533" s="2">
        <v>1166.3499999999999</v>
      </c>
      <c r="V533" s="3">
        <v>0</v>
      </c>
      <c r="W533" s="2">
        <v>2332.6999999999998</v>
      </c>
      <c r="X533" s="2">
        <v>273.22000000000003</v>
      </c>
      <c r="Y533" s="3">
        <v>0.11712607707806411</v>
      </c>
      <c r="Z533" t="s">
        <v>1493</v>
      </c>
      <c r="AA533" t="s">
        <v>1499</v>
      </c>
      <c r="AB533" t="s">
        <v>1501</v>
      </c>
      <c r="AC533">
        <v>2</v>
      </c>
      <c r="AD533">
        <v>2025</v>
      </c>
      <c r="AE533" t="s">
        <v>2808</v>
      </c>
      <c r="AF533" t="s">
        <v>2832</v>
      </c>
      <c r="AG533" t="s">
        <v>2844</v>
      </c>
      <c r="AH533" t="s">
        <v>2848</v>
      </c>
      <c r="AI533">
        <v>1</v>
      </c>
    </row>
    <row r="534" spans="1:35" x14ac:dyDescent="0.3">
      <c r="A534" t="s">
        <v>515</v>
      </c>
      <c r="B534">
        <v>1</v>
      </c>
      <c r="C534" s="1">
        <v>45667</v>
      </c>
      <c r="D534" s="1">
        <v>45667</v>
      </c>
      <c r="E534" t="s">
        <v>1204</v>
      </c>
      <c r="F534" t="s">
        <v>1848</v>
      </c>
      <c r="G534" t="s">
        <v>1382</v>
      </c>
      <c r="H534" t="s">
        <v>2697</v>
      </c>
      <c r="I534" t="s">
        <v>2740</v>
      </c>
      <c r="J534" t="s">
        <v>2762</v>
      </c>
      <c r="K534" t="s">
        <v>1486</v>
      </c>
      <c r="L534" t="s">
        <v>2776</v>
      </c>
      <c r="M534" t="s">
        <v>2562</v>
      </c>
      <c r="N534" t="s">
        <v>2574</v>
      </c>
      <c r="O534" t="s">
        <v>2602</v>
      </c>
      <c r="P534" t="s">
        <v>2551</v>
      </c>
      <c r="Q534" t="s">
        <v>2574</v>
      </c>
      <c r="R534" t="s">
        <v>2602</v>
      </c>
      <c r="S534" t="s">
        <v>2606</v>
      </c>
      <c r="T534">
        <v>1</v>
      </c>
      <c r="U534" s="2">
        <v>561.82000000000005</v>
      </c>
      <c r="V534" s="3">
        <v>0.2</v>
      </c>
      <c r="W534" s="2">
        <v>449.46</v>
      </c>
      <c r="X534" s="2">
        <v>-66.599999999999994</v>
      </c>
      <c r="Y534" s="3">
        <v>-0.14817781337605129</v>
      </c>
      <c r="Z534" t="s">
        <v>1493</v>
      </c>
      <c r="AA534" t="s">
        <v>1498</v>
      </c>
      <c r="AB534" t="s">
        <v>1501</v>
      </c>
      <c r="AC534">
        <v>0</v>
      </c>
      <c r="AD534">
        <v>2025</v>
      </c>
      <c r="AE534" t="s">
        <v>2808</v>
      </c>
      <c r="AF534" t="s">
        <v>2832</v>
      </c>
      <c r="AG534" t="s">
        <v>2844</v>
      </c>
      <c r="AH534" t="s">
        <v>2848</v>
      </c>
      <c r="AI534">
        <v>1</v>
      </c>
    </row>
    <row r="535" spans="1:35" x14ac:dyDescent="0.3">
      <c r="A535" t="s">
        <v>516</v>
      </c>
      <c r="B535">
        <v>1</v>
      </c>
      <c r="C535" s="1">
        <v>45668</v>
      </c>
      <c r="D535" s="1">
        <v>45668</v>
      </c>
      <c r="E535" t="s">
        <v>1241</v>
      </c>
      <c r="F535" t="s">
        <v>1724</v>
      </c>
      <c r="G535" t="s">
        <v>1448</v>
      </c>
      <c r="H535" t="s">
        <v>2679</v>
      </c>
      <c r="I535" t="s">
        <v>2739</v>
      </c>
      <c r="J535" t="s">
        <v>2758</v>
      </c>
      <c r="K535" t="s">
        <v>1492</v>
      </c>
      <c r="L535" t="s">
        <v>2788</v>
      </c>
      <c r="M535" t="s">
        <v>2572</v>
      </c>
      <c r="N535" t="s">
        <v>2582</v>
      </c>
      <c r="O535" t="s">
        <v>2601</v>
      </c>
      <c r="P535" t="s">
        <v>2554</v>
      </c>
      <c r="Q535" t="s">
        <v>2577</v>
      </c>
      <c r="R535" t="s">
        <v>2601</v>
      </c>
      <c r="S535" t="s">
        <v>2608</v>
      </c>
      <c r="T535">
        <v>2</v>
      </c>
      <c r="U535" s="2">
        <v>579.75</v>
      </c>
      <c r="V535" s="3">
        <v>0.15</v>
      </c>
      <c r="W535" s="2">
        <v>985.57</v>
      </c>
      <c r="X535" s="2">
        <v>202.59</v>
      </c>
      <c r="Y535" s="3">
        <v>0.2055561756141116</v>
      </c>
      <c r="Z535" t="s">
        <v>1495</v>
      </c>
      <c r="AA535" t="s">
        <v>1499</v>
      </c>
      <c r="AB535" t="s">
        <v>1501</v>
      </c>
      <c r="AC535">
        <v>0</v>
      </c>
      <c r="AD535">
        <v>2025</v>
      </c>
      <c r="AE535" t="s">
        <v>2808</v>
      </c>
      <c r="AF535" t="s">
        <v>2832</v>
      </c>
      <c r="AG535" t="s">
        <v>2844</v>
      </c>
      <c r="AH535" t="s">
        <v>2848</v>
      </c>
      <c r="AI535">
        <v>1</v>
      </c>
    </row>
    <row r="536" spans="1:35" x14ac:dyDescent="0.3">
      <c r="A536" t="s">
        <v>517</v>
      </c>
      <c r="B536">
        <v>1</v>
      </c>
      <c r="C536" s="1">
        <v>45668</v>
      </c>
      <c r="D536" s="1">
        <v>45668</v>
      </c>
      <c r="E536" t="s">
        <v>1144</v>
      </c>
      <c r="F536" t="s">
        <v>1657</v>
      </c>
      <c r="G536" t="s">
        <v>1339</v>
      </c>
      <c r="H536" t="s">
        <v>2715</v>
      </c>
      <c r="I536" t="s">
        <v>2741</v>
      </c>
      <c r="J536" t="s">
        <v>2767</v>
      </c>
      <c r="K536" t="s">
        <v>1485</v>
      </c>
      <c r="L536" t="s">
        <v>2775</v>
      </c>
      <c r="M536" t="s">
        <v>2556</v>
      </c>
      <c r="N536" t="s">
        <v>2574</v>
      </c>
      <c r="O536" t="s">
        <v>2602</v>
      </c>
      <c r="P536" t="s">
        <v>2562</v>
      </c>
      <c r="Q536" t="s">
        <v>2574</v>
      </c>
      <c r="R536" t="s">
        <v>2602</v>
      </c>
      <c r="S536" t="s">
        <v>2608</v>
      </c>
      <c r="T536">
        <v>1</v>
      </c>
      <c r="U536" s="2">
        <v>763.54</v>
      </c>
      <c r="V536" s="3">
        <v>0</v>
      </c>
      <c r="W536" s="2">
        <v>763.54</v>
      </c>
      <c r="X536" s="2">
        <v>240.98</v>
      </c>
      <c r="Y536" s="3">
        <v>0.31560887445320479</v>
      </c>
      <c r="Z536" t="s">
        <v>1496</v>
      </c>
      <c r="AA536" t="s">
        <v>1498</v>
      </c>
      <c r="AB536" t="s">
        <v>1501</v>
      </c>
      <c r="AC536">
        <v>0</v>
      </c>
      <c r="AD536">
        <v>2025</v>
      </c>
      <c r="AE536" t="s">
        <v>2808</v>
      </c>
      <c r="AF536" t="s">
        <v>2832</v>
      </c>
      <c r="AG536" t="s">
        <v>2844</v>
      </c>
      <c r="AH536" t="s">
        <v>2848</v>
      </c>
      <c r="AI536">
        <v>1</v>
      </c>
    </row>
    <row r="537" spans="1:35" x14ac:dyDescent="0.3">
      <c r="A537" t="s">
        <v>518</v>
      </c>
      <c r="B537">
        <v>1</v>
      </c>
      <c r="C537" s="1">
        <v>45670</v>
      </c>
      <c r="D537" s="1">
        <v>45673</v>
      </c>
      <c r="E537" t="s">
        <v>1139</v>
      </c>
      <c r="F537" t="s">
        <v>1720</v>
      </c>
      <c r="G537" t="s">
        <v>1397</v>
      </c>
      <c r="H537" t="s">
        <v>2650</v>
      </c>
      <c r="I537" t="s">
        <v>2738</v>
      </c>
      <c r="J537" t="s">
        <v>2751</v>
      </c>
      <c r="K537" t="s">
        <v>1480</v>
      </c>
      <c r="L537" t="s">
        <v>2789</v>
      </c>
      <c r="M537" t="s">
        <v>2554</v>
      </c>
      <c r="N537" t="s">
        <v>2577</v>
      </c>
      <c r="O537" t="s">
        <v>2601</v>
      </c>
      <c r="R537" t="s">
        <v>2790</v>
      </c>
      <c r="S537" t="s">
        <v>2608</v>
      </c>
      <c r="T537">
        <v>2</v>
      </c>
      <c r="U537" s="2">
        <v>42202.74</v>
      </c>
      <c r="V537" s="3">
        <v>0</v>
      </c>
      <c r="W537" s="2">
        <v>84405.48</v>
      </c>
      <c r="X537" s="2">
        <v>15575.52</v>
      </c>
      <c r="Y537" s="3">
        <v>0.18453209436164569</v>
      </c>
      <c r="Z537" t="s">
        <v>1496</v>
      </c>
      <c r="AA537" t="s">
        <v>1499</v>
      </c>
      <c r="AB537" t="s">
        <v>1501</v>
      </c>
      <c r="AC537">
        <v>3</v>
      </c>
      <c r="AD537">
        <v>2025</v>
      </c>
      <c r="AE537" t="s">
        <v>2808</v>
      </c>
      <c r="AF537" t="s">
        <v>2832</v>
      </c>
      <c r="AG537" t="s">
        <v>2844</v>
      </c>
      <c r="AH537" t="s">
        <v>2848</v>
      </c>
      <c r="AI537">
        <v>1</v>
      </c>
    </row>
    <row r="538" spans="1:35" x14ac:dyDescent="0.3">
      <c r="A538" t="s">
        <v>519</v>
      </c>
      <c r="B538">
        <v>1</v>
      </c>
      <c r="C538" s="1">
        <v>45672</v>
      </c>
      <c r="D538" s="1">
        <v>45675</v>
      </c>
      <c r="E538" t="s">
        <v>1242</v>
      </c>
      <c r="F538" t="s">
        <v>1921</v>
      </c>
      <c r="G538" t="s">
        <v>1413</v>
      </c>
      <c r="H538" t="s">
        <v>2716</v>
      </c>
      <c r="I538" t="s">
        <v>2741</v>
      </c>
      <c r="J538" t="s">
        <v>2768</v>
      </c>
      <c r="K538" t="s">
        <v>1480</v>
      </c>
      <c r="L538" t="s">
        <v>2789</v>
      </c>
      <c r="M538" t="s">
        <v>2554</v>
      </c>
      <c r="N538" t="s">
        <v>2577</v>
      </c>
      <c r="O538" t="s">
        <v>2601</v>
      </c>
      <c r="R538" t="s">
        <v>2790</v>
      </c>
      <c r="S538" t="s">
        <v>2606</v>
      </c>
      <c r="T538">
        <v>1</v>
      </c>
      <c r="U538" s="2">
        <v>771.89</v>
      </c>
      <c r="V538" s="3">
        <v>0</v>
      </c>
      <c r="W538" s="2">
        <v>771.89</v>
      </c>
      <c r="X538" s="2">
        <v>220.44</v>
      </c>
      <c r="Y538" s="3">
        <v>0.28558473357602759</v>
      </c>
      <c r="Z538" t="s">
        <v>1494</v>
      </c>
      <c r="AA538" t="s">
        <v>1498</v>
      </c>
      <c r="AB538" t="s">
        <v>1501</v>
      </c>
      <c r="AC538">
        <v>3</v>
      </c>
      <c r="AD538">
        <v>2025</v>
      </c>
      <c r="AE538" t="s">
        <v>2808</v>
      </c>
      <c r="AF538" t="s">
        <v>2832</v>
      </c>
      <c r="AG538" t="s">
        <v>2844</v>
      </c>
      <c r="AH538" t="s">
        <v>2848</v>
      </c>
      <c r="AI538">
        <v>1</v>
      </c>
    </row>
    <row r="539" spans="1:35" x14ac:dyDescent="0.3">
      <c r="A539" t="s">
        <v>520</v>
      </c>
      <c r="B539">
        <v>2</v>
      </c>
      <c r="C539" s="1">
        <v>45674</v>
      </c>
      <c r="D539" s="1">
        <v>45674</v>
      </c>
      <c r="E539" t="s">
        <v>1131</v>
      </c>
      <c r="F539" t="s">
        <v>1943</v>
      </c>
      <c r="G539" t="s">
        <v>1360</v>
      </c>
      <c r="H539" t="s">
        <v>2696</v>
      </c>
      <c r="I539" t="s">
        <v>2740</v>
      </c>
      <c r="J539" t="s">
        <v>2762</v>
      </c>
      <c r="K539" t="s">
        <v>1485</v>
      </c>
      <c r="L539" t="s">
        <v>2775</v>
      </c>
      <c r="M539" t="s">
        <v>2556</v>
      </c>
      <c r="N539" t="s">
        <v>2574</v>
      </c>
      <c r="O539" t="s">
        <v>2602</v>
      </c>
      <c r="P539" t="s">
        <v>2562</v>
      </c>
      <c r="Q539" t="s">
        <v>2574</v>
      </c>
      <c r="R539" t="s">
        <v>2602</v>
      </c>
      <c r="S539" t="s">
        <v>2608</v>
      </c>
      <c r="T539">
        <v>1</v>
      </c>
      <c r="U539" s="2">
        <v>1166.3499999999999</v>
      </c>
      <c r="V539" s="3">
        <v>0</v>
      </c>
      <c r="W539" s="2">
        <v>1166.3499999999999</v>
      </c>
      <c r="X539" s="2">
        <v>136.61000000000001</v>
      </c>
      <c r="Y539" s="3">
        <v>0.11712607707806411</v>
      </c>
      <c r="Z539" t="s">
        <v>1496</v>
      </c>
      <c r="AA539" t="s">
        <v>1498</v>
      </c>
      <c r="AB539" t="s">
        <v>1501</v>
      </c>
      <c r="AC539">
        <v>0</v>
      </c>
      <c r="AD539">
        <v>2025</v>
      </c>
      <c r="AE539" t="s">
        <v>2808</v>
      </c>
      <c r="AF539" t="s">
        <v>2832</v>
      </c>
      <c r="AG539" t="s">
        <v>2844</v>
      </c>
      <c r="AH539" t="s">
        <v>2848</v>
      </c>
      <c r="AI539">
        <v>1</v>
      </c>
    </row>
    <row r="540" spans="1:35" x14ac:dyDescent="0.3">
      <c r="A540" t="s">
        <v>521</v>
      </c>
      <c r="B540">
        <v>1</v>
      </c>
      <c r="C540" s="1">
        <v>45674</v>
      </c>
      <c r="D540" s="1">
        <v>45675</v>
      </c>
      <c r="E540" t="s">
        <v>1114</v>
      </c>
      <c r="F540" t="s">
        <v>1687</v>
      </c>
      <c r="G540" t="s">
        <v>1467</v>
      </c>
      <c r="H540" t="s">
        <v>2735</v>
      </c>
      <c r="I540" t="s">
        <v>2742</v>
      </c>
      <c r="J540" t="s">
        <v>2772</v>
      </c>
      <c r="K540" t="s">
        <v>1483</v>
      </c>
      <c r="L540" t="s">
        <v>2781</v>
      </c>
      <c r="M540" t="s">
        <v>2568</v>
      </c>
      <c r="N540" t="s">
        <v>2586</v>
      </c>
      <c r="O540" t="s">
        <v>2603</v>
      </c>
      <c r="P540" t="s">
        <v>2568</v>
      </c>
      <c r="Q540" t="s">
        <v>2586</v>
      </c>
      <c r="R540" t="s">
        <v>2603</v>
      </c>
      <c r="S540" t="s">
        <v>2607</v>
      </c>
      <c r="T540">
        <v>1</v>
      </c>
      <c r="U540" s="2">
        <v>16820.04</v>
      </c>
      <c r="V540" s="3">
        <v>0</v>
      </c>
      <c r="W540" s="2">
        <v>16820.04</v>
      </c>
      <c r="X540" s="2">
        <v>4191.17</v>
      </c>
      <c r="Y540" s="3">
        <v>0.24917717199245659</v>
      </c>
      <c r="Z540" t="s">
        <v>1496</v>
      </c>
      <c r="AA540" t="s">
        <v>1498</v>
      </c>
      <c r="AB540" t="s">
        <v>1501</v>
      </c>
      <c r="AC540">
        <v>1</v>
      </c>
      <c r="AD540">
        <v>2025</v>
      </c>
      <c r="AE540" t="s">
        <v>2808</v>
      </c>
      <c r="AF540" t="s">
        <v>2832</v>
      </c>
      <c r="AG540" t="s">
        <v>2844</v>
      </c>
      <c r="AH540" t="s">
        <v>2848</v>
      </c>
      <c r="AI540">
        <v>1</v>
      </c>
    </row>
    <row r="541" spans="1:35" x14ac:dyDescent="0.3">
      <c r="A541" t="s">
        <v>522</v>
      </c>
      <c r="B541">
        <v>2</v>
      </c>
      <c r="C541" s="1">
        <v>45683</v>
      </c>
      <c r="D541" s="1">
        <v>45683</v>
      </c>
      <c r="E541" t="s">
        <v>1149</v>
      </c>
      <c r="F541" t="s">
        <v>2031</v>
      </c>
      <c r="G541" t="s">
        <v>1433</v>
      </c>
      <c r="H541" t="s">
        <v>2675</v>
      </c>
      <c r="I541" t="s">
        <v>2739</v>
      </c>
      <c r="J541" t="s">
        <v>2757</v>
      </c>
      <c r="K541" t="s">
        <v>1492</v>
      </c>
      <c r="L541" t="s">
        <v>2788</v>
      </c>
      <c r="M541" t="s">
        <v>2561</v>
      </c>
      <c r="N541" t="s">
        <v>2598</v>
      </c>
      <c r="O541" t="s">
        <v>2601</v>
      </c>
      <c r="P541" t="s">
        <v>2554</v>
      </c>
      <c r="Q541" t="s">
        <v>2577</v>
      </c>
      <c r="R541" t="s">
        <v>2601</v>
      </c>
      <c r="S541" t="s">
        <v>2606</v>
      </c>
      <c r="T541">
        <v>1</v>
      </c>
      <c r="U541" s="2">
        <v>2067.91</v>
      </c>
      <c r="V541" s="3">
        <v>0</v>
      </c>
      <c r="W541" s="2">
        <v>2067.91</v>
      </c>
      <c r="X541" s="2">
        <v>576.48</v>
      </c>
      <c r="Y541" s="3">
        <v>0.27877422131524099</v>
      </c>
      <c r="Z541" t="s">
        <v>1493</v>
      </c>
      <c r="AA541" t="s">
        <v>1499</v>
      </c>
      <c r="AB541" t="s">
        <v>1501</v>
      </c>
      <c r="AC541">
        <v>0</v>
      </c>
      <c r="AD541">
        <v>2025</v>
      </c>
      <c r="AE541" t="s">
        <v>2808</v>
      </c>
      <c r="AF541" t="s">
        <v>2832</v>
      </c>
      <c r="AG541" t="s">
        <v>2844</v>
      </c>
      <c r="AH541" t="s">
        <v>2848</v>
      </c>
      <c r="AI541">
        <v>1</v>
      </c>
    </row>
    <row r="542" spans="1:35" x14ac:dyDescent="0.3">
      <c r="A542" t="s">
        <v>523</v>
      </c>
      <c r="B542">
        <v>1</v>
      </c>
      <c r="C542" s="1">
        <v>45683</v>
      </c>
      <c r="D542" s="1">
        <v>45683</v>
      </c>
      <c r="E542" t="s">
        <v>1083</v>
      </c>
      <c r="F542" t="s">
        <v>1719</v>
      </c>
      <c r="G542" t="s">
        <v>1377</v>
      </c>
      <c r="H542" t="s">
        <v>2652</v>
      </c>
      <c r="I542" t="s">
        <v>2738</v>
      </c>
      <c r="J542" t="s">
        <v>2752</v>
      </c>
      <c r="K542" t="s">
        <v>1492</v>
      </c>
      <c r="L542" t="s">
        <v>2788</v>
      </c>
      <c r="M542" t="s">
        <v>2564</v>
      </c>
      <c r="N542" t="s">
        <v>2582</v>
      </c>
      <c r="O542" t="s">
        <v>2601</v>
      </c>
      <c r="P542" t="s">
        <v>2554</v>
      </c>
      <c r="Q542" t="s">
        <v>2577</v>
      </c>
      <c r="R542" t="s">
        <v>2601</v>
      </c>
      <c r="S542" t="s">
        <v>2606</v>
      </c>
      <c r="T542">
        <v>1</v>
      </c>
      <c r="U542" s="2">
        <v>43870.05</v>
      </c>
      <c r="V542" s="3">
        <v>0.05</v>
      </c>
      <c r="W542" s="2">
        <v>41676.550000000003</v>
      </c>
      <c r="X542" s="2">
        <v>6301.39</v>
      </c>
      <c r="Y542" s="3">
        <v>0.1511974959539597</v>
      </c>
      <c r="Z542" t="s">
        <v>1495</v>
      </c>
      <c r="AA542" t="s">
        <v>1498</v>
      </c>
      <c r="AB542" t="s">
        <v>1501</v>
      </c>
      <c r="AC542">
        <v>0</v>
      </c>
      <c r="AD542">
        <v>2025</v>
      </c>
      <c r="AE542" t="s">
        <v>2808</v>
      </c>
      <c r="AF542" t="s">
        <v>2832</v>
      </c>
      <c r="AG542" t="s">
        <v>2844</v>
      </c>
      <c r="AH542" t="s">
        <v>2848</v>
      </c>
      <c r="AI542">
        <v>1</v>
      </c>
    </row>
    <row r="543" spans="1:35" x14ac:dyDescent="0.3">
      <c r="A543" t="s">
        <v>524</v>
      </c>
      <c r="B543">
        <v>1</v>
      </c>
      <c r="C543" s="1">
        <v>45683</v>
      </c>
      <c r="D543" s="1">
        <v>45685</v>
      </c>
      <c r="E543" t="s">
        <v>1069</v>
      </c>
      <c r="F543" t="s">
        <v>1880</v>
      </c>
      <c r="G543" t="s">
        <v>1404</v>
      </c>
      <c r="H543" t="s">
        <v>2643</v>
      </c>
      <c r="I543" t="s">
        <v>2738</v>
      </c>
      <c r="J543" t="s">
        <v>2750</v>
      </c>
      <c r="K543" t="s">
        <v>1480</v>
      </c>
      <c r="L543" t="s">
        <v>2789</v>
      </c>
      <c r="M543" t="s">
        <v>2567</v>
      </c>
      <c r="N543" t="s">
        <v>2585</v>
      </c>
      <c r="O543" t="s">
        <v>2604</v>
      </c>
      <c r="R543" t="s">
        <v>2790</v>
      </c>
      <c r="S543" t="s">
        <v>2607</v>
      </c>
      <c r="T543">
        <v>2</v>
      </c>
      <c r="U543" s="2">
        <v>44125.88</v>
      </c>
      <c r="V543" s="3">
        <v>0</v>
      </c>
      <c r="W543" s="2">
        <v>88251.76</v>
      </c>
      <c r="X543" s="2">
        <v>19622.38</v>
      </c>
      <c r="Y543" s="3">
        <v>0.22234548070202789</v>
      </c>
      <c r="Z543" t="s">
        <v>1496</v>
      </c>
      <c r="AA543" t="s">
        <v>1498</v>
      </c>
      <c r="AB543" t="s">
        <v>1501</v>
      </c>
      <c r="AC543">
        <v>2</v>
      </c>
      <c r="AD543">
        <v>2025</v>
      </c>
      <c r="AE543" t="s">
        <v>2808</v>
      </c>
      <c r="AF543" t="s">
        <v>2832</v>
      </c>
      <c r="AG543" t="s">
        <v>2844</v>
      </c>
      <c r="AH543" t="s">
        <v>2848</v>
      </c>
      <c r="AI543">
        <v>1</v>
      </c>
    </row>
    <row r="544" spans="1:35" x14ac:dyDescent="0.3">
      <c r="A544" t="s">
        <v>525</v>
      </c>
      <c r="B544">
        <v>1</v>
      </c>
      <c r="C544" s="1">
        <v>45685</v>
      </c>
      <c r="D544" s="1">
        <v>45688</v>
      </c>
      <c r="E544" t="s">
        <v>1083</v>
      </c>
      <c r="F544" t="s">
        <v>1719</v>
      </c>
      <c r="G544" t="s">
        <v>1384</v>
      </c>
      <c r="H544" t="s">
        <v>2659</v>
      </c>
      <c r="I544" t="s">
        <v>2738</v>
      </c>
      <c r="J544" t="s">
        <v>2754</v>
      </c>
      <c r="K544" t="s">
        <v>1480</v>
      </c>
      <c r="L544" t="s">
        <v>2789</v>
      </c>
      <c r="M544" t="s">
        <v>2564</v>
      </c>
      <c r="N544" t="s">
        <v>2582</v>
      </c>
      <c r="O544" t="s">
        <v>2601</v>
      </c>
      <c r="R544" t="s">
        <v>2790</v>
      </c>
      <c r="S544" t="s">
        <v>2606</v>
      </c>
      <c r="T544">
        <v>2</v>
      </c>
      <c r="U544" s="2">
        <v>35937.699999999997</v>
      </c>
      <c r="V544" s="3">
        <v>0.1</v>
      </c>
      <c r="W544" s="2">
        <v>64687.86</v>
      </c>
      <c r="X544" s="2">
        <v>14071.34</v>
      </c>
      <c r="Y544" s="3">
        <v>0.21752675076900049</v>
      </c>
      <c r="Z544" t="s">
        <v>1496</v>
      </c>
      <c r="AA544" t="s">
        <v>1498</v>
      </c>
      <c r="AB544" t="s">
        <v>1501</v>
      </c>
      <c r="AC544">
        <v>3</v>
      </c>
      <c r="AD544">
        <v>2025</v>
      </c>
      <c r="AE544" t="s">
        <v>2808</v>
      </c>
      <c r="AF544" t="s">
        <v>2832</v>
      </c>
      <c r="AG544" t="s">
        <v>2844</v>
      </c>
      <c r="AH544" t="s">
        <v>2848</v>
      </c>
      <c r="AI544">
        <v>1</v>
      </c>
    </row>
    <row r="545" spans="1:35" x14ac:dyDescent="0.3">
      <c r="A545" t="s">
        <v>526</v>
      </c>
      <c r="B545">
        <v>1</v>
      </c>
      <c r="C545" s="1">
        <v>45686</v>
      </c>
      <c r="D545" s="1">
        <v>45686</v>
      </c>
      <c r="E545" t="s">
        <v>965</v>
      </c>
      <c r="F545" t="s">
        <v>1685</v>
      </c>
      <c r="G545" t="s">
        <v>1399</v>
      </c>
      <c r="H545" t="s">
        <v>2691</v>
      </c>
      <c r="I545" t="s">
        <v>2740</v>
      </c>
      <c r="J545" t="s">
        <v>2761</v>
      </c>
      <c r="K545" t="s">
        <v>1490</v>
      </c>
      <c r="L545" t="s">
        <v>2784</v>
      </c>
      <c r="M545" t="s">
        <v>2569</v>
      </c>
      <c r="N545" t="s">
        <v>2587</v>
      </c>
      <c r="O545" t="s">
        <v>2604</v>
      </c>
      <c r="P545" t="s">
        <v>2567</v>
      </c>
      <c r="Q545" t="s">
        <v>2585</v>
      </c>
      <c r="R545" t="s">
        <v>2604</v>
      </c>
      <c r="S545" t="s">
        <v>2608</v>
      </c>
      <c r="T545">
        <v>1</v>
      </c>
      <c r="U545" s="2">
        <v>711.86</v>
      </c>
      <c r="V545" s="3">
        <v>0.1</v>
      </c>
      <c r="W545" s="2">
        <v>640.66999999999996</v>
      </c>
      <c r="X545" s="2">
        <v>1.61</v>
      </c>
      <c r="Y545" s="3">
        <v>2.512994209187258E-3</v>
      </c>
      <c r="Z545" t="s">
        <v>1496</v>
      </c>
      <c r="AA545" t="s">
        <v>1499</v>
      </c>
      <c r="AB545" t="s">
        <v>1501</v>
      </c>
      <c r="AC545">
        <v>0</v>
      </c>
      <c r="AD545">
        <v>2025</v>
      </c>
      <c r="AE545" t="s">
        <v>2808</v>
      </c>
      <c r="AF545" t="s">
        <v>2832</v>
      </c>
      <c r="AG545" t="s">
        <v>2844</v>
      </c>
      <c r="AH545" t="s">
        <v>2848</v>
      </c>
      <c r="AI545">
        <v>1</v>
      </c>
    </row>
    <row r="546" spans="1:35" x14ac:dyDescent="0.3">
      <c r="A546" t="s">
        <v>527</v>
      </c>
      <c r="B546">
        <v>1</v>
      </c>
      <c r="C546" s="1">
        <v>45686</v>
      </c>
      <c r="D546" s="1">
        <v>45689</v>
      </c>
      <c r="E546" t="s">
        <v>1058</v>
      </c>
      <c r="F546" t="s">
        <v>2044</v>
      </c>
      <c r="G546" t="s">
        <v>1402</v>
      </c>
      <c r="H546" t="s">
        <v>2690</v>
      </c>
      <c r="I546" t="s">
        <v>2740</v>
      </c>
      <c r="J546" t="s">
        <v>2761</v>
      </c>
      <c r="K546" t="s">
        <v>1480</v>
      </c>
      <c r="L546" t="s">
        <v>2789</v>
      </c>
      <c r="M546" t="s">
        <v>2570</v>
      </c>
      <c r="N546" t="s">
        <v>2590</v>
      </c>
      <c r="O546" t="s">
        <v>2605</v>
      </c>
      <c r="R546" t="s">
        <v>2790</v>
      </c>
      <c r="S546" t="s">
        <v>2607</v>
      </c>
      <c r="T546">
        <v>1</v>
      </c>
      <c r="U546" s="2">
        <v>1419.44</v>
      </c>
      <c r="V546" s="3">
        <v>0.2</v>
      </c>
      <c r="W546" s="2">
        <v>1135.55</v>
      </c>
      <c r="X546" s="2">
        <v>-176.95</v>
      </c>
      <c r="Y546" s="3">
        <v>-0.15582757254193999</v>
      </c>
      <c r="Z546" t="s">
        <v>1495</v>
      </c>
      <c r="AA546" t="s">
        <v>1498</v>
      </c>
      <c r="AB546" t="s">
        <v>1501</v>
      </c>
      <c r="AC546">
        <v>3</v>
      </c>
      <c r="AD546">
        <v>2025</v>
      </c>
      <c r="AE546" t="s">
        <v>2808</v>
      </c>
      <c r="AF546" t="s">
        <v>2832</v>
      </c>
      <c r="AG546" t="s">
        <v>2844</v>
      </c>
      <c r="AH546" t="s">
        <v>2848</v>
      </c>
      <c r="AI546">
        <v>1</v>
      </c>
    </row>
    <row r="547" spans="1:35" x14ac:dyDescent="0.3">
      <c r="A547" t="s">
        <v>528</v>
      </c>
      <c r="B547">
        <v>1</v>
      </c>
      <c r="C547" s="1">
        <v>45686</v>
      </c>
      <c r="D547" s="1">
        <v>45687</v>
      </c>
      <c r="E547" t="s">
        <v>987</v>
      </c>
      <c r="F547" t="s">
        <v>2005</v>
      </c>
      <c r="G547" t="s">
        <v>1457</v>
      </c>
      <c r="H547" t="s">
        <v>2687</v>
      </c>
      <c r="I547" t="s">
        <v>2740</v>
      </c>
      <c r="J547" t="s">
        <v>2760</v>
      </c>
      <c r="K547" t="s">
        <v>1480</v>
      </c>
      <c r="L547" t="s">
        <v>2789</v>
      </c>
      <c r="M547" t="s">
        <v>2550</v>
      </c>
      <c r="N547" t="s">
        <v>2573</v>
      </c>
      <c r="O547" t="s">
        <v>2601</v>
      </c>
      <c r="R547" t="s">
        <v>2790</v>
      </c>
      <c r="S547" t="s">
        <v>2608</v>
      </c>
      <c r="T547">
        <v>1</v>
      </c>
      <c r="U547" s="2">
        <v>1423.62</v>
      </c>
      <c r="V547" s="3">
        <v>0</v>
      </c>
      <c r="W547" s="2">
        <v>1423.62</v>
      </c>
      <c r="X547" s="2">
        <v>201.63</v>
      </c>
      <c r="Y547" s="3">
        <v>0.14163189615206309</v>
      </c>
      <c r="Z547" t="s">
        <v>1495</v>
      </c>
      <c r="AA547" t="s">
        <v>1498</v>
      </c>
      <c r="AB547" t="s">
        <v>1501</v>
      </c>
      <c r="AC547">
        <v>1</v>
      </c>
      <c r="AD547">
        <v>2025</v>
      </c>
      <c r="AE547" t="s">
        <v>2808</v>
      </c>
      <c r="AF547" t="s">
        <v>2832</v>
      </c>
      <c r="AG547" t="s">
        <v>2844</v>
      </c>
      <c r="AH547" t="s">
        <v>2848</v>
      </c>
      <c r="AI547">
        <v>1</v>
      </c>
    </row>
    <row r="548" spans="1:35" x14ac:dyDescent="0.3">
      <c r="A548" t="s">
        <v>529</v>
      </c>
      <c r="B548">
        <v>1</v>
      </c>
      <c r="C548" s="1">
        <v>45687</v>
      </c>
      <c r="E548" t="s">
        <v>1166</v>
      </c>
      <c r="F548" t="s">
        <v>1725</v>
      </c>
      <c r="G548" t="s">
        <v>1371</v>
      </c>
      <c r="H548" t="s">
        <v>2671</v>
      </c>
      <c r="I548" t="s">
        <v>2739</v>
      </c>
      <c r="J548" t="s">
        <v>2756</v>
      </c>
      <c r="K548" t="s">
        <v>1479</v>
      </c>
      <c r="L548" t="s">
        <v>2786</v>
      </c>
      <c r="M548" t="s">
        <v>2572</v>
      </c>
      <c r="N548" t="s">
        <v>2582</v>
      </c>
      <c r="O548" t="s">
        <v>2601</v>
      </c>
      <c r="P548" t="s">
        <v>2564</v>
      </c>
      <c r="Q548" t="s">
        <v>2582</v>
      </c>
      <c r="R548" t="s">
        <v>2601</v>
      </c>
      <c r="S548" t="s">
        <v>2608</v>
      </c>
      <c r="T548">
        <v>2</v>
      </c>
      <c r="U548" s="2">
        <v>5245.11</v>
      </c>
      <c r="V548" s="3">
        <v>0</v>
      </c>
      <c r="W548" s="2">
        <v>10490.22</v>
      </c>
      <c r="X548" s="2">
        <v>3887.9</v>
      </c>
      <c r="Y548" s="3">
        <v>0.37062139783531711</v>
      </c>
      <c r="Z548" t="s">
        <v>1494</v>
      </c>
      <c r="AA548" t="s">
        <v>1498</v>
      </c>
      <c r="AB548" t="s">
        <v>1503</v>
      </c>
      <c r="AD548">
        <v>2025</v>
      </c>
      <c r="AE548" t="s">
        <v>2808</v>
      </c>
      <c r="AF548" t="s">
        <v>2832</v>
      </c>
      <c r="AG548" t="s">
        <v>2844</v>
      </c>
      <c r="AH548" t="s">
        <v>2848</v>
      </c>
      <c r="AI548">
        <v>1</v>
      </c>
    </row>
    <row r="549" spans="1:35" x14ac:dyDescent="0.3">
      <c r="A549" t="s">
        <v>530</v>
      </c>
      <c r="B549">
        <v>3</v>
      </c>
      <c r="C549" s="1">
        <v>45689</v>
      </c>
      <c r="D549" s="1">
        <v>45691</v>
      </c>
      <c r="E549" t="s">
        <v>1083</v>
      </c>
      <c r="F549" t="s">
        <v>1719</v>
      </c>
      <c r="G549" t="s">
        <v>1438</v>
      </c>
      <c r="H549" t="s">
        <v>2621</v>
      </c>
      <c r="I549" t="s">
        <v>2737</v>
      </c>
      <c r="J549" t="s">
        <v>2744</v>
      </c>
      <c r="K549" t="s">
        <v>1480</v>
      </c>
      <c r="L549" t="s">
        <v>2789</v>
      </c>
      <c r="M549" t="s">
        <v>2564</v>
      </c>
      <c r="N549" t="s">
        <v>2582</v>
      </c>
      <c r="O549" t="s">
        <v>2601</v>
      </c>
      <c r="R549" t="s">
        <v>2790</v>
      </c>
      <c r="S549" t="s">
        <v>2606</v>
      </c>
      <c r="T549">
        <v>1</v>
      </c>
      <c r="U549" s="2">
        <v>77432.27</v>
      </c>
      <c r="V549" s="3">
        <v>0</v>
      </c>
      <c r="W549" s="2">
        <v>77432.27</v>
      </c>
      <c r="X549" s="2">
        <v>8717.52</v>
      </c>
      <c r="Y549" s="3">
        <v>0.1125825188903799</v>
      </c>
      <c r="Z549" t="s">
        <v>1497</v>
      </c>
      <c r="AA549" t="s">
        <v>1499</v>
      </c>
      <c r="AB549" t="s">
        <v>1501</v>
      </c>
      <c r="AC549">
        <v>2</v>
      </c>
      <c r="AD549">
        <v>2025</v>
      </c>
      <c r="AE549" t="s">
        <v>2809</v>
      </c>
      <c r="AF549" t="s">
        <v>2833</v>
      </c>
      <c r="AG549" t="s">
        <v>2844</v>
      </c>
      <c r="AH549" t="s">
        <v>2848</v>
      </c>
      <c r="AI549">
        <v>1</v>
      </c>
    </row>
    <row r="550" spans="1:35" x14ac:dyDescent="0.3">
      <c r="A550" t="s">
        <v>531</v>
      </c>
      <c r="B550">
        <v>1</v>
      </c>
      <c r="C550" s="1">
        <v>45689</v>
      </c>
      <c r="D550" s="1">
        <v>45689</v>
      </c>
      <c r="E550" t="s">
        <v>1243</v>
      </c>
      <c r="F550" t="s">
        <v>1939</v>
      </c>
      <c r="G550" t="s">
        <v>1470</v>
      </c>
      <c r="H550" t="s">
        <v>2672</v>
      </c>
      <c r="I550" t="s">
        <v>2739</v>
      </c>
      <c r="J550" t="s">
        <v>2756</v>
      </c>
      <c r="K550" t="s">
        <v>1492</v>
      </c>
      <c r="L550" t="s">
        <v>2788</v>
      </c>
      <c r="M550" t="s">
        <v>2554</v>
      </c>
      <c r="N550" t="s">
        <v>2577</v>
      </c>
      <c r="O550" t="s">
        <v>2601</v>
      </c>
      <c r="P550" t="s">
        <v>2554</v>
      </c>
      <c r="Q550" t="s">
        <v>2577</v>
      </c>
      <c r="R550" t="s">
        <v>2601</v>
      </c>
      <c r="S550" t="s">
        <v>2607</v>
      </c>
      <c r="T550">
        <v>1</v>
      </c>
      <c r="U550" s="2">
        <v>4551.28</v>
      </c>
      <c r="V550" s="3">
        <v>0.2</v>
      </c>
      <c r="W550" s="2">
        <v>3641.02</v>
      </c>
      <c r="X550" s="2">
        <v>970.85</v>
      </c>
      <c r="Y550" s="3">
        <v>0.26664231451626191</v>
      </c>
      <c r="Z550" t="s">
        <v>1497</v>
      </c>
      <c r="AA550" t="s">
        <v>1499</v>
      </c>
      <c r="AB550" t="s">
        <v>1501</v>
      </c>
      <c r="AC550">
        <v>0</v>
      </c>
      <c r="AD550">
        <v>2025</v>
      </c>
      <c r="AE550" t="s">
        <v>2809</v>
      </c>
      <c r="AF550" t="s">
        <v>2833</v>
      </c>
      <c r="AG550" t="s">
        <v>2844</v>
      </c>
      <c r="AH550" t="s">
        <v>2848</v>
      </c>
      <c r="AI550">
        <v>1</v>
      </c>
    </row>
    <row r="551" spans="1:35" x14ac:dyDescent="0.3">
      <c r="A551" t="s">
        <v>532</v>
      </c>
      <c r="B551">
        <v>1</v>
      </c>
      <c r="C551" s="1">
        <v>45690</v>
      </c>
      <c r="D551" s="1">
        <v>45691</v>
      </c>
      <c r="E551" t="s">
        <v>1009</v>
      </c>
      <c r="F551" t="s">
        <v>1819</v>
      </c>
      <c r="G551" t="s">
        <v>1442</v>
      </c>
      <c r="H551" t="s">
        <v>2676</v>
      </c>
      <c r="I551" t="s">
        <v>2739</v>
      </c>
      <c r="J551" t="s">
        <v>2757</v>
      </c>
      <c r="K551" t="s">
        <v>1481</v>
      </c>
      <c r="L551" t="s">
        <v>2777</v>
      </c>
      <c r="M551" t="s">
        <v>2556</v>
      </c>
      <c r="N551" t="s">
        <v>2574</v>
      </c>
      <c r="O551" t="s">
        <v>2602</v>
      </c>
      <c r="P551" t="s">
        <v>2557</v>
      </c>
      <c r="Q551" t="s">
        <v>2576</v>
      </c>
      <c r="R551" t="s">
        <v>2602</v>
      </c>
      <c r="S551" t="s">
        <v>2608</v>
      </c>
      <c r="T551">
        <v>1</v>
      </c>
      <c r="U551" s="2">
        <v>603.28</v>
      </c>
      <c r="V551" s="3">
        <v>0.2</v>
      </c>
      <c r="W551" s="2">
        <v>482.62</v>
      </c>
      <c r="X551" s="2">
        <v>101.49</v>
      </c>
      <c r="Y551" s="3">
        <v>0.2102896688906386</v>
      </c>
      <c r="Z551" t="s">
        <v>1496</v>
      </c>
      <c r="AA551" t="s">
        <v>1499</v>
      </c>
      <c r="AB551" t="s">
        <v>1501</v>
      </c>
      <c r="AC551">
        <v>1</v>
      </c>
      <c r="AD551">
        <v>2025</v>
      </c>
      <c r="AE551" t="s">
        <v>2809</v>
      </c>
      <c r="AF551" t="s">
        <v>2833</v>
      </c>
      <c r="AG551" t="s">
        <v>2844</v>
      </c>
      <c r="AH551" t="s">
        <v>2848</v>
      </c>
      <c r="AI551">
        <v>1</v>
      </c>
    </row>
    <row r="552" spans="1:35" x14ac:dyDescent="0.3">
      <c r="A552" t="s">
        <v>532</v>
      </c>
      <c r="B552">
        <v>2</v>
      </c>
      <c r="C552" s="1">
        <v>45690</v>
      </c>
      <c r="D552" s="1">
        <v>45691</v>
      </c>
      <c r="E552" t="s">
        <v>1009</v>
      </c>
      <c r="F552" t="s">
        <v>1819</v>
      </c>
      <c r="G552" t="s">
        <v>1427</v>
      </c>
      <c r="H552" t="s">
        <v>2712</v>
      </c>
      <c r="I552" t="s">
        <v>2741</v>
      </c>
      <c r="J552" t="s">
        <v>2766</v>
      </c>
      <c r="K552" t="s">
        <v>1481</v>
      </c>
      <c r="L552" t="s">
        <v>2777</v>
      </c>
      <c r="M552" t="s">
        <v>2556</v>
      </c>
      <c r="N552" t="s">
        <v>2574</v>
      </c>
      <c r="O552" t="s">
        <v>2602</v>
      </c>
      <c r="P552" t="s">
        <v>2557</v>
      </c>
      <c r="Q552" t="s">
        <v>2576</v>
      </c>
      <c r="R552" t="s">
        <v>2602</v>
      </c>
      <c r="S552" t="s">
        <v>2608</v>
      </c>
      <c r="T552">
        <v>1</v>
      </c>
      <c r="U552" s="2">
        <v>687.56</v>
      </c>
      <c r="V552" s="3">
        <v>0.05</v>
      </c>
      <c r="W552" s="2">
        <v>653.17999999999995</v>
      </c>
      <c r="X552" s="2">
        <v>200.75</v>
      </c>
      <c r="Y552" s="3">
        <v>0.30734253957561469</v>
      </c>
      <c r="Z552" t="s">
        <v>1496</v>
      </c>
      <c r="AA552" t="s">
        <v>1499</v>
      </c>
      <c r="AB552" t="s">
        <v>1501</v>
      </c>
      <c r="AC552">
        <v>1</v>
      </c>
      <c r="AD552">
        <v>2025</v>
      </c>
      <c r="AE552" t="s">
        <v>2809</v>
      </c>
      <c r="AF552" t="s">
        <v>2833</v>
      </c>
      <c r="AG552" t="s">
        <v>2844</v>
      </c>
      <c r="AH552" t="s">
        <v>2848</v>
      </c>
      <c r="AI552">
        <v>0</v>
      </c>
    </row>
    <row r="553" spans="1:35" x14ac:dyDescent="0.3">
      <c r="A553" t="s">
        <v>533</v>
      </c>
      <c r="B553">
        <v>1</v>
      </c>
      <c r="C553" s="1">
        <v>45690</v>
      </c>
      <c r="D553" s="1">
        <v>45691</v>
      </c>
      <c r="E553" t="s">
        <v>1044</v>
      </c>
      <c r="F553" t="s">
        <v>1816</v>
      </c>
      <c r="G553" t="s">
        <v>1344</v>
      </c>
      <c r="H553" t="s">
        <v>2717</v>
      </c>
      <c r="I553" t="s">
        <v>2741</v>
      </c>
      <c r="J553" t="s">
        <v>2768</v>
      </c>
      <c r="K553" t="s">
        <v>1479</v>
      </c>
      <c r="L553" t="s">
        <v>2786</v>
      </c>
      <c r="M553" t="s">
        <v>2550</v>
      </c>
      <c r="N553" t="s">
        <v>2573</v>
      </c>
      <c r="O553" t="s">
        <v>2601</v>
      </c>
      <c r="P553" t="s">
        <v>2564</v>
      </c>
      <c r="Q553" t="s">
        <v>2582</v>
      </c>
      <c r="R553" t="s">
        <v>2601</v>
      </c>
      <c r="S553" t="s">
        <v>2608</v>
      </c>
      <c r="T553">
        <v>1</v>
      </c>
      <c r="U553" s="2">
        <v>555.59</v>
      </c>
      <c r="V553" s="3">
        <v>0</v>
      </c>
      <c r="W553" s="2">
        <v>555.59</v>
      </c>
      <c r="X553" s="2">
        <v>176.49</v>
      </c>
      <c r="Y553" s="3">
        <v>0.31766230493709391</v>
      </c>
      <c r="Z553" t="s">
        <v>1496</v>
      </c>
      <c r="AA553" t="s">
        <v>1498</v>
      </c>
      <c r="AB553" t="s">
        <v>1501</v>
      </c>
      <c r="AC553">
        <v>1</v>
      </c>
      <c r="AD553">
        <v>2025</v>
      </c>
      <c r="AE553" t="s">
        <v>2809</v>
      </c>
      <c r="AF553" t="s">
        <v>2833</v>
      </c>
      <c r="AG553" t="s">
        <v>2844</v>
      </c>
      <c r="AH553" t="s">
        <v>2848</v>
      </c>
      <c r="AI553">
        <v>1</v>
      </c>
    </row>
    <row r="554" spans="1:35" x14ac:dyDescent="0.3">
      <c r="A554" t="s">
        <v>534</v>
      </c>
      <c r="B554">
        <v>2</v>
      </c>
      <c r="C554" s="1">
        <v>45690</v>
      </c>
      <c r="D554" s="1">
        <v>45693</v>
      </c>
      <c r="E554" t="s">
        <v>1195</v>
      </c>
      <c r="F554" t="s">
        <v>1813</v>
      </c>
      <c r="G554" t="s">
        <v>1422</v>
      </c>
      <c r="H554" t="s">
        <v>2642</v>
      </c>
      <c r="I554" t="s">
        <v>2738</v>
      </c>
      <c r="J554" t="s">
        <v>2750</v>
      </c>
      <c r="K554" t="s">
        <v>1480</v>
      </c>
      <c r="L554" t="s">
        <v>2789</v>
      </c>
      <c r="M554" t="s">
        <v>2555</v>
      </c>
      <c r="N554" t="s">
        <v>2578</v>
      </c>
      <c r="O554" t="s">
        <v>2603</v>
      </c>
      <c r="R554" t="s">
        <v>2790</v>
      </c>
      <c r="S554" t="s">
        <v>2606</v>
      </c>
      <c r="T554">
        <v>1</v>
      </c>
      <c r="U554" s="2">
        <v>27508.38</v>
      </c>
      <c r="V554" s="3">
        <v>0</v>
      </c>
      <c r="W554" s="2">
        <v>27508.38</v>
      </c>
      <c r="X554" s="2">
        <v>4220.3500000000004</v>
      </c>
      <c r="Y554" s="3">
        <v>0.15342052131023351</v>
      </c>
      <c r="Z554" t="s">
        <v>1495</v>
      </c>
      <c r="AA554" t="s">
        <v>1498</v>
      </c>
      <c r="AB554" t="s">
        <v>1501</v>
      </c>
      <c r="AC554">
        <v>3</v>
      </c>
      <c r="AD554">
        <v>2025</v>
      </c>
      <c r="AE554" t="s">
        <v>2809</v>
      </c>
      <c r="AF554" t="s">
        <v>2833</v>
      </c>
      <c r="AG554" t="s">
        <v>2844</v>
      </c>
      <c r="AH554" t="s">
        <v>2848</v>
      </c>
      <c r="AI554">
        <v>1</v>
      </c>
    </row>
    <row r="555" spans="1:35" x14ac:dyDescent="0.3">
      <c r="A555" t="s">
        <v>535</v>
      </c>
      <c r="B555">
        <v>1</v>
      </c>
      <c r="C555" s="1">
        <v>45691</v>
      </c>
      <c r="D555" s="1">
        <v>45692</v>
      </c>
      <c r="E555" t="s">
        <v>1020</v>
      </c>
      <c r="F555" t="s">
        <v>1746</v>
      </c>
      <c r="G555" t="s">
        <v>1346</v>
      </c>
      <c r="H555" t="s">
        <v>2670</v>
      </c>
      <c r="I555" t="s">
        <v>2739</v>
      </c>
      <c r="J555" t="s">
        <v>2756</v>
      </c>
      <c r="K555" t="s">
        <v>1490</v>
      </c>
      <c r="L555" t="s">
        <v>2784</v>
      </c>
      <c r="M555" t="s">
        <v>2569</v>
      </c>
      <c r="N555" t="s">
        <v>2587</v>
      </c>
      <c r="O555" t="s">
        <v>2604</v>
      </c>
      <c r="P555" t="s">
        <v>2567</v>
      </c>
      <c r="Q555" t="s">
        <v>2585</v>
      </c>
      <c r="R555" t="s">
        <v>2604</v>
      </c>
      <c r="S555" t="s">
        <v>2608</v>
      </c>
      <c r="T555">
        <v>1</v>
      </c>
      <c r="U555" s="2">
        <v>3324.39</v>
      </c>
      <c r="V555" s="3">
        <v>0</v>
      </c>
      <c r="W555" s="2">
        <v>3324.39</v>
      </c>
      <c r="X555" s="2">
        <v>1234.02</v>
      </c>
      <c r="Y555" s="3">
        <v>0.37120193479104441</v>
      </c>
      <c r="Z555" t="s">
        <v>1493</v>
      </c>
      <c r="AA555" t="s">
        <v>1498</v>
      </c>
      <c r="AB555" t="s">
        <v>1501</v>
      </c>
      <c r="AC555">
        <v>1</v>
      </c>
      <c r="AD555">
        <v>2025</v>
      </c>
      <c r="AE555" t="s">
        <v>2809</v>
      </c>
      <c r="AF555" t="s">
        <v>2833</v>
      </c>
      <c r="AG555" t="s">
        <v>2844</v>
      </c>
      <c r="AH555" t="s">
        <v>2848</v>
      </c>
      <c r="AI555">
        <v>1</v>
      </c>
    </row>
    <row r="556" spans="1:35" x14ac:dyDescent="0.3">
      <c r="A556" t="s">
        <v>536</v>
      </c>
      <c r="B556">
        <v>2</v>
      </c>
      <c r="C556" s="1">
        <v>45692</v>
      </c>
      <c r="D556" s="1">
        <v>45694</v>
      </c>
      <c r="E556" t="s">
        <v>1244</v>
      </c>
      <c r="F556" t="s">
        <v>2017</v>
      </c>
      <c r="G556" t="s">
        <v>1417</v>
      </c>
      <c r="H556" t="s">
        <v>2702</v>
      </c>
      <c r="I556" t="s">
        <v>2740</v>
      </c>
      <c r="J556" t="s">
        <v>2764</v>
      </c>
      <c r="K556" t="s">
        <v>1480</v>
      </c>
      <c r="L556" t="s">
        <v>2789</v>
      </c>
      <c r="M556" t="s">
        <v>2569</v>
      </c>
      <c r="N556" t="s">
        <v>2587</v>
      </c>
      <c r="O556" t="s">
        <v>2604</v>
      </c>
      <c r="R556" t="s">
        <v>2790</v>
      </c>
      <c r="S556" t="s">
        <v>2608</v>
      </c>
      <c r="T556">
        <v>1</v>
      </c>
      <c r="U556" s="2">
        <v>1497.68</v>
      </c>
      <c r="V556" s="3">
        <v>0</v>
      </c>
      <c r="W556" s="2">
        <v>1497.68</v>
      </c>
      <c r="X556" s="2">
        <v>174.58</v>
      </c>
      <c r="Y556" s="3">
        <v>0.1165669568933284</v>
      </c>
      <c r="Z556" t="s">
        <v>1494</v>
      </c>
      <c r="AA556" t="s">
        <v>1498</v>
      </c>
      <c r="AB556" t="s">
        <v>1501</v>
      </c>
      <c r="AC556">
        <v>2</v>
      </c>
      <c r="AD556">
        <v>2025</v>
      </c>
      <c r="AE556" t="s">
        <v>2809</v>
      </c>
      <c r="AF556" t="s">
        <v>2833</v>
      </c>
      <c r="AG556" t="s">
        <v>2844</v>
      </c>
      <c r="AH556" t="s">
        <v>2848</v>
      </c>
      <c r="AI556">
        <v>1</v>
      </c>
    </row>
    <row r="557" spans="1:35" x14ac:dyDescent="0.3">
      <c r="A557" t="s">
        <v>537</v>
      </c>
      <c r="B557">
        <v>1</v>
      </c>
      <c r="C557" s="1">
        <v>45692</v>
      </c>
      <c r="D557" s="1">
        <v>45693</v>
      </c>
      <c r="E557" t="s">
        <v>1245</v>
      </c>
      <c r="F557" t="s">
        <v>1662</v>
      </c>
      <c r="G557" t="s">
        <v>1441</v>
      </c>
      <c r="H557" t="s">
        <v>2660</v>
      </c>
      <c r="I557" t="s">
        <v>2738</v>
      </c>
      <c r="J557" t="s">
        <v>2754</v>
      </c>
      <c r="K557" t="s">
        <v>1480</v>
      </c>
      <c r="L557" t="s">
        <v>2789</v>
      </c>
      <c r="M557" t="s">
        <v>2569</v>
      </c>
      <c r="N557" t="s">
        <v>2587</v>
      </c>
      <c r="O557" t="s">
        <v>2604</v>
      </c>
      <c r="R557" t="s">
        <v>2790</v>
      </c>
      <c r="S557" t="s">
        <v>2608</v>
      </c>
      <c r="T557">
        <v>2</v>
      </c>
      <c r="U557" s="2">
        <v>6305.83</v>
      </c>
      <c r="V557" s="3">
        <v>0</v>
      </c>
      <c r="W557" s="2">
        <v>12611.66</v>
      </c>
      <c r="X557" s="2">
        <v>2849.6</v>
      </c>
      <c r="Y557" s="3">
        <v>0.22594963708187499</v>
      </c>
      <c r="Z557" t="s">
        <v>1496</v>
      </c>
      <c r="AA557" t="s">
        <v>1498</v>
      </c>
      <c r="AB557" t="s">
        <v>1501</v>
      </c>
      <c r="AC557">
        <v>1</v>
      </c>
      <c r="AD557">
        <v>2025</v>
      </c>
      <c r="AE557" t="s">
        <v>2809</v>
      </c>
      <c r="AF557" t="s">
        <v>2833</v>
      </c>
      <c r="AG557" t="s">
        <v>2844</v>
      </c>
      <c r="AH557" t="s">
        <v>2848</v>
      </c>
      <c r="AI557">
        <v>1</v>
      </c>
    </row>
    <row r="558" spans="1:35" x14ac:dyDescent="0.3">
      <c r="A558" t="s">
        <v>538</v>
      </c>
      <c r="B558">
        <v>2</v>
      </c>
      <c r="C558" s="1">
        <v>45692</v>
      </c>
      <c r="D558" s="1">
        <v>45693</v>
      </c>
      <c r="E558" t="s">
        <v>1041</v>
      </c>
      <c r="F558" t="s">
        <v>1793</v>
      </c>
      <c r="G558" t="s">
        <v>1366</v>
      </c>
      <c r="H558" t="s">
        <v>2694</v>
      </c>
      <c r="I558" t="s">
        <v>2740</v>
      </c>
      <c r="J558" t="s">
        <v>2762</v>
      </c>
      <c r="K558" t="s">
        <v>1483</v>
      </c>
      <c r="L558" t="s">
        <v>2781</v>
      </c>
      <c r="M558" t="s">
        <v>2555</v>
      </c>
      <c r="N558" t="s">
        <v>2578</v>
      </c>
      <c r="O558" t="s">
        <v>2603</v>
      </c>
      <c r="P558" t="s">
        <v>2568</v>
      </c>
      <c r="Q558" t="s">
        <v>2586</v>
      </c>
      <c r="R558" t="s">
        <v>2603</v>
      </c>
      <c r="S558" t="s">
        <v>2608</v>
      </c>
      <c r="T558">
        <v>1</v>
      </c>
      <c r="U558" s="2">
        <v>1397.64</v>
      </c>
      <c r="V558" s="3">
        <v>0</v>
      </c>
      <c r="W558" s="2">
        <v>1397.64</v>
      </c>
      <c r="X558" s="2">
        <v>86.62</v>
      </c>
      <c r="Y558" s="3">
        <v>6.1975902235196473E-2</v>
      </c>
      <c r="Z558" t="s">
        <v>1496</v>
      </c>
      <c r="AA558" t="s">
        <v>1498</v>
      </c>
      <c r="AB558" t="s">
        <v>1501</v>
      </c>
      <c r="AC558">
        <v>1</v>
      </c>
      <c r="AD558">
        <v>2025</v>
      </c>
      <c r="AE558" t="s">
        <v>2809</v>
      </c>
      <c r="AF558" t="s">
        <v>2833</v>
      </c>
      <c r="AG558" t="s">
        <v>2844</v>
      </c>
      <c r="AH558" t="s">
        <v>2848</v>
      </c>
      <c r="AI558">
        <v>1</v>
      </c>
    </row>
    <row r="559" spans="1:35" x14ac:dyDescent="0.3">
      <c r="A559" t="s">
        <v>539</v>
      </c>
      <c r="B559">
        <v>1</v>
      </c>
      <c r="C559" s="1">
        <v>45692</v>
      </c>
      <c r="D559" s="1">
        <v>45695</v>
      </c>
      <c r="E559" t="s">
        <v>1017</v>
      </c>
      <c r="F559" t="s">
        <v>1898</v>
      </c>
      <c r="G559" t="s">
        <v>1390</v>
      </c>
      <c r="H559" t="s">
        <v>2645</v>
      </c>
      <c r="I559" t="s">
        <v>2738</v>
      </c>
      <c r="J559" t="s">
        <v>2750</v>
      </c>
      <c r="K559" t="s">
        <v>1480</v>
      </c>
      <c r="L559" t="s">
        <v>2789</v>
      </c>
      <c r="M559" t="s">
        <v>2551</v>
      </c>
      <c r="N559" t="s">
        <v>2574</v>
      </c>
      <c r="O559" t="s">
        <v>2602</v>
      </c>
      <c r="R559" t="s">
        <v>2790</v>
      </c>
      <c r="S559" t="s">
        <v>2606</v>
      </c>
      <c r="T559">
        <v>1</v>
      </c>
      <c r="U559" s="2">
        <v>38147.39</v>
      </c>
      <c r="V559" s="3">
        <v>0</v>
      </c>
      <c r="W559" s="2">
        <v>38147.39</v>
      </c>
      <c r="X559" s="2">
        <v>10850.04</v>
      </c>
      <c r="Y559" s="3">
        <v>0.28442417685718469</v>
      </c>
      <c r="Z559" t="s">
        <v>1494</v>
      </c>
      <c r="AA559" t="s">
        <v>1499</v>
      </c>
      <c r="AB559" t="s">
        <v>1501</v>
      </c>
      <c r="AC559">
        <v>3</v>
      </c>
      <c r="AD559">
        <v>2025</v>
      </c>
      <c r="AE559" t="s">
        <v>2809</v>
      </c>
      <c r="AF559" t="s">
        <v>2833</v>
      </c>
      <c r="AG559" t="s">
        <v>2844</v>
      </c>
      <c r="AH559" t="s">
        <v>2848</v>
      </c>
      <c r="AI559">
        <v>1</v>
      </c>
    </row>
    <row r="560" spans="1:35" x14ac:dyDescent="0.3">
      <c r="A560" t="s">
        <v>540</v>
      </c>
      <c r="B560">
        <v>1</v>
      </c>
      <c r="C560" s="1">
        <v>45693</v>
      </c>
      <c r="D560" s="1">
        <v>45694</v>
      </c>
      <c r="E560" t="s">
        <v>1201</v>
      </c>
      <c r="F560" t="s">
        <v>1727</v>
      </c>
      <c r="G560" t="s">
        <v>1376</v>
      </c>
      <c r="H560" t="s">
        <v>2681</v>
      </c>
      <c r="I560" t="s">
        <v>2739</v>
      </c>
      <c r="J560" t="s">
        <v>2759</v>
      </c>
      <c r="K560" t="s">
        <v>1485</v>
      </c>
      <c r="L560" t="s">
        <v>2775</v>
      </c>
      <c r="M560" t="s">
        <v>2553</v>
      </c>
      <c r="N560" t="s">
        <v>2576</v>
      </c>
      <c r="O560" t="s">
        <v>2602</v>
      </c>
      <c r="P560" t="s">
        <v>2562</v>
      </c>
      <c r="Q560" t="s">
        <v>2574</v>
      </c>
      <c r="R560" t="s">
        <v>2602</v>
      </c>
      <c r="S560" t="s">
        <v>2608</v>
      </c>
      <c r="T560">
        <v>1</v>
      </c>
      <c r="U560" s="2">
        <v>5444.12</v>
      </c>
      <c r="V560" s="3">
        <v>0</v>
      </c>
      <c r="W560" s="2">
        <v>5444.12</v>
      </c>
      <c r="X560" s="2">
        <v>2427.61</v>
      </c>
      <c r="Y560" s="3">
        <v>0.44591412386207507</v>
      </c>
      <c r="Z560" t="s">
        <v>1494</v>
      </c>
      <c r="AA560" t="s">
        <v>1498</v>
      </c>
      <c r="AB560" t="s">
        <v>1501</v>
      </c>
      <c r="AC560">
        <v>1</v>
      </c>
      <c r="AD560">
        <v>2025</v>
      </c>
      <c r="AE560" t="s">
        <v>2809</v>
      </c>
      <c r="AF560" t="s">
        <v>2833</v>
      </c>
      <c r="AG560" t="s">
        <v>2844</v>
      </c>
      <c r="AH560" t="s">
        <v>2848</v>
      </c>
      <c r="AI560">
        <v>1</v>
      </c>
    </row>
    <row r="561" spans="1:35" x14ac:dyDescent="0.3">
      <c r="A561" t="s">
        <v>541</v>
      </c>
      <c r="B561">
        <v>1</v>
      </c>
      <c r="C561" s="1">
        <v>45693</v>
      </c>
      <c r="D561" s="1">
        <v>45696</v>
      </c>
      <c r="E561" t="s">
        <v>1178</v>
      </c>
      <c r="F561" t="s">
        <v>1951</v>
      </c>
      <c r="G561" t="s">
        <v>1405</v>
      </c>
      <c r="H561" t="s">
        <v>2639</v>
      </c>
      <c r="I561" t="s">
        <v>2737</v>
      </c>
      <c r="J561" t="s">
        <v>2748</v>
      </c>
      <c r="K561" t="s">
        <v>1480</v>
      </c>
      <c r="L561" t="s">
        <v>2789</v>
      </c>
      <c r="M561" t="s">
        <v>2571</v>
      </c>
      <c r="N561" t="s">
        <v>2590</v>
      </c>
      <c r="O561" t="s">
        <v>2605</v>
      </c>
      <c r="R561" t="s">
        <v>2790</v>
      </c>
      <c r="S561" t="s">
        <v>2606</v>
      </c>
      <c r="T561">
        <v>1</v>
      </c>
      <c r="U561" s="2">
        <v>57633.32</v>
      </c>
      <c r="V561" s="3">
        <v>0</v>
      </c>
      <c r="W561" s="2">
        <v>57633.32</v>
      </c>
      <c r="X561" s="2">
        <v>7200.49</v>
      </c>
      <c r="Y561" s="3">
        <v>0.1249362348030618</v>
      </c>
      <c r="Z561" t="s">
        <v>1494</v>
      </c>
      <c r="AA561" t="s">
        <v>1498</v>
      </c>
      <c r="AB561" t="s">
        <v>1501</v>
      </c>
      <c r="AC561">
        <v>3</v>
      </c>
      <c r="AD561">
        <v>2025</v>
      </c>
      <c r="AE561" t="s">
        <v>2809</v>
      </c>
      <c r="AF561" t="s">
        <v>2833</v>
      </c>
      <c r="AG561" t="s">
        <v>2844</v>
      </c>
      <c r="AH561" t="s">
        <v>2848</v>
      </c>
      <c r="AI561">
        <v>1</v>
      </c>
    </row>
    <row r="562" spans="1:35" x14ac:dyDescent="0.3">
      <c r="A562" t="s">
        <v>542</v>
      </c>
      <c r="B562">
        <v>1</v>
      </c>
      <c r="C562" s="1">
        <v>45695</v>
      </c>
      <c r="D562" s="1">
        <v>45696</v>
      </c>
      <c r="E562" t="s">
        <v>1009</v>
      </c>
      <c r="F562" t="s">
        <v>1819</v>
      </c>
      <c r="G562" t="s">
        <v>1416</v>
      </c>
      <c r="H562" t="s">
        <v>2700</v>
      </c>
      <c r="I562" t="s">
        <v>2740</v>
      </c>
      <c r="J562" t="s">
        <v>2763</v>
      </c>
      <c r="K562" t="s">
        <v>1486</v>
      </c>
      <c r="L562" t="s">
        <v>2776</v>
      </c>
      <c r="M562" t="s">
        <v>2556</v>
      </c>
      <c r="N562" t="s">
        <v>2574</v>
      </c>
      <c r="O562" t="s">
        <v>2602</v>
      </c>
      <c r="P562" t="s">
        <v>2551</v>
      </c>
      <c r="Q562" t="s">
        <v>2574</v>
      </c>
      <c r="R562" t="s">
        <v>2602</v>
      </c>
      <c r="S562" t="s">
        <v>2608</v>
      </c>
      <c r="T562">
        <v>1</v>
      </c>
      <c r="U562" s="2">
        <v>1404.87</v>
      </c>
      <c r="V562" s="3">
        <v>0</v>
      </c>
      <c r="W562" s="2">
        <v>1404.87</v>
      </c>
      <c r="X562" s="2">
        <v>179.87</v>
      </c>
      <c r="Y562" s="3">
        <v>0.12803319880131259</v>
      </c>
      <c r="Z562" t="s">
        <v>1496</v>
      </c>
      <c r="AA562" t="s">
        <v>1498</v>
      </c>
      <c r="AB562" t="s">
        <v>1501</v>
      </c>
      <c r="AC562">
        <v>1</v>
      </c>
      <c r="AD562">
        <v>2025</v>
      </c>
      <c r="AE562" t="s">
        <v>2809</v>
      </c>
      <c r="AF562" t="s">
        <v>2833</v>
      </c>
      <c r="AG562" t="s">
        <v>2844</v>
      </c>
      <c r="AH562" t="s">
        <v>2848</v>
      </c>
      <c r="AI562">
        <v>1</v>
      </c>
    </row>
    <row r="563" spans="1:35" x14ac:dyDescent="0.3">
      <c r="A563" t="s">
        <v>543</v>
      </c>
      <c r="B563">
        <v>3</v>
      </c>
      <c r="C563" s="1">
        <v>45695</v>
      </c>
      <c r="D563" s="1">
        <v>45697</v>
      </c>
      <c r="E563" t="s">
        <v>999</v>
      </c>
      <c r="F563" t="s">
        <v>1840</v>
      </c>
      <c r="G563" t="s">
        <v>1379</v>
      </c>
      <c r="H563" t="s">
        <v>2729</v>
      </c>
      <c r="I563" t="s">
        <v>2742</v>
      </c>
      <c r="J563" t="s">
        <v>2771</v>
      </c>
      <c r="K563" t="s">
        <v>1480</v>
      </c>
      <c r="L563" t="s">
        <v>2789</v>
      </c>
      <c r="M563" t="s">
        <v>2567</v>
      </c>
      <c r="N563" t="s">
        <v>2585</v>
      </c>
      <c r="O563" t="s">
        <v>2604</v>
      </c>
      <c r="R563" t="s">
        <v>2790</v>
      </c>
      <c r="S563" t="s">
        <v>2606</v>
      </c>
      <c r="T563">
        <v>1</v>
      </c>
      <c r="U563" s="2">
        <v>20939.349999999999</v>
      </c>
      <c r="V563" s="3">
        <v>0</v>
      </c>
      <c r="W563" s="2">
        <v>20939.349999999999</v>
      </c>
      <c r="X563" s="2">
        <v>5833.44</v>
      </c>
      <c r="Y563" s="3">
        <v>0.27858744421388443</v>
      </c>
      <c r="Z563" t="s">
        <v>1494</v>
      </c>
      <c r="AA563" t="s">
        <v>1498</v>
      </c>
      <c r="AB563" t="s">
        <v>1501</v>
      </c>
      <c r="AC563">
        <v>2</v>
      </c>
      <c r="AD563">
        <v>2025</v>
      </c>
      <c r="AE563" t="s">
        <v>2809</v>
      </c>
      <c r="AF563" t="s">
        <v>2833</v>
      </c>
      <c r="AG563" t="s">
        <v>2844</v>
      </c>
      <c r="AH563" t="s">
        <v>2848</v>
      </c>
      <c r="AI563">
        <v>1</v>
      </c>
    </row>
    <row r="564" spans="1:35" x14ac:dyDescent="0.3">
      <c r="A564" t="s">
        <v>544</v>
      </c>
      <c r="B564">
        <v>2</v>
      </c>
      <c r="C564" s="1">
        <v>45696</v>
      </c>
      <c r="E564" t="s">
        <v>1007</v>
      </c>
      <c r="F564" t="s">
        <v>1733</v>
      </c>
      <c r="G564" t="s">
        <v>1420</v>
      </c>
      <c r="H564" t="s">
        <v>2694</v>
      </c>
      <c r="I564" t="s">
        <v>2740</v>
      </c>
      <c r="J564" t="s">
        <v>2762</v>
      </c>
      <c r="K564" t="s">
        <v>1480</v>
      </c>
      <c r="L564" t="s">
        <v>2789</v>
      </c>
      <c r="M564" t="s">
        <v>2552</v>
      </c>
      <c r="N564" t="s">
        <v>2575</v>
      </c>
      <c r="O564" t="s">
        <v>2603</v>
      </c>
      <c r="R564" t="s">
        <v>2790</v>
      </c>
      <c r="S564" t="s">
        <v>2607</v>
      </c>
      <c r="T564">
        <v>1</v>
      </c>
      <c r="U564" s="2">
        <v>257.32</v>
      </c>
      <c r="V564" s="3">
        <v>0.1</v>
      </c>
      <c r="W564" s="2">
        <v>231.59</v>
      </c>
      <c r="X564" s="2">
        <v>-9.06</v>
      </c>
      <c r="Y564" s="3">
        <v>-3.912086014076601E-2</v>
      </c>
      <c r="Z564" t="s">
        <v>1495</v>
      </c>
      <c r="AA564" t="s">
        <v>1498</v>
      </c>
      <c r="AB564" t="s">
        <v>1503</v>
      </c>
      <c r="AD564">
        <v>2025</v>
      </c>
      <c r="AE564" t="s">
        <v>2809</v>
      </c>
      <c r="AF564" t="s">
        <v>2833</v>
      </c>
      <c r="AG564" t="s">
        <v>2844</v>
      </c>
      <c r="AH564" t="s">
        <v>2848</v>
      </c>
      <c r="AI564">
        <v>1</v>
      </c>
    </row>
    <row r="565" spans="1:35" x14ac:dyDescent="0.3">
      <c r="A565" t="s">
        <v>545</v>
      </c>
      <c r="B565">
        <v>1</v>
      </c>
      <c r="C565" s="1">
        <v>45698</v>
      </c>
      <c r="D565" s="1">
        <v>45701</v>
      </c>
      <c r="E565" t="s">
        <v>1246</v>
      </c>
      <c r="F565" t="s">
        <v>1720</v>
      </c>
      <c r="G565" t="s">
        <v>1434</v>
      </c>
      <c r="H565" t="s">
        <v>2695</v>
      </c>
      <c r="I565" t="s">
        <v>2740</v>
      </c>
      <c r="J565" t="s">
        <v>2762</v>
      </c>
      <c r="K565" t="s">
        <v>1480</v>
      </c>
      <c r="L565" t="s">
        <v>2789</v>
      </c>
      <c r="M565" t="s">
        <v>2570</v>
      </c>
      <c r="N565" t="s">
        <v>2590</v>
      </c>
      <c r="O565" t="s">
        <v>2605</v>
      </c>
      <c r="R565" t="s">
        <v>2790</v>
      </c>
      <c r="S565" t="s">
        <v>2607</v>
      </c>
      <c r="T565">
        <v>1</v>
      </c>
      <c r="U565" s="2">
        <v>994.69</v>
      </c>
      <c r="V565" s="3">
        <v>0</v>
      </c>
      <c r="W565" s="2">
        <v>994.69</v>
      </c>
      <c r="X565" s="2">
        <v>91.37</v>
      </c>
      <c r="Y565" s="3">
        <v>9.1857764730720118E-2</v>
      </c>
      <c r="Z565" t="s">
        <v>1497</v>
      </c>
      <c r="AA565" t="s">
        <v>1498</v>
      </c>
      <c r="AB565" t="s">
        <v>1501</v>
      </c>
      <c r="AC565">
        <v>3</v>
      </c>
      <c r="AD565">
        <v>2025</v>
      </c>
      <c r="AE565" t="s">
        <v>2809</v>
      </c>
      <c r="AF565" t="s">
        <v>2833</v>
      </c>
      <c r="AG565" t="s">
        <v>2844</v>
      </c>
      <c r="AH565" t="s">
        <v>2848</v>
      </c>
      <c r="AI565">
        <v>1</v>
      </c>
    </row>
    <row r="566" spans="1:35" x14ac:dyDescent="0.3">
      <c r="A566" t="s">
        <v>546</v>
      </c>
      <c r="B566">
        <v>3</v>
      </c>
      <c r="C566" s="1">
        <v>45698</v>
      </c>
      <c r="D566" s="1">
        <v>45699</v>
      </c>
      <c r="E566" t="s">
        <v>976</v>
      </c>
      <c r="F566" t="s">
        <v>1679</v>
      </c>
      <c r="G566" t="s">
        <v>1439</v>
      </c>
      <c r="H566" t="s">
        <v>2641</v>
      </c>
      <c r="I566" t="s">
        <v>2738</v>
      </c>
      <c r="J566" t="s">
        <v>2749</v>
      </c>
      <c r="K566" t="s">
        <v>1482</v>
      </c>
      <c r="L566" t="s">
        <v>2783</v>
      </c>
      <c r="M566" t="s">
        <v>2567</v>
      </c>
      <c r="N566" t="s">
        <v>2585</v>
      </c>
      <c r="O566" t="s">
        <v>2604</v>
      </c>
      <c r="P566" t="s">
        <v>2560</v>
      </c>
      <c r="Q566" t="s">
        <v>2579</v>
      </c>
      <c r="R566" t="s">
        <v>2604</v>
      </c>
      <c r="S566" t="s">
        <v>2606</v>
      </c>
      <c r="T566">
        <v>1</v>
      </c>
      <c r="U566" s="2">
        <v>2679.96</v>
      </c>
      <c r="V566" s="3">
        <v>0</v>
      </c>
      <c r="W566" s="2">
        <v>2679.96</v>
      </c>
      <c r="X566" s="2">
        <v>600.58000000000004</v>
      </c>
      <c r="Y566" s="3">
        <v>0.22410035970686129</v>
      </c>
      <c r="Z566" t="s">
        <v>1496</v>
      </c>
      <c r="AA566" t="s">
        <v>1498</v>
      </c>
      <c r="AB566" t="s">
        <v>1501</v>
      </c>
      <c r="AC566">
        <v>1</v>
      </c>
      <c r="AD566">
        <v>2025</v>
      </c>
      <c r="AE566" t="s">
        <v>2809</v>
      </c>
      <c r="AF566" t="s">
        <v>2833</v>
      </c>
      <c r="AG566" t="s">
        <v>2844</v>
      </c>
      <c r="AH566" t="s">
        <v>2848</v>
      </c>
      <c r="AI566">
        <v>1</v>
      </c>
    </row>
    <row r="567" spans="1:35" x14ac:dyDescent="0.3">
      <c r="A567" t="s">
        <v>547</v>
      </c>
      <c r="B567">
        <v>1</v>
      </c>
      <c r="C567" s="1">
        <v>45699</v>
      </c>
      <c r="D567" s="1">
        <v>45699</v>
      </c>
      <c r="E567" t="s">
        <v>1247</v>
      </c>
      <c r="F567" t="s">
        <v>1724</v>
      </c>
      <c r="G567" t="s">
        <v>1418</v>
      </c>
      <c r="H567" t="s">
        <v>2648</v>
      </c>
      <c r="I567" t="s">
        <v>2738</v>
      </c>
      <c r="J567" t="s">
        <v>2751</v>
      </c>
      <c r="K567" t="s">
        <v>1491</v>
      </c>
      <c r="L567" t="s">
        <v>2779</v>
      </c>
      <c r="M567" t="s">
        <v>2558</v>
      </c>
      <c r="N567" t="s">
        <v>2558</v>
      </c>
      <c r="O567" t="s">
        <v>2603</v>
      </c>
      <c r="P567" t="s">
        <v>2555</v>
      </c>
      <c r="Q567" t="s">
        <v>2578</v>
      </c>
      <c r="R567" t="s">
        <v>2603</v>
      </c>
      <c r="S567" t="s">
        <v>2607</v>
      </c>
      <c r="T567">
        <v>2</v>
      </c>
      <c r="U567" s="2">
        <v>30604.9</v>
      </c>
      <c r="V567" s="3">
        <v>0</v>
      </c>
      <c r="W567" s="2">
        <v>61209.8</v>
      </c>
      <c r="X567" s="2">
        <v>15856.34</v>
      </c>
      <c r="Y567" s="3">
        <v>0.25904904116661048</v>
      </c>
      <c r="Z567" t="s">
        <v>1496</v>
      </c>
      <c r="AA567" t="s">
        <v>1498</v>
      </c>
      <c r="AB567" t="s">
        <v>1501</v>
      </c>
      <c r="AC567">
        <v>0</v>
      </c>
      <c r="AD567">
        <v>2025</v>
      </c>
      <c r="AE567" t="s">
        <v>2809</v>
      </c>
      <c r="AF567" t="s">
        <v>2833</v>
      </c>
      <c r="AG567" t="s">
        <v>2844</v>
      </c>
      <c r="AH567" t="s">
        <v>2848</v>
      </c>
      <c r="AI567">
        <v>1</v>
      </c>
    </row>
    <row r="568" spans="1:35" x14ac:dyDescent="0.3">
      <c r="A568" t="s">
        <v>548</v>
      </c>
      <c r="B568">
        <v>2</v>
      </c>
      <c r="C568" s="1">
        <v>45699</v>
      </c>
      <c r="D568" s="1">
        <v>45700</v>
      </c>
      <c r="E568" t="s">
        <v>1050</v>
      </c>
      <c r="F568" t="s">
        <v>1753</v>
      </c>
      <c r="G568" t="s">
        <v>1422</v>
      </c>
      <c r="H568" t="s">
        <v>2642</v>
      </c>
      <c r="I568" t="s">
        <v>2738</v>
      </c>
      <c r="J568" t="s">
        <v>2750</v>
      </c>
      <c r="K568" t="s">
        <v>1486</v>
      </c>
      <c r="L568" t="s">
        <v>2776</v>
      </c>
      <c r="M568" t="s">
        <v>2556</v>
      </c>
      <c r="N568" t="s">
        <v>2574</v>
      </c>
      <c r="O568" t="s">
        <v>2602</v>
      </c>
      <c r="P568" t="s">
        <v>2551</v>
      </c>
      <c r="Q568" t="s">
        <v>2574</v>
      </c>
      <c r="R568" t="s">
        <v>2602</v>
      </c>
      <c r="S568" t="s">
        <v>2608</v>
      </c>
      <c r="T568">
        <v>2</v>
      </c>
      <c r="U568" s="2">
        <v>27508.38</v>
      </c>
      <c r="V568" s="3">
        <v>0.15</v>
      </c>
      <c r="W568" s="2">
        <v>46764.25</v>
      </c>
      <c r="X568" s="2">
        <v>188.19</v>
      </c>
      <c r="Y568" s="3">
        <v>4.0242279091399951E-3</v>
      </c>
      <c r="Z568" t="s">
        <v>1496</v>
      </c>
      <c r="AA568" t="s">
        <v>1500</v>
      </c>
      <c r="AB568" t="s">
        <v>1501</v>
      </c>
      <c r="AC568">
        <v>1</v>
      </c>
      <c r="AD568">
        <v>2025</v>
      </c>
      <c r="AE568" t="s">
        <v>2809</v>
      </c>
      <c r="AF568" t="s">
        <v>2833</v>
      </c>
      <c r="AG568" t="s">
        <v>2844</v>
      </c>
      <c r="AH568" t="s">
        <v>2848</v>
      </c>
      <c r="AI568">
        <v>1</v>
      </c>
    </row>
    <row r="569" spans="1:35" x14ac:dyDescent="0.3">
      <c r="A569" t="s">
        <v>549</v>
      </c>
      <c r="B569">
        <v>1</v>
      </c>
      <c r="C569" s="1">
        <v>45699</v>
      </c>
      <c r="D569" s="1">
        <v>45701</v>
      </c>
      <c r="E569" t="s">
        <v>998</v>
      </c>
      <c r="F569" t="s">
        <v>1999</v>
      </c>
      <c r="G569" t="s">
        <v>1329</v>
      </c>
      <c r="H569" t="s">
        <v>2659</v>
      </c>
      <c r="I569" t="s">
        <v>2739</v>
      </c>
      <c r="J569" t="s">
        <v>2759</v>
      </c>
      <c r="K569" t="s">
        <v>1480</v>
      </c>
      <c r="L569" t="s">
        <v>2789</v>
      </c>
      <c r="M569" t="s">
        <v>2555</v>
      </c>
      <c r="N569" t="s">
        <v>2578</v>
      </c>
      <c r="O569" t="s">
        <v>2603</v>
      </c>
      <c r="R569" t="s">
        <v>2790</v>
      </c>
      <c r="S569" t="s">
        <v>2606</v>
      </c>
      <c r="T569">
        <v>1</v>
      </c>
      <c r="U569" s="2">
        <v>1065.95</v>
      </c>
      <c r="V569" s="3">
        <v>0</v>
      </c>
      <c r="W569" s="2">
        <v>1065.95</v>
      </c>
      <c r="X569" s="2">
        <v>380.77</v>
      </c>
      <c r="Y569" s="3">
        <v>0.35721187672967769</v>
      </c>
      <c r="Z569" t="s">
        <v>1496</v>
      </c>
      <c r="AA569" t="s">
        <v>1498</v>
      </c>
      <c r="AB569" t="s">
        <v>1501</v>
      </c>
      <c r="AC569">
        <v>2</v>
      </c>
      <c r="AD569">
        <v>2025</v>
      </c>
      <c r="AE569" t="s">
        <v>2809</v>
      </c>
      <c r="AF569" t="s">
        <v>2833</v>
      </c>
      <c r="AG569" t="s">
        <v>2844</v>
      </c>
      <c r="AH569" t="s">
        <v>2848</v>
      </c>
      <c r="AI569">
        <v>1</v>
      </c>
    </row>
    <row r="570" spans="1:35" x14ac:dyDescent="0.3">
      <c r="A570" t="s">
        <v>550</v>
      </c>
      <c r="B570">
        <v>1</v>
      </c>
      <c r="C570" s="1">
        <v>45699</v>
      </c>
      <c r="D570" s="1">
        <v>45700</v>
      </c>
      <c r="E570" t="s">
        <v>1059</v>
      </c>
      <c r="F570" t="s">
        <v>1805</v>
      </c>
      <c r="G570" t="s">
        <v>1372</v>
      </c>
      <c r="H570" t="s">
        <v>2732</v>
      </c>
      <c r="I570" t="s">
        <v>2742</v>
      </c>
      <c r="J570" t="s">
        <v>2772</v>
      </c>
      <c r="K570" t="s">
        <v>1490</v>
      </c>
      <c r="L570" t="s">
        <v>2784</v>
      </c>
      <c r="M570" t="s">
        <v>2560</v>
      </c>
      <c r="N570" t="s">
        <v>2579</v>
      </c>
      <c r="O570" t="s">
        <v>2604</v>
      </c>
      <c r="P570" t="s">
        <v>2567</v>
      </c>
      <c r="Q570" t="s">
        <v>2585</v>
      </c>
      <c r="R570" t="s">
        <v>2604</v>
      </c>
      <c r="S570" t="s">
        <v>2606</v>
      </c>
      <c r="T570">
        <v>1</v>
      </c>
      <c r="U570" s="2">
        <v>22695.17</v>
      </c>
      <c r="V570" s="3">
        <v>0</v>
      </c>
      <c r="W570" s="2">
        <v>22695.17</v>
      </c>
      <c r="X570" s="2">
        <v>3536.01</v>
      </c>
      <c r="Y570" s="3">
        <v>0.1558045169963477</v>
      </c>
      <c r="Z570" t="s">
        <v>1497</v>
      </c>
      <c r="AA570" t="s">
        <v>1498</v>
      </c>
      <c r="AB570" t="s">
        <v>1501</v>
      </c>
      <c r="AC570">
        <v>1</v>
      </c>
      <c r="AD570">
        <v>2025</v>
      </c>
      <c r="AE570" t="s">
        <v>2809</v>
      </c>
      <c r="AF570" t="s">
        <v>2833</v>
      </c>
      <c r="AG570" t="s">
        <v>2844</v>
      </c>
      <c r="AH570" t="s">
        <v>2848</v>
      </c>
      <c r="AI570">
        <v>1</v>
      </c>
    </row>
    <row r="571" spans="1:35" x14ac:dyDescent="0.3">
      <c r="A571" t="s">
        <v>551</v>
      </c>
      <c r="B571">
        <v>2</v>
      </c>
      <c r="C571" s="1">
        <v>45701</v>
      </c>
      <c r="D571" s="1">
        <v>45702</v>
      </c>
      <c r="E571" t="s">
        <v>1248</v>
      </c>
      <c r="F571" t="s">
        <v>1923</v>
      </c>
      <c r="G571" t="s">
        <v>1438</v>
      </c>
      <c r="H571" t="s">
        <v>2621</v>
      </c>
      <c r="I571" t="s">
        <v>2737</v>
      </c>
      <c r="J571" t="s">
        <v>2744</v>
      </c>
      <c r="K571" t="s">
        <v>1483</v>
      </c>
      <c r="L571" t="s">
        <v>2781</v>
      </c>
      <c r="M571" t="s">
        <v>2552</v>
      </c>
      <c r="N571" t="s">
        <v>2575</v>
      </c>
      <c r="O571" t="s">
        <v>2603</v>
      </c>
      <c r="P571" t="s">
        <v>2568</v>
      </c>
      <c r="Q571" t="s">
        <v>2586</v>
      </c>
      <c r="R571" t="s">
        <v>2603</v>
      </c>
      <c r="S571" t="s">
        <v>2606</v>
      </c>
      <c r="T571">
        <v>1</v>
      </c>
      <c r="U571" s="2">
        <v>77432.27</v>
      </c>
      <c r="V571" s="3">
        <v>0</v>
      </c>
      <c r="W571" s="2">
        <v>77432.27</v>
      </c>
      <c r="X571" s="2">
        <v>8717.52</v>
      </c>
      <c r="Y571" s="3">
        <v>0.1125825188903799</v>
      </c>
      <c r="Z571" t="s">
        <v>1496</v>
      </c>
      <c r="AA571" t="s">
        <v>1498</v>
      </c>
      <c r="AB571" t="s">
        <v>1501</v>
      </c>
      <c r="AC571">
        <v>1</v>
      </c>
      <c r="AD571">
        <v>2025</v>
      </c>
      <c r="AE571" t="s">
        <v>2809</v>
      </c>
      <c r="AF571" t="s">
        <v>2833</v>
      </c>
      <c r="AG571" t="s">
        <v>2844</v>
      </c>
      <c r="AH571" t="s">
        <v>2848</v>
      </c>
      <c r="AI571">
        <v>1</v>
      </c>
    </row>
    <row r="572" spans="1:35" x14ac:dyDescent="0.3">
      <c r="A572" t="s">
        <v>552</v>
      </c>
      <c r="B572">
        <v>1</v>
      </c>
      <c r="C572" s="1">
        <v>45702</v>
      </c>
      <c r="D572" s="1">
        <v>45703</v>
      </c>
      <c r="E572" t="s">
        <v>1249</v>
      </c>
      <c r="F572" t="s">
        <v>1984</v>
      </c>
      <c r="G572" t="s">
        <v>1354</v>
      </c>
      <c r="H572" t="s">
        <v>2652</v>
      </c>
      <c r="I572" t="s">
        <v>2738</v>
      </c>
      <c r="J572" t="s">
        <v>2752</v>
      </c>
      <c r="K572" t="s">
        <v>1478</v>
      </c>
      <c r="L572" t="s">
        <v>2782</v>
      </c>
      <c r="M572" t="s">
        <v>2567</v>
      </c>
      <c r="N572" t="s">
        <v>2585</v>
      </c>
      <c r="O572" t="s">
        <v>2604</v>
      </c>
      <c r="P572" t="s">
        <v>2565</v>
      </c>
      <c r="Q572" t="s">
        <v>2583</v>
      </c>
      <c r="R572" t="s">
        <v>2604</v>
      </c>
      <c r="S572" t="s">
        <v>2606</v>
      </c>
      <c r="T572">
        <v>1</v>
      </c>
      <c r="U572" s="2">
        <v>45654.38</v>
      </c>
      <c r="V572" s="3">
        <v>0</v>
      </c>
      <c r="W572" s="2">
        <v>45654.38</v>
      </c>
      <c r="X572" s="2">
        <v>12954.5</v>
      </c>
      <c r="Y572" s="3">
        <v>0.28375152614053678</v>
      </c>
      <c r="Z572" t="s">
        <v>1494</v>
      </c>
      <c r="AA572" t="s">
        <v>1498</v>
      </c>
      <c r="AB572" t="s">
        <v>1501</v>
      </c>
      <c r="AC572">
        <v>1</v>
      </c>
      <c r="AD572">
        <v>2025</v>
      </c>
      <c r="AE572" t="s">
        <v>2809</v>
      </c>
      <c r="AF572" t="s">
        <v>2833</v>
      </c>
      <c r="AG572" t="s">
        <v>2844</v>
      </c>
      <c r="AH572" t="s">
        <v>2848</v>
      </c>
      <c r="AI572">
        <v>1</v>
      </c>
    </row>
    <row r="573" spans="1:35" x14ac:dyDescent="0.3">
      <c r="A573" t="s">
        <v>553</v>
      </c>
      <c r="B573">
        <v>2</v>
      </c>
      <c r="C573" s="1">
        <v>45703</v>
      </c>
      <c r="D573" s="1">
        <v>45703</v>
      </c>
      <c r="E573" t="s">
        <v>1250</v>
      </c>
      <c r="F573" t="s">
        <v>1931</v>
      </c>
      <c r="G573" t="s">
        <v>1354</v>
      </c>
      <c r="H573" t="s">
        <v>2652</v>
      </c>
      <c r="I573" t="s">
        <v>2738</v>
      </c>
      <c r="J573" t="s">
        <v>2752</v>
      </c>
      <c r="K573" t="s">
        <v>1489</v>
      </c>
      <c r="L573" t="s">
        <v>2787</v>
      </c>
      <c r="M573" t="s">
        <v>2550</v>
      </c>
      <c r="N573" t="s">
        <v>2573</v>
      </c>
      <c r="O573" t="s">
        <v>2601</v>
      </c>
      <c r="P573" t="s">
        <v>2566</v>
      </c>
      <c r="Q573" t="s">
        <v>2584</v>
      </c>
      <c r="R573" t="s">
        <v>2601</v>
      </c>
      <c r="S573" t="s">
        <v>2608</v>
      </c>
      <c r="T573">
        <v>1</v>
      </c>
      <c r="U573" s="2">
        <v>45654.38</v>
      </c>
      <c r="V573" s="3">
        <v>0</v>
      </c>
      <c r="W573" s="2">
        <v>45654.38</v>
      </c>
      <c r="X573" s="2">
        <v>12954.5</v>
      </c>
      <c r="Y573" s="3">
        <v>0.28375152614053678</v>
      </c>
      <c r="Z573" t="s">
        <v>1497</v>
      </c>
      <c r="AA573" t="s">
        <v>1498</v>
      </c>
      <c r="AB573" t="s">
        <v>1501</v>
      </c>
      <c r="AC573">
        <v>0</v>
      </c>
      <c r="AD573">
        <v>2025</v>
      </c>
      <c r="AE573" t="s">
        <v>2809</v>
      </c>
      <c r="AF573" t="s">
        <v>2833</v>
      </c>
      <c r="AG573" t="s">
        <v>2844</v>
      </c>
      <c r="AH573" t="s">
        <v>2848</v>
      </c>
      <c r="AI573">
        <v>1</v>
      </c>
    </row>
    <row r="574" spans="1:35" x14ac:dyDescent="0.3">
      <c r="A574" t="s">
        <v>554</v>
      </c>
      <c r="B574">
        <v>1</v>
      </c>
      <c r="C574" s="1">
        <v>45703</v>
      </c>
      <c r="D574" s="1">
        <v>45706</v>
      </c>
      <c r="E574" t="s">
        <v>1251</v>
      </c>
      <c r="F574" t="s">
        <v>1979</v>
      </c>
      <c r="G574" t="s">
        <v>1331</v>
      </c>
      <c r="H574" t="s">
        <v>2706</v>
      </c>
      <c r="I574" t="s">
        <v>2741</v>
      </c>
      <c r="J574" t="s">
        <v>2765</v>
      </c>
      <c r="K574" t="s">
        <v>1480</v>
      </c>
      <c r="L574" t="s">
        <v>2789</v>
      </c>
      <c r="M574" t="s">
        <v>2554</v>
      </c>
      <c r="N574" t="s">
        <v>2577</v>
      </c>
      <c r="O574" t="s">
        <v>2601</v>
      </c>
      <c r="R574" t="s">
        <v>2790</v>
      </c>
      <c r="S574" t="s">
        <v>2606</v>
      </c>
      <c r="T574">
        <v>3</v>
      </c>
      <c r="U574" s="2">
        <v>1520.12</v>
      </c>
      <c r="V574" s="3">
        <v>0.25</v>
      </c>
      <c r="W574" s="2">
        <v>3420.27</v>
      </c>
      <c r="X574" s="2">
        <v>502.98</v>
      </c>
      <c r="Y574" s="3">
        <v>0.14705856555184241</v>
      </c>
      <c r="Z574" t="s">
        <v>2807</v>
      </c>
      <c r="AA574" t="s">
        <v>1500</v>
      </c>
      <c r="AB574" t="s">
        <v>1501</v>
      </c>
      <c r="AC574">
        <v>3</v>
      </c>
      <c r="AD574">
        <v>2025</v>
      </c>
      <c r="AE574" t="s">
        <v>2809</v>
      </c>
      <c r="AF574" t="s">
        <v>2833</v>
      </c>
      <c r="AG574" t="s">
        <v>2844</v>
      </c>
      <c r="AH574" t="s">
        <v>2848</v>
      </c>
      <c r="AI574">
        <v>1</v>
      </c>
    </row>
    <row r="575" spans="1:35" x14ac:dyDescent="0.3">
      <c r="A575" t="s">
        <v>555</v>
      </c>
      <c r="B575">
        <v>2</v>
      </c>
      <c r="C575" s="1">
        <v>45703</v>
      </c>
      <c r="D575" s="1">
        <v>45706</v>
      </c>
      <c r="E575" t="s">
        <v>1061</v>
      </c>
      <c r="F575" t="s">
        <v>1695</v>
      </c>
      <c r="G575" t="s">
        <v>1447</v>
      </c>
      <c r="H575" t="s">
        <v>2728</v>
      </c>
      <c r="I575" t="s">
        <v>2742</v>
      </c>
      <c r="J575" t="s">
        <v>2771</v>
      </c>
      <c r="K575" t="s">
        <v>1480</v>
      </c>
      <c r="L575" t="s">
        <v>2789</v>
      </c>
      <c r="M575" t="s">
        <v>2552</v>
      </c>
      <c r="N575" t="s">
        <v>2575</v>
      </c>
      <c r="O575" t="s">
        <v>2603</v>
      </c>
      <c r="R575" t="s">
        <v>2790</v>
      </c>
      <c r="S575" t="s">
        <v>2608</v>
      </c>
      <c r="T575">
        <v>1</v>
      </c>
      <c r="U575" s="2">
        <v>4260.03</v>
      </c>
      <c r="V575" s="3">
        <v>0</v>
      </c>
      <c r="W575" s="2">
        <v>4260.03</v>
      </c>
      <c r="X575" s="2">
        <v>730.88</v>
      </c>
      <c r="Y575" s="3">
        <v>0.17156686689999839</v>
      </c>
      <c r="Z575" t="s">
        <v>1496</v>
      </c>
      <c r="AA575" t="s">
        <v>1498</v>
      </c>
      <c r="AB575" t="s">
        <v>1501</v>
      </c>
      <c r="AC575">
        <v>3</v>
      </c>
      <c r="AD575">
        <v>2025</v>
      </c>
      <c r="AE575" t="s">
        <v>2809</v>
      </c>
      <c r="AF575" t="s">
        <v>2833</v>
      </c>
      <c r="AG575" t="s">
        <v>2844</v>
      </c>
      <c r="AH575" t="s">
        <v>2848</v>
      </c>
      <c r="AI575">
        <v>1</v>
      </c>
    </row>
    <row r="576" spans="1:35" x14ac:dyDescent="0.3">
      <c r="A576" t="s">
        <v>556</v>
      </c>
      <c r="B576">
        <v>1</v>
      </c>
      <c r="C576" s="1">
        <v>45704</v>
      </c>
      <c r="D576" s="1">
        <v>45705</v>
      </c>
      <c r="E576" t="s">
        <v>1039</v>
      </c>
      <c r="F576" t="s">
        <v>1877</v>
      </c>
      <c r="G576" t="s">
        <v>1395</v>
      </c>
      <c r="H576" t="s">
        <v>2727</v>
      </c>
      <c r="I576" t="s">
        <v>2742</v>
      </c>
      <c r="J576" t="s">
        <v>2771</v>
      </c>
      <c r="K576" t="s">
        <v>1480</v>
      </c>
      <c r="L576" t="s">
        <v>2789</v>
      </c>
      <c r="M576" t="s">
        <v>2556</v>
      </c>
      <c r="N576" t="s">
        <v>2574</v>
      </c>
      <c r="O576" t="s">
        <v>2602</v>
      </c>
      <c r="R576" t="s">
        <v>2790</v>
      </c>
      <c r="S576" t="s">
        <v>2606</v>
      </c>
      <c r="T576">
        <v>1</v>
      </c>
      <c r="U576" s="2">
        <v>5383.63</v>
      </c>
      <c r="V576" s="3">
        <v>0</v>
      </c>
      <c r="W576" s="2">
        <v>5383.63</v>
      </c>
      <c r="X576" s="2">
        <v>1175.04</v>
      </c>
      <c r="Y576" s="3">
        <v>0.2182616561687932</v>
      </c>
      <c r="Z576" t="s">
        <v>1494</v>
      </c>
      <c r="AA576" t="s">
        <v>1498</v>
      </c>
      <c r="AB576" t="s">
        <v>1501</v>
      </c>
      <c r="AC576">
        <v>1</v>
      </c>
      <c r="AD576">
        <v>2025</v>
      </c>
      <c r="AE576" t="s">
        <v>2809</v>
      </c>
      <c r="AF576" t="s">
        <v>2833</v>
      </c>
      <c r="AG576" t="s">
        <v>2844</v>
      </c>
      <c r="AH576" t="s">
        <v>2848</v>
      </c>
      <c r="AI576">
        <v>1</v>
      </c>
    </row>
    <row r="577" spans="1:35" x14ac:dyDescent="0.3">
      <c r="A577" t="s">
        <v>557</v>
      </c>
      <c r="B577">
        <v>1</v>
      </c>
      <c r="C577" s="1">
        <v>45704</v>
      </c>
      <c r="D577" s="1">
        <v>45706</v>
      </c>
      <c r="E577" t="s">
        <v>1252</v>
      </c>
      <c r="F577" t="s">
        <v>2009</v>
      </c>
      <c r="G577" t="s">
        <v>1454</v>
      </c>
      <c r="H577" t="s">
        <v>2631</v>
      </c>
      <c r="I577" t="s">
        <v>2737</v>
      </c>
      <c r="J577" t="s">
        <v>2746</v>
      </c>
      <c r="K577" t="s">
        <v>1480</v>
      </c>
      <c r="L577" t="s">
        <v>2789</v>
      </c>
      <c r="M577" t="s">
        <v>2552</v>
      </c>
      <c r="N577" t="s">
        <v>2575</v>
      </c>
      <c r="O577" t="s">
        <v>2603</v>
      </c>
      <c r="R577" t="s">
        <v>2790</v>
      </c>
      <c r="S577" t="s">
        <v>2608</v>
      </c>
      <c r="T577">
        <v>2</v>
      </c>
      <c r="U577" s="2">
        <v>51141.75</v>
      </c>
      <c r="V577" s="3">
        <v>0.2</v>
      </c>
      <c r="W577" s="2">
        <v>81826.8</v>
      </c>
      <c r="X577" s="2">
        <v>-6611.82</v>
      </c>
      <c r="Y577" s="3">
        <v>-8.0802622123802958E-2</v>
      </c>
      <c r="Z577" t="s">
        <v>1495</v>
      </c>
      <c r="AA577" t="s">
        <v>1499</v>
      </c>
      <c r="AB577" t="s">
        <v>1501</v>
      </c>
      <c r="AC577">
        <v>2</v>
      </c>
      <c r="AD577">
        <v>2025</v>
      </c>
      <c r="AE577" t="s">
        <v>2809</v>
      </c>
      <c r="AF577" t="s">
        <v>2833</v>
      </c>
      <c r="AG577" t="s">
        <v>2844</v>
      </c>
      <c r="AH577" t="s">
        <v>2848</v>
      </c>
      <c r="AI577">
        <v>1</v>
      </c>
    </row>
    <row r="578" spans="1:35" x14ac:dyDescent="0.3">
      <c r="A578" t="s">
        <v>558</v>
      </c>
      <c r="B578">
        <v>1</v>
      </c>
      <c r="C578" s="1">
        <v>45705</v>
      </c>
      <c r="D578" s="1">
        <v>45705</v>
      </c>
      <c r="E578" t="s">
        <v>1253</v>
      </c>
      <c r="F578" t="s">
        <v>1691</v>
      </c>
      <c r="G578" t="s">
        <v>1389</v>
      </c>
      <c r="H578" t="s">
        <v>2703</v>
      </c>
      <c r="I578" t="s">
        <v>2740</v>
      </c>
      <c r="J578" t="s">
        <v>2764</v>
      </c>
      <c r="K578" t="s">
        <v>1482</v>
      </c>
      <c r="L578" t="s">
        <v>2783</v>
      </c>
      <c r="M578" t="s">
        <v>2563</v>
      </c>
      <c r="N578" t="s">
        <v>2581</v>
      </c>
      <c r="O578" t="s">
        <v>2604</v>
      </c>
      <c r="P578" t="s">
        <v>2560</v>
      </c>
      <c r="Q578" t="s">
        <v>2579</v>
      </c>
      <c r="R578" t="s">
        <v>2604</v>
      </c>
      <c r="S578" t="s">
        <v>2606</v>
      </c>
      <c r="T578">
        <v>1</v>
      </c>
      <c r="U578" s="2">
        <v>676.97</v>
      </c>
      <c r="V578" s="3">
        <v>0.1</v>
      </c>
      <c r="W578" s="2">
        <v>609.27</v>
      </c>
      <c r="X578" s="2">
        <v>-13.41</v>
      </c>
      <c r="Y578" s="3">
        <v>-2.2009946329213648E-2</v>
      </c>
      <c r="Z578" t="s">
        <v>1496</v>
      </c>
      <c r="AA578" t="s">
        <v>1498</v>
      </c>
      <c r="AB578" t="s">
        <v>1501</v>
      </c>
      <c r="AC578">
        <v>0</v>
      </c>
      <c r="AD578">
        <v>2025</v>
      </c>
      <c r="AE578" t="s">
        <v>2809</v>
      </c>
      <c r="AF578" t="s">
        <v>2833</v>
      </c>
      <c r="AG578" t="s">
        <v>2844</v>
      </c>
      <c r="AH578" t="s">
        <v>2848</v>
      </c>
      <c r="AI578">
        <v>1</v>
      </c>
    </row>
    <row r="579" spans="1:35" x14ac:dyDescent="0.3">
      <c r="A579" t="s">
        <v>559</v>
      </c>
      <c r="B579">
        <v>2</v>
      </c>
      <c r="C579" s="1">
        <v>45705</v>
      </c>
      <c r="D579" s="1">
        <v>45708</v>
      </c>
      <c r="E579" t="s">
        <v>1254</v>
      </c>
      <c r="F579" t="s">
        <v>2039</v>
      </c>
      <c r="G579" t="s">
        <v>1353</v>
      </c>
      <c r="H579" t="s">
        <v>2705</v>
      </c>
      <c r="I579" t="s">
        <v>2741</v>
      </c>
      <c r="J579" t="s">
        <v>2765</v>
      </c>
      <c r="K579" t="s">
        <v>1480</v>
      </c>
      <c r="L579" t="s">
        <v>2789</v>
      </c>
      <c r="M579" t="s">
        <v>2555</v>
      </c>
      <c r="N579" t="s">
        <v>2578</v>
      </c>
      <c r="O579" t="s">
        <v>2603</v>
      </c>
      <c r="R579" t="s">
        <v>2790</v>
      </c>
      <c r="S579" t="s">
        <v>2606</v>
      </c>
      <c r="T579">
        <v>1</v>
      </c>
      <c r="U579" s="2">
        <v>370.27</v>
      </c>
      <c r="V579" s="3">
        <v>0</v>
      </c>
      <c r="W579" s="2">
        <v>370.27</v>
      </c>
      <c r="X579" s="2">
        <v>131.58000000000001</v>
      </c>
      <c r="Y579" s="3">
        <v>0.35536230318416301</v>
      </c>
      <c r="Z579" t="s">
        <v>1495</v>
      </c>
      <c r="AA579" t="s">
        <v>1498</v>
      </c>
      <c r="AB579" t="s">
        <v>1501</v>
      </c>
      <c r="AC579">
        <v>3</v>
      </c>
      <c r="AD579">
        <v>2025</v>
      </c>
      <c r="AE579" t="s">
        <v>2809</v>
      </c>
      <c r="AF579" t="s">
        <v>2833</v>
      </c>
      <c r="AG579" t="s">
        <v>2844</v>
      </c>
      <c r="AH579" t="s">
        <v>2848</v>
      </c>
      <c r="AI579">
        <v>1</v>
      </c>
    </row>
    <row r="580" spans="1:35" x14ac:dyDescent="0.3">
      <c r="A580" t="s">
        <v>560</v>
      </c>
      <c r="B580">
        <v>1</v>
      </c>
      <c r="C580" s="1">
        <v>45706</v>
      </c>
      <c r="D580" s="1">
        <v>45707</v>
      </c>
      <c r="E580" t="s">
        <v>973</v>
      </c>
      <c r="F580" t="s">
        <v>1721</v>
      </c>
      <c r="G580" t="s">
        <v>1417</v>
      </c>
      <c r="H580" t="s">
        <v>2702</v>
      </c>
      <c r="I580" t="s">
        <v>2740</v>
      </c>
      <c r="J580" t="s">
        <v>2764</v>
      </c>
      <c r="K580" t="s">
        <v>1480</v>
      </c>
      <c r="L580" t="s">
        <v>2789</v>
      </c>
      <c r="M580" t="s">
        <v>2560</v>
      </c>
      <c r="N580" t="s">
        <v>2579</v>
      </c>
      <c r="O580" t="s">
        <v>2604</v>
      </c>
      <c r="R580" t="s">
        <v>2790</v>
      </c>
      <c r="S580" t="s">
        <v>2608</v>
      </c>
      <c r="T580">
        <v>4</v>
      </c>
      <c r="U580" s="2">
        <v>1497.68</v>
      </c>
      <c r="V580" s="3">
        <v>0</v>
      </c>
      <c r="W580" s="2">
        <v>5990.72</v>
      </c>
      <c r="X580" s="2">
        <v>698.32</v>
      </c>
      <c r="Y580" s="3">
        <v>0.1165669568933284</v>
      </c>
      <c r="Z580" t="s">
        <v>1494</v>
      </c>
      <c r="AA580" t="s">
        <v>1498</v>
      </c>
      <c r="AB580" t="s">
        <v>1501</v>
      </c>
      <c r="AC580">
        <v>1</v>
      </c>
      <c r="AD580">
        <v>2025</v>
      </c>
      <c r="AE580" t="s">
        <v>2809</v>
      </c>
      <c r="AF580" t="s">
        <v>2833</v>
      </c>
      <c r="AG580" t="s">
        <v>2844</v>
      </c>
      <c r="AH580" t="s">
        <v>2848</v>
      </c>
      <c r="AI580">
        <v>1</v>
      </c>
    </row>
    <row r="581" spans="1:35" x14ac:dyDescent="0.3">
      <c r="A581" t="s">
        <v>561</v>
      </c>
      <c r="B581">
        <v>1</v>
      </c>
      <c r="C581" s="1">
        <v>45707</v>
      </c>
      <c r="D581" s="1">
        <v>45708</v>
      </c>
      <c r="E581" t="s">
        <v>967</v>
      </c>
      <c r="F581" t="s">
        <v>1849</v>
      </c>
      <c r="G581" t="s">
        <v>1441</v>
      </c>
      <c r="H581" t="s">
        <v>2660</v>
      </c>
      <c r="I581" t="s">
        <v>2738</v>
      </c>
      <c r="J581" t="s">
        <v>2754</v>
      </c>
      <c r="K581" t="s">
        <v>1480</v>
      </c>
      <c r="L581" t="s">
        <v>2789</v>
      </c>
      <c r="M581" t="s">
        <v>2550</v>
      </c>
      <c r="N581" t="s">
        <v>2573</v>
      </c>
      <c r="O581" t="s">
        <v>2601</v>
      </c>
      <c r="R581" t="s">
        <v>2790</v>
      </c>
      <c r="S581" t="s">
        <v>2607</v>
      </c>
      <c r="T581">
        <v>1</v>
      </c>
      <c r="U581" s="2">
        <v>6305.83</v>
      </c>
      <c r="V581" s="3">
        <v>0</v>
      </c>
      <c r="W581" s="2">
        <v>6305.83</v>
      </c>
      <c r="X581" s="2">
        <v>1424.8</v>
      </c>
      <c r="Y581" s="3">
        <v>0.22594963708187499</v>
      </c>
      <c r="Z581" t="s">
        <v>1497</v>
      </c>
      <c r="AA581" t="s">
        <v>1500</v>
      </c>
      <c r="AB581" t="s">
        <v>1501</v>
      </c>
      <c r="AC581">
        <v>1</v>
      </c>
      <c r="AD581">
        <v>2025</v>
      </c>
      <c r="AE581" t="s">
        <v>2809</v>
      </c>
      <c r="AF581" t="s">
        <v>2833</v>
      </c>
      <c r="AG581" t="s">
        <v>2844</v>
      </c>
      <c r="AH581" t="s">
        <v>2848</v>
      </c>
      <c r="AI581">
        <v>1</v>
      </c>
    </row>
    <row r="582" spans="1:35" x14ac:dyDescent="0.3">
      <c r="A582" t="s">
        <v>562</v>
      </c>
      <c r="B582">
        <v>1</v>
      </c>
      <c r="C582" s="1">
        <v>45707</v>
      </c>
      <c r="D582" s="1">
        <v>45708</v>
      </c>
      <c r="E582" t="s">
        <v>1255</v>
      </c>
      <c r="F582" t="s">
        <v>1953</v>
      </c>
      <c r="G582" t="s">
        <v>1458</v>
      </c>
      <c r="H582" t="s">
        <v>2734</v>
      </c>
      <c r="I582" t="s">
        <v>2742</v>
      </c>
      <c r="J582" t="s">
        <v>2772</v>
      </c>
      <c r="K582" t="s">
        <v>1482</v>
      </c>
      <c r="L582" t="s">
        <v>2783</v>
      </c>
      <c r="M582" t="s">
        <v>2563</v>
      </c>
      <c r="N582" t="s">
        <v>2581</v>
      </c>
      <c r="O582" t="s">
        <v>2604</v>
      </c>
      <c r="P582" t="s">
        <v>2560</v>
      </c>
      <c r="Q582" t="s">
        <v>2579</v>
      </c>
      <c r="R582" t="s">
        <v>2604</v>
      </c>
      <c r="S582" t="s">
        <v>2606</v>
      </c>
      <c r="T582">
        <v>1</v>
      </c>
      <c r="U582" s="2">
        <v>6241.95</v>
      </c>
      <c r="V582" s="3">
        <v>0</v>
      </c>
      <c r="W582" s="2">
        <v>6241.95</v>
      </c>
      <c r="X582" s="2">
        <v>1620.83</v>
      </c>
      <c r="Y582" s="3">
        <v>0.25966725141982872</v>
      </c>
      <c r="Z582" t="s">
        <v>1496</v>
      </c>
      <c r="AA582" t="s">
        <v>1498</v>
      </c>
      <c r="AB582" t="s">
        <v>1501</v>
      </c>
      <c r="AC582">
        <v>1</v>
      </c>
      <c r="AD582">
        <v>2025</v>
      </c>
      <c r="AE582" t="s">
        <v>2809</v>
      </c>
      <c r="AF582" t="s">
        <v>2833</v>
      </c>
      <c r="AG582" t="s">
        <v>2844</v>
      </c>
      <c r="AH582" t="s">
        <v>2848</v>
      </c>
      <c r="AI582">
        <v>1</v>
      </c>
    </row>
    <row r="583" spans="1:35" x14ac:dyDescent="0.3">
      <c r="A583" t="s">
        <v>563</v>
      </c>
      <c r="B583">
        <v>2</v>
      </c>
      <c r="C583" s="1">
        <v>45707</v>
      </c>
      <c r="D583" s="1">
        <v>45710</v>
      </c>
      <c r="E583" t="s">
        <v>1052</v>
      </c>
      <c r="F583" t="s">
        <v>1896</v>
      </c>
      <c r="G583" t="s">
        <v>1461</v>
      </c>
      <c r="H583" t="s">
        <v>2692</v>
      </c>
      <c r="I583" t="s">
        <v>2740</v>
      </c>
      <c r="J583" t="s">
        <v>2761</v>
      </c>
      <c r="K583" t="s">
        <v>1480</v>
      </c>
      <c r="L583" t="s">
        <v>2789</v>
      </c>
      <c r="M583" t="s">
        <v>2551</v>
      </c>
      <c r="N583" t="s">
        <v>2574</v>
      </c>
      <c r="O583" t="s">
        <v>2602</v>
      </c>
      <c r="R583" t="s">
        <v>2790</v>
      </c>
      <c r="S583" t="s">
        <v>2606</v>
      </c>
      <c r="T583">
        <v>1</v>
      </c>
      <c r="U583" s="2">
        <v>933.23</v>
      </c>
      <c r="V583" s="3">
        <v>0</v>
      </c>
      <c r="W583" s="2">
        <v>933.23</v>
      </c>
      <c r="X583" s="2">
        <v>62.65</v>
      </c>
      <c r="Y583" s="3">
        <v>6.7132432519314639E-2</v>
      </c>
      <c r="Z583" t="s">
        <v>1495</v>
      </c>
      <c r="AA583" t="s">
        <v>1498</v>
      </c>
      <c r="AB583" t="s">
        <v>1501</v>
      </c>
      <c r="AC583">
        <v>3</v>
      </c>
      <c r="AD583">
        <v>2025</v>
      </c>
      <c r="AE583" t="s">
        <v>2809</v>
      </c>
      <c r="AF583" t="s">
        <v>2833</v>
      </c>
      <c r="AG583" t="s">
        <v>2844</v>
      </c>
      <c r="AH583" t="s">
        <v>2848</v>
      </c>
      <c r="AI583">
        <v>1</v>
      </c>
    </row>
    <row r="584" spans="1:35" x14ac:dyDescent="0.3">
      <c r="A584" t="s">
        <v>564</v>
      </c>
      <c r="B584">
        <v>1</v>
      </c>
      <c r="C584" s="1">
        <v>45709</v>
      </c>
      <c r="E584" t="s">
        <v>1112</v>
      </c>
      <c r="F584" t="s">
        <v>1726</v>
      </c>
      <c r="G584" t="s">
        <v>1359</v>
      </c>
      <c r="H584" t="s">
        <v>2663</v>
      </c>
      <c r="I584" t="s">
        <v>2739</v>
      </c>
      <c r="J584" t="s">
        <v>2755</v>
      </c>
      <c r="K584" t="s">
        <v>1486</v>
      </c>
      <c r="L584" t="s">
        <v>2776</v>
      </c>
      <c r="M584" t="s">
        <v>2562</v>
      </c>
      <c r="N584" t="s">
        <v>2574</v>
      </c>
      <c r="O584" t="s">
        <v>2602</v>
      </c>
      <c r="P584" t="s">
        <v>2551</v>
      </c>
      <c r="Q584" t="s">
        <v>2574</v>
      </c>
      <c r="R584" t="s">
        <v>2602</v>
      </c>
      <c r="S584" t="s">
        <v>2606</v>
      </c>
      <c r="T584">
        <v>1</v>
      </c>
      <c r="U584" s="2">
        <v>5570.41</v>
      </c>
      <c r="V584" s="3">
        <v>0</v>
      </c>
      <c r="W584" s="2">
        <v>5570.41</v>
      </c>
      <c r="X584" s="2">
        <v>1420.3</v>
      </c>
      <c r="Y584" s="3">
        <v>0.25497225518408878</v>
      </c>
      <c r="Z584" t="s">
        <v>1494</v>
      </c>
      <c r="AA584" t="s">
        <v>1499</v>
      </c>
      <c r="AB584" t="s">
        <v>1503</v>
      </c>
      <c r="AD584">
        <v>2025</v>
      </c>
      <c r="AE584" t="s">
        <v>2809</v>
      </c>
      <c r="AF584" t="s">
        <v>2833</v>
      </c>
      <c r="AG584" t="s">
        <v>2844</v>
      </c>
      <c r="AH584" t="s">
        <v>2848</v>
      </c>
      <c r="AI584">
        <v>1</v>
      </c>
    </row>
    <row r="585" spans="1:35" x14ac:dyDescent="0.3">
      <c r="A585" t="s">
        <v>565</v>
      </c>
      <c r="B585">
        <v>1</v>
      </c>
      <c r="C585" s="1">
        <v>45709</v>
      </c>
      <c r="D585" s="1">
        <v>45712</v>
      </c>
      <c r="E585" t="s">
        <v>1086</v>
      </c>
      <c r="F585" t="s">
        <v>1840</v>
      </c>
      <c r="G585" t="s">
        <v>1368</v>
      </c>
      <c r="H585" t="s">
        <v>2736</v>
      </c>
      <c r="I585" t="s">
        <v>2742</v>
      </c>
      <c r="J585" t="s">
        <v>2772</v>
      </c>
      <c r="K585" t="s">
        <v>1480</v>
      </c>
      <c r="L585" t="s">
        <v>2789</v>
      </c>
      <c r="M585" t="s">
        <v>2566</v>
      </c>
      <c r="N585" t="s">
        <v>2584</v>
      </c>
      <c r="O585" t="s">
        <v>2601</v>
      </c>
      <c r="R585" t="s">
        <v>2790</v>
      </c>
      <c r="S585" t="s">
        <v>2607</v>
      </c>
      <c r="T585">
        <v>1</v>
      </c>
      <c r="U585" s="2">
        <v>1640.09</v>
      </c>
      <c r="V585" s="3">
        <v>0</v>
      </c>
      <c r="W585" s="2">
        <v>1640.09</v>
      </c>
      <c r="X585" s="2">
        <v>324.18</v>
      </c>
      <c r="Y585" s="3">
        <v>0.1976598845185325</v>
      </c>
      <c r="Z585" t="s">
        <v>1494</v>
      </c>
      <c r="AA585" t="s">
        <v>1498</v>
      </c>
      <c r="AB585" t="s">
        <v>1501</v>
      </c>
      <c r="AC585">
        <v>3</v>
      </c>
      <c r="AD585">
        <v>2025</v>
      </c>
      <c r="AE585" t="s">
        <v>2809</v>
      </c>
      <c r="AF585" t="s">
        <v>2833</v>
      </c>
      <c r="AG585" t="s">
        <v>2844</v>
      </c>
      <c r="AH585" t="s">
        <v>2848</v>
      </c>
      <c r="AI585">
        <v>1</v>
      </c>
    </row>
    <row r="586" spans="1:35" x14ac:dyDescent="0.3">
      <c r="A586" t="s">
        <v>566</v>
      </c>
      <c r="B586">
        <v>1</v>
      </c>
      <c r="C586" s="1">
        <v>45709</v>
      </c>
      <c r="D586" s="1">
        <v>45710</v>
      </c>
      <c r="E586" t="s">
        <v>1256</v>
      </c>
      <c r="F586" t="s">
        <v>2002</v>
      </c>
      <c r="G586" t="s">
        <v>1391</v>
      </c>
      <c r="H586" t="s">
        <v>2719</v>
      </c>
      <c r="I586" t="s">
        <v>2741</v>
      </c>
      <c r="J586" t="s">
        <v>2768</v>
      </c>
      <c r="K586" t="s">
        <v>1492</v>
      </c>
      <c r="L586" t="s">
        <v>2788</v>
      </c>
      <c r="M586" t="s">
        <v>2550</v>
      </c>
      <c r="N586" t="s">
        <v>2573</v>
      </c>
      <c r="O586" t="s">
        <v>2601</v>
      </c>
      <c r="P586" t="s">
        <v>2554</v>
      </c>
      <c r="Q586" t="s">
        <v>2577</v>
      </c>
      <c r="R586" t="s">
        <v>2601</v>
      </c>
      <c r="S586" t="s">
        <v>2606</v>
      </c>
      <c r="T586">
        <v>3</v>
      </c>
      <c r="U586" s="2">
        <v>1624.5</v>
      </c>
      <c r="V586" s="3">
        <v>0</v>
      </c>
      <c r="W586" s="2">
        <v>4873.5</v>
      </c>
      <c r="X586" s="2">
        <v>1610.64</v>
      </c>
      <c r="Y586" s="3">
        <v>0.33048938134810713</v>
      </c>
      <c r="Z586" t="s">
        <v>1496</v>
      </c>
      <c r="AA586" t="s">
        <v>1498</v>
      </c>
      <c r="AB586" t="s">
        <v>1502</v>
      </c>
      <c r="AC586">
        <v>1</v>
      </c>
      <c r="AD586">
        <v>2025</v>
      </c>
      <c r="AE586" t="s">
        <v>2809</v>
      </c>
      <c r="AF586" t="s">
        <v>2833</v>
      </c>
      <c r="AG586" t="s">
        <v>2844</v>
      </c>
      <c r="AH586" t="s">
        <v>2848</v>
      </c>
      <c r="AI586">
        <v>1</v>
      </c>
    </row>
    <row r="587" spans="1:35" x14ac:dyDescent="0.3">
      <c r="A587" t="s">
        <v>567</v>
      </c>
      <c r="B587">
        <v>2</v>
      </c>
      <c r="C587" s="1">
        <v>45711</v>
      </c>
      <c r="D587" s="1">
        <v>45712</v>
      </c>
      <c r="E587" t="s">
        <v>1001</v>
      </c>
      <c r="F587" t="s">
        <v>1873</v>
      </c>
      <c r="G587" t="s">
        <v>1402</v>
      </c>
      <c r="H587" t="s">
        <v>2690</v>
      </c>
      <c r="I587" t="s">
        <v>2740</v>
      </c>
      <c r="J587" t="s">
        <v>2761</v>
      </c>
      <c r="K587" t="s">
        <v>1480</v>
      </c>
      <c r="L587" t="s">
        <v>2789</v>
      </c>
      <c r="M587" t="s">
        <v>2553</v>
      </c>
      <c r="N587" t="s">
        <v>2576</v>
      </c>
      <c r="O587" t="s">
        <v>2602</v>
      </c>
      <c r="R587" t="s">
        <v>2790</v>
      </c>
      <c r="S587" t="s">
        <v>2606</v>
      </c>
      <c r="T587">
        <v>1</v>
      </c>
      <c r="U587" s="2">
        <v>1419.44</v>
      </c>
      <c r="V587" s="3">
        <v>0</v>
      </c>
      <c r="W587" s="2">
        <v>1419.44</v>
      </c>
      <c r="X587" s="2">
        <v>106.94</v>
      </c>
      <c r="Y587" s="3">
        <v>7.5339570534858818E-2</v>
      </c>
      <c r="Z587" t="s">
        <v>1496</v>
      </c>
      <c r="AA587" t="s">
        <v>1498</v>
      </c>
      <c r="AB587" t="s">
        <v>1501</v>
      </c>
      <c r="AC587">
        <v>1</v>
      </c>
      <c r="AD587">
        <v>2025</v>
      </c>
      <c r="AE587" t="s">
        <v>2809</v>
      </c>
      <c r="AF587" t="s">
        <v>2833</v>
      </c>
      <c r="AG587" t="s">
        <v>2844</v>
      </c>
      <c r="AH587" t="s">
        <v>2848</v>
      </c>
      <c r="AI587">
        <v>1</v>
      </c>
    </row>
    <row r="588" spans="1:35" x14ac:dyDescent="0.3">
      <c r="A588" t="s">
        <v>568</v>
      </c>
      <c r="B588">
        <v>3</v>
      </c>
      <c r="C588" s="1">
        <v>45711</v>
      </c>
      <c r="D588" s="1">
        <v>45711</v>
      </c>
      <c r="E588" t="s">
        <v>1099</v>
      </c>
      <c r="F588" t="s">
        <v>1777</v>
      </c>
      <c r="G588" t="s">
        <v>1344</v>
      </c>
      <c r="H588" t="s">
        <v>2717</v>
      </c>
      <c r="I588" t="s">
        <v>2741</v>
      </c>
      <c r="J588" t="s">
        <v>2768</v>
      </c>
      <c r="K588" t="s">
        <v>1478</v>
      </c>
      <c r="L588" t="s">
        <v>2782</v>
      </c>
      <c r="M588" t="s">
        <v>2563</v>
      </c>
      <c r="N588" t="s">
        <v>2581</v>
      </c>
      <c r="O588" t="s">
        <v>2604</v>
      </c>
      <c r="P588" t="s">
        <v>2565</v>
      </c>
      <c r="Q588" t="s">
        <v>2583</v>
      </c>
      <c r="R588" t="s">
        <v>2604</v>
      </c>
      <c r="S588" t="s">
        <v>2608</v>
      </c>
      <c r="T588">
        <v>1</v>
      </c>
      <c r="U588" s="2">
        <v>555.59</v>
      </c>
      <c r="V588" s="3">
        <v>0.15</v>
      </c>
      <c r="W588" s="2">
        <v>472.25</v>
      </c>
      <c r="X588" s="2">
        <v>93.15</v>
      </c>
      <c r="Y588" s="3">
        <v>0.19724722075172049</v>
      </c>
      <c r="Z588" t="s">
        <v>1496</v>
      </c>
      <c r="AA588" t="s">
        <v>1498</v>
      </c>
      <c r="AB588" t="s">
        <v>1501</v>
      </c>
      <c r="AC588">
        <v>0</v>
      </c>
      <c r="AD588">
        <v>2025</v>
      </c>
      <c r="AE588" t="s">
        <v>2809</v>
      </c>
      <c r="AF588" t="s">
        <v>2833</v>
      </c>
      <c r="AG588" t="s">
        <v>2844</v>
      </c>
      <c r="AH588" t="s">
        <v>2848</v>
      </c>
      <c r="AI588">
        <v>1</v>
      </c>
    </row>
    <row r="589" spans="1:35" x14ac:dyDescent="0.3">
      <c r="A589" t="s">
        <v>569</v>
      </c>
      <c r="B589">
        <v>1</v>
      </c>
      <c r="C589" s="1">
        <v>45713</v>
      </c>
      <c r="D589" s="1">
        <v>45716</v>
      </c>
      <c r="E589" t="s">
        <v>1116</v>
      </c>
      <c r="F589" t="s">
        <v>1799</v>
      </c>
      <c r="G589" t="s">
        <v>1333</v>
      </c>
      <c r="H589" t="s">
        <v>2620</v>
      </c>
      <c r="I589" t="s">
        <v>2737</v>
      </c>
      <c r="J589" t="s">
        <v>2744</v>
      </c>
      <c r="K589" t="s">
        <v>1480</v>
      </c>
      <c r="L589" t="s">
        <v>2789</v>
      </c>
      <c r="M589" t="s">
        <v>2570</v>
      </c>
      <c r="N589" t="s">
        <v>2590</v>
      </c>
      <c r="O589" t="s">
        <v>2605</v>
      </c>
      <c r="R589" t="s">
        <v>2790</v>
      </c>
      <c r="S589" t="s">
        <v>2606</v>
      </c>
      <c r="T589">
        <v>4</v>
      </c>
      <c r="U589" s="2">
        <v>16375.46</v>
      </c>
      <c r="V589" s="3">
        <v>0</v>
      </c>
      <c r="W589" s="2">
        <v>65501.84</v>
      </c>
      <c r="X589" s="2">
        <v>8297.24</v>
      </c>
      <c r="Y589" s="3">
        <v>0.12667186143167891</v>
      </c>
      <c r="Z589" t="s">
        <v>1493</v>
      </c>
      <c r="AA589" t="s">
        <v>1498</v>
      </c>
      <c r="AB589" t="s">
        <v>1501</v>
      </c>
      <c r="AC589">
        <v>3</v>
      </c>
      <c r="AD589">
        <v>2025</v>
      </c>
      <c r="AE589" t="s">
        <v>2809</v>
      </c>
      <c r="AF589" t="s">
        <v>2833</v>
      </c>
      <c r="AG589" t="s">
        <v>2844</v>
      </c>
      <c r="AH589" t="s">
        <v>2848</v>
      </c>
      <c r="AI589">
        <v>1</v>
      </c>
    </row>
    <row r="590" spans="1:35" x14ac:dyDescent="0.3">
      <c r="A590" t="s">
        <v>570</v>
      </c>
      <c r="B590">
        <v>1</v>
      </c>
      <c r="C590" s="1">
        <v>45713</v>
      </c>
      <c r="D590" s="1">
        <v>45716</v>
      </c>
      <c r="E590" t="s">
        <v>1089</v>
      </c>
      <c r="F590" t="s">
        <v>1983</v>
      </c>
      <c r="G590" t="s">
        <v>1424</v>
      </c>
      <c r="H590" t="s">
        <v>2624</v>
      </c>
      <c r="I590" t="s">
        <v>2737</v>
      </c>
      <c r="J590" t="s">
        <v>2745</v>
      </c>
      <c r="K590" t="s">
        <v>1480</v>
      </c>
      <c r="L590" t="s">
        <v>2789</v>
      </c>
      <c r="M590" t="s">
        <v>2554</v>
      </c>
      <c r="N590" t="s">
        <v>2577</v>
      </c>
      <c r="O590" t="s">
        <v>2601</v>
      </c>
      <c r="R590" t="s">
        <v>2790</v>
      </c>
      <c r="S590" t="s">
        <v>2606</v>
      </c>
      <c r="T590">
        <v>1</v>
      </c>
      <c r="U590" s="2">
        <v>31609.79</v>
      </c>
      <c r="V590" s="3">
        <v>0</v>
      </c>
      <c r="W590" s="2">
        <v>31609.79</v>
      </c>
      <c r="X590" s="2">
        <v>3440.18</v>
      </c>
      <c r="Y590" s="3">
        <v>0.1088327382118008</v>
      </c>
      <c r="Z590" t="s">
        <v>1496</v>
      </c>
      <c r="AA590" t="s">
        <v>1498</v>
      </c>
      <c r="AB590" t="s">
        <v>1501</v>
      </c>
      <c r="AC590">
        <v>3</v>
      </c>
      <c r="AD590">
        <v>2025</v>
      </c>
      <c r="AE590" t="s">
        <v>2809</v>
      </c>
      <c r="AF590" t="s">
        <v>2833</v>
      </c>
      <c r="AG590" t="s">
        <v>2844</v>
      </c>
      <c r="AH590" t="s">
        <v>2848</v>
      </c>
      <c r="AI590">
        <v>1</v>
      </c>
    </row>
    <row r="591" spans="1:35" x14ac:dyDescent="0.3">
      <c r="A591" t="s">
        <v>571</v>
      </c>
      <c r="B591">
        <v>1</v>
      </c>
      <c r="C591" s="1">
        <v>45714</v>
      </c>
      <c r="D591" s="1">
        <v>45715</v>
      </c>
      <c r="E591" t="s">
        <v>1235</v>
      </c>
      <c r="F591" t="s">
        <v>1688</v>
      </c>
      <c r="G591" t="s">
        <v>1340</v>
      </c>
      <c r="H591" t="s">
        <v>2680</v>
      </c>
      <c r="I591" t="s">
        <v>2739</v>
      </c>
      <c r="J591" t="s">
        <v>2758</v>
      </c>
      <c r="K591" t="s">
        <v>1485</v>
      </c>
      <c r="L591" t="s">
        <v>2775</v>
      </c>
      <c r="M591" t="s">
        <v>2556</v>
      </c>
      <c r="N591" t="s">
        <v>2574</v>
      </c>
      <c r="O591" t="s">
        <v>2602</v>
      </c>
      <c r="P591" t="s">
        <v>2562</v>
      </c>
      <c r="Q591" t="s">
        <v>2574</v>
      </c>
      <c r="R591" t="s">
        <v>2602</v>
      </c>
      <c r="S591" t="s">
        <v>2608</v>
      </c>
      <c r="T591">
        <v>1</v>
      </c>
      <c r="U591" s="2">
        <v>5570.6</v>
      </c>
      <c r="V591" s="3">
        <v>0</v>
      </c>
      <c r="W591" s="2">
        <v>5570.6</v>
      </c>
      <c r="X591" s="2">
        <v>1503.07</v>
      </c>
      <c r="Y591" s="3">
        <v>0.26982192223458867</v>
      </c>
      <c r="Z591" t="s">
        <v>1494</v>
      </c>
      <c r="AA591" t="s">
        <v>1499</v>
      </c>
      <c r="AB591" t="s">
        <v>1501</v>
      </c>
      <c r="AC591">
        <v>1</v>
      </c>
      <c r="AD591">
        <v>2025</v>
      </c>
      <c r="AE591" t="s">
        <v>2809</v>
      </c>
      <c r="AF591" t="s">
        <v>2833</v>
      </c>
      <c r="AG591" t="s">
        <v>2844</v>
      </c>
      <c r="AH591" t="s">
        <v>2848</v>
      </c>
      <c r="AI591">
        <v>1</v>
      </c>
    </row>
    <row r="592" spans="1:35" x14ac:dyDescent="0.3">
      <c r="A592" t="s">
        <v>572</v>
      </c>
      <c r="B592">
        <v>1</v>
      </c>
      <c r="C592" s="1">
        <v>45717</v>
      </c>
      <c r="D592" s="1">
        <v>45718</v>
      </c>
      <c r="E592" t="s">
        <v>1206</v>
      </c>
      <c r="F592" t="s">
        <v>1728</v>
      </c>
      <c r="G592" t="s">
        <v>1386</v>
      </c>
      <c r="H592" t="s">
        <v>2686</v>
      </c>
      <c r="I592" t="s">
        <v>2740</v>
      </c>
      <c r="J592" t="s">
        <v>2760</v>
      </c>
      <c r="K592" t="s">
        <v>1480</v>
      </c>
      <c r="L592" t="s">
        <v>2789</v>
      </c>
      <c r="M592" t="s">
        <v>2570</v>
      </c>
      <c r="N592" t="s">
        <v>2590</v>
      </c>
      <c r="O592" t="s">
        <v>2605</v>
      </c>
      <c r="R592" t="s">
        <v>2790</v>
      </c>
      <c r="S592" t="s">
        <v>2606</v>
      </c>
      <c r="T592">
        <v>1</v>
      </c>
      <c r="U592" s="2">
        <v>1094.7</v>
      </c>
      <c r="V592" s="3">
        <v>0</v>
      </c>
      <c r="W592" s="2">
        <v>1094.7</v>
      </c>
      <c r="X592" s="2">
        <v>63.98</v>
      </c>
      <c r="Y592" s="3">
        <v>5.8445236137754632E-2</v>
      </c>
      <c r="Z592" t="s">
        <v>1496</v>
      </c>
      <c r="AA592" t="s">
        <v>1498</v>
      </c>
      <c r="AB592" t="s">
        <v>1501</v>
      </c>
      <c r="AC592">
        <v>1</v>
      </c>
      <c r="AD592">
        <v>2025</v>
      </c>
      <c r="AE592" t="s">
        <v>2810</v>
      </c>
      <c r="AF592" t="s">
        <v>2834</v>
      </c>
      <c r="AG592" t="s">
        <v>2844</v>
      </c>
      <c r="AH592" t="s">
        <v>2848</v>
      </c>
      <c r="AI592">
        <v>1</v>
      </c>
    </row>
    <row r="593" spans="1:35" x14ac:dyDescent="0.3">
      <c r="A593" t="s">
        <v>573</v>
      </c>
      <c r="B593">
        <v>1</v>
      </c>
      <c r="C593" s="1">
        <v>45717</v>
      </c>
      <c r="D593" s="1">
        <v>45718</v>
      </c>
      <c r="E593" t="s">
        <v>1221</v>
      </c>
      <c r="F593" t="s">
        <v>2033</v>
      </c>
      <c r="G593" t="s">
        <v>1338</v>
      </c>
      <c r="H593" t="s">
        <v>2693</v>
      </c>
      <c r="I593" t="s">
        <v>2740</v>
      </c>
      <c r="J593" t="s">
        <v>2761</v>
      </c>
      <c r="K593" t="s">
        <v>1480</v>
      </c>
      <c r="L593" t="s">
        <v>2789</v>
      </c>
      <c r="M593" t="s">
        <v>2563</v>
      </c>
      <c r="N593" t="s">
        <v>2581</v>
      </c>
      <c r="O593" t="s">
        <v>2604</v>
      </c>
      <c r="R593" t="s">
        <v>2790</v>
      </c>
      <c r="S593" t="s">
        <v>2606</v>
      </c>
      <c r="T593">
        <v>1</v>
      </c>
      <c r="U593" s="2">
        <v>1151.02</v>
      </c>
      <c r="V593" s="3">
        <v>0</v>
      </c>
      <c r="W593" s="2">
        <v>1151.02</v>
      </c>
      <c r="X593" s="2">
        <v>149.55000000000001</v>
      </c>
      <c r="Y593" s="3">
        <v>0.12992823756320479</v>
      </c>
      <c r="Z593" t="s">
        <v>1496</v>
      </c>
      <c r="AA593" t="s">
        <v>1499</v>
      </c>
      <c r="AB593" t="s">
        <v>1501</v>
      </c>
      <c r="AC593">
        <v>1</v>
      </c>
      <c r="AD593">
        <v>2025</v>
      </c>
      <c r="AE593" t="s">
        <v>2810</v>
      </c>
      <c r="AF593" t="s">
        <v>2834</v>
      </c>
      <c r="AG593" t="s">
        <v>2844</v>
      </c>
      <c r="AH593" t="s">
        <v>2848</v>
      </c>
      <c r="AI593">
        <v>1</v>
      </c>
    </row>
    <row r="594" spans="1:35" x14ac:dyDescent="0.3">
      <c r="A594" t="s">
        <v>574</v>
      </c>
      <c r="B594">
        <v>3</v>
      </c>
      <c r="C594" s="1">
        <v>45720</v>
      </c>
      <c r="D594" s="1">
        <v>45721</v>
      </c>
      <c r="E594" t="s">
        <v>1016</v>
      </c>
      <c r="F594" t="s">
        <v>1669</v>
      </c>
      <c r="G594" t="s">
        <v>1399</v>
      </c>
      <c r="H594" t="s">
        <v>2691</v>
      </c>
      <c r="I594" t="s">
        <v>2740</v>
      </c>
      <c r="J594" t="s">
        <v>2761</v>
      </c>
      <c r="K594" t="s">
        <v>1480</v>
      </c>
      <c r="L594" t="s">
        <v>2789</v>
      </c>
      <c r="M594" t="s">
        <v>2559</v>
      </c>
      <c r="N594" t="s">
        <v>2559</v>
      </c>
      <c r="O594" t="s">
        <v>2603</v>
      </c>
      <c r="R594" t="s">
        <v>2790</v>
      </c>
      <c r="S594" t="s">
        <v>2606</v>
      </c>
      <c r="T594">
        <v>3</v>
      </c>
      <c r="U594" s="2">
        <v>711.86</v>
      </c>
      <c r="V594" s="3">
        <v>0</v>
      </c>
      <c r="W594" s="2">
        <v>2135.58</v>
      </c>
      <c r="X594" s="2">
        <v>218.4</v>
      </c>
      <c r="Y594" s="3">
        <v>0.1022672997499508</v>
      </c>
      <c r="Z594" t="s">
        <v>1496</v>
      </c>
      <c r="AA594" t="s">
        <v>1498</v>
      </c>
      <c r="AB594" t="s">
        <v>1501</v>
      </c>
      <c r="AC594">
        <v>1</v>
      </c>
      <c r="AD594">
        <v>2025</v>
      </c>
      <c r="AE594" t="s">
        <v>2810</v>
      </c>
      <c r="AF594" t="s">
        <v>2834</v>
      </c>
      <c r="AG594" t="s">
        <v>2844</v>
      </c>
      <c r="AH594" t="s">
        <v>2848</v>
      </c>
      <c r="AI594">
        <v>1</v>
      </c>
    </row>
    <row r="595" spans="1:35" x14ac:dyDescent="0.3">
      <c r="A595" t="s">
        <v>575</v>
      </c>
      <c r="B595">
        <v>1</v>
      </c>
      <c r="C595" s="1">
        <v>45720</v>
      </c>
      <c r="D595" s="1">
        <v>45721</v>
      </c>
      <c r="E595" t="s">
        <v>1257</v>
      </c>
      <c r="F595" t="s">
        <v>1937</v>
      </c>
      <c r="G595" t="s">
        <v>1351</v>
      </c>
      <c r="H595" t="s">
        <v>2677</v>
      </c>
      <c r="I595" t="s">
        <v>2739</v>
      </c>
      <c r="J595" t="s">
        <v>2758</v>
      </c>
      <c r="K595" t="s">
        <v>1480</v>
      </c>
      <c r="L595" t="s">
        <v>2789</v>
      </c>
      <c r="M595" t="s">
        <v>2558</v>
      </c>
      <c r="N595" t="s">
        <v>2558</v>
      </c>
      <c r="O595" t="s">
        <v>2603</v>
      </c>
      <c r="R595" t="s">
        <v>2790</v>
      </c>
      <c r="S595" t="s">
        <v>2608</v>
      </c>
      <c r="T595">
        <v>1</v>
      </c>
      <c r="U595" s="2">
        <v>5049.71</v>
      </c>
      <c r="V595" s="3">
        <v>0</v>
      </c>
      <c r="W595" s="2">
        <v>5049.71</v>
      </c>
      <c r="X595" s="2">
        <v>1314.91</v>
      </c>
      <c r="Y595" s="3">
        <v>0.26039317109299348</v>
      </c>
      <c r="Z595" t="s">
        <v>1494</v>
      </c>
      <c r="AA595" t="s">
        <v>1498</v>
      </c>
      <c r="AB595" t="s">
        <v>1501</v>
      </c>
      <c r="AC595">
        <v>1</v>
      </c>
      <c r="AD595">
        <v>2025</v>
      </c>
      <c r="AE595" t="s">
        <v>2810</v>
      </c>
      <c r="AF595" t="s">
        <v>2834</v>
      </c>
      <c r="AG595" t="s">
        <v>2844</v>
      </c>
      <c r="AH595" t="s">
        <v>2848</v>
      </c>
      <c r="AI595">
        <v>1</v>
      </c>
    </row>
    <row r="596" spans="1:35" x14ac:dyDescent="0.3">
      <c r="A596" t="s">
        <v>576</v>
      </c>
      <c r="B596">
        <v>1</v>
      </c>
      <c r="C596" s="1">
        <v>45722</v>
      </c>
      <c r="D596" s="1">
        <v>45723</v>
      </c>
      <c r="E596" t="s">
        <v>1035</v>
      </c>
      <c r="F596" t="s">
        <v>1926</v>
      </c>
      <c r="G596" t="s">
        <v>1458</v>
      </c>
      <c r="H596" t="s">
        <v>2734</v>
      </c>
      <c r="I596" t="s">
        <v>2742</v>
      </c>
      <c r="J596" t="s">
        <v>2772</v>
      </c>
      <c r="K596" t="s">
        <v>1480</v>
      </c>
      <c r="L596" t="s">
        <v>2789</v>
      </c>
      <c r="M596" t="s">
        <v>2565</v>
      </c>
      <c r="N596" t="s">
        <v>2583</v>
      </c>
      <c r="O596" t="s">
        <v>2604</v>
      </c>
      <c r="R596" t="s">
        <v>2790</v>
      </c>
      <c r="S596" t="s">
        <v>2607</v>
      </c>
      <c r="T596">
        <v>1</v>
      </c>
      <c r="U596" s="2">
        <v>6241.95</v>
      </c>
      <c r="V596" s="3">
        <v>0.15</v>
      </c>
      <c r="W596" s="2">
        <v>5305.66</v>
      </c>
      <c r="X596" s="2">
        <v>684.54</v>
      </c>
      <c r="Y596" s="3">
        <v>0.12902070618923939</v>
      </c>
      <c r="Z596" t="s">
        <v>1495</v>
      </c>
      <c r="AA596" t="s">
        <v>1499</v>
      </c>
      <c r="AB596" t="s">
        <v>1501</v>
      </c>
      <c r="AC596">
        <v>1</v>
      </c>
      <c r="AD596">
        <v>2025</v>
      </c>
      <c r="AE596" t="s">
        <v>2810</v>
      </c>
      <c r="AF596" t="s">
        <v>2834</v>
      </c>
      <c r="AG596" t="s">
        <v>2844</v>
      </c>
      <c r="AH596" t="s">
        <v>2848</v>
      </c>
      <c r="AI596">
        <v>1</v>
      </c>
    </row>
    <row r="597" spans="1:35" x14ac:dyDescent="0.3">
      <c r="A597" t="s">
        <v>577</v>
      </c>
      <c r="B597">
        <v>1</v>
      </c>
      <c r="C597" s="1">
        <v>45722</v>
      </c>
      <c r="D597" s="1">
        <v>45724</v>
      </c>
      <c r="E597" t="s">
        <v>1185</v>
      </c>
      <c r="F597" t="s">
        <v>1723</v>
      </c>
      <c r="G597" t="s">
        <v>1338</v>
      </c>
      <c r="H597" t="s">
        <v>2693</v>
      </c>
      <c r="I597" t="s">
        <v>2740</v>
      </c>
      <c r="J597" t="s">
        <v>2761</v>
      </c>
      <c r="K597" t="s">
        <v>1480</v>
      </c>
      <c r="L597" t="s">
        <v>2789</v>
      </c>
      <c r="M597" t="s">
        <v>2556</v>
      </c>
      <c r="N597" t="s">
        <v>2574</v>
      </c>
      <c r="O597" t="s">
        <v>2602</v>
      </c>
      <c r="R597" t="s">
        <v>2790</v>
      </c>
      <c r="S597" t="s">
        <v>2608</v>
      </c>
      <c r="T597">
        <v>1</v>
      </c>
      <c r="U597" s="2">
        <v>1151.02</v>
      </c>
      <c r="V597" s="3">
        <v>0</v>
      </c>
      <c r="W597" s="2">
        <v>1151.02</v>
      </c>
      <c r="X597" s="2">
        <v>149.55000000000001</v>
      </c>
      <c r="Y597" s="3">
        <v>0.12992823756320479</v>
      </c>
      <c r="Z597" t="s">
        <v>1497</v>
      </c>
      <c r="AA597" t="s">
        <v>1499</v>
      </c>
      <c r="AB597" t="s">
        <v>1501</v>
      </c>
      <c r="AC597">
        <v>2</v>
      </c>
      <c r="AD597">
        <v>2025</v>
      </c>
      <c r="AE597" t="s">
        <v>2810</v>
      </c>
      <c r="AF597" t="s">
        <v>2834</v>
      </c>
      <c r="AG597" t="s">
        <v>2844</v>
      </c>
      <c r="AH597" t="s">
        <v>2848</v>
      </c>
      <c r="AI597">
        <v>1</v>
      </c>
    </row>
    <row r="598" spans="1:35" x14ac:dyDescent="0.3">
      <c r="A598" t="s">
        <v>578</v>
      </c>
      <c r="B598">
        <v>1</v>
      </c>
      <c r="C598" s="1">
        <v>45723</v>
      </c>
      <c r="D598" s="1">
        <v>45726</v>
      </c>
      <c r="E598" t="s">
        <v>972</v>
      </c>
      <c r="F598" t="s">
        <v>1806</v>
      </c>
      <c r="G598" t="s">
        <v>1465</v>
      </c>
      <c r="H598" t="s">
        <v>2665</v>
      </c>
      <c r="I598" t="s">
        <v>2739</v>
      </c>
      <c r="J598" t="s">
        <v>2755</v>
      </c>
      <c r="K598" t="s">
        <v>1480</v>
      </c>
      <c r="L598" t="s">
        <v>2789</v>
      </c>
      <c r="M598" t="s">
        <v>2555</v>
      </c>
      <c r="N598" t="s">
        <v>2578</v>
      </c>
      <c r="O598" t="s">
        <v>2603</v>
      </c>
      <c r="R598" t="s">
        <v>2790</v>
      </c>
      <c r="S598" t="s">
        <v>2606</v>
      </c>
      <c r="T598">
        <v>1</v>
      </c>
      <c r="U598" s="2">
        <v>2687.95</v>
      </c>
      <c r="V598" s="3">
        <v>0.1</v>
      </c>
      <c r="W598" s="2">
        <v>2419.15</v>
      </c>
      <c r="X598" s="2">
        <v>922.62</v>
      </c>
      <c r="Y598" s="3">
        <v>0.38138189033338149</v>
      </c>
      <c r="Z598" t="s">
        <v>1496</v>
      </c>
      <c r="AA598" t="s">
        <v>1498</v>
      </c>
      <c r="AB598" t="s">
        <v>1501</v>
      </c>
      <c r="AC598">
        <v>3</v>
      </c>
      <c r="AD598">
        <v>2025</v>
      </c>
      <c r="AE598" t="s">
        <v>2810</v>
      </c>
      <c r="AF598" t="s">
        <v>2834</v>
      </c>
      <c r="AG598" t="s">
        <v>2844</v>
      </c>
      <c r="AH598" t="s">
        <v>2848</v>
      </c>
      <c r="AI598">
        <v>1</v>
      </c>
    </row>
    <row r="599" spans="1:35" x14ac:dyDescent="0.3">
      <c r="A599" t="s">
        <v>579</v>
      </c>
      <c r="B599">
        <v>2</v>
      </c>
      <c r="C599" s="1">
        <v>45723</v>
      </c>
      <c r="D599" s="1">
        <v>45725</v>
      </c>
      <c r="E599" t="s">
        <v>1024</v>
      </c>
      <c r="F599" t="s">
        <v>1827</v>
      </c>
      <c r="G599" t="s">
        <v>1347</v>
      </c>
      <c r="H599" t="s">
        <v>2627</v>
      </c>
      <c r="I599" t="s">
        <v>2737</v>
      </c>
      <c r="J599" t="s">
        <v>2745</v>
      </c>
      <c r="K599" t="s">
        <v>1480</v>
      </c>
      <c r="L599" t="s">
        <v>2789</v>
      </c>
      <c r="M599" t="s">
        <v>2553</v>
      </c>
      <c r="N599" t="s">
        <v>2576</v>
      </c>
      <c r="O599" t="s">
        <v>2602</v>
      </c>
      <c r="R599" t="s">
        <v>2790</v>
      </c>
      <c r="S599" t="s">
        <v>2606</v>
      </c>
      <c r="T599">
        <v>2</v>
      </c>
      <c r="U599" s="2">
        <v>56707.06</v>
      </c>
      <c r="V599" s="3">
        <v>0</v>
      </c>
      <c r="W599" s="2">
        <v>113414.12</v>
      </c>
      <c r="X599" s="2">
        <v>17927.7</v>
      </c>
      <c r="Y599" s="3">
        <v>0.15807291014557981</v>
      </c>
      <c r="Z599" t="s">
        <v>1495</v>
      </c>
      <c r="AA599" t="s">
        <v>1498</v>
      </c>
      <c r="AB599" t="s">
        <v>1501</v>
      </c>
      <c r="AC599">
        <v>2</v>
      </c>
      <c r="AD599">
        <v>2025</v>
      </c>
      <c r="AE599" t="s">
        <v>2810</v>
      </c>
      <c r="AF599" t="s">
        <v>2834</v>
      </c>
      <c r="AG599" t="s">
        <v>2844</v>
      </c>
      <c r="AH599" t="s">
        <v>2848</v>
      </c>
      <c r="AI599">
        <v>1</v>
      </c>
    </row>
    <row r="600" spans="1:35" x14ac:dyDescent="0.3">
      <c r="A600" t="s">
        <v>580</v>
      </c>
      <c r="B600">
        <v>1</v>
      </c>
      <c r="C600" s="1">
        <v>45724</v>
      </c>
      <c r="D600" s="1">
        <v>45727</v>
      </c>
      <c r="E600" t="s">
        <v>1188</v>
      </c>
      <c r="F600" t="s">
        <v>1766</v>
      </c>
      <c r="G600" t="s">
        <v>1348</v>
      </c>
      <c r="H600" t="s">
        <v>2669</v>
      </c>
      <c r="I600" t="s">
        <v>2739</v>
      </c>
      <c r="J600" t="s">
        <v>2756</v>
      </c>
      <c r="K600" t="s">
        <v>1480</v>
      </c>
      <c r="L600" t="s">
        <v>2789</v>
      </c>
      <c r="M600" t="s">
        <v>2550</v>
      </c>
      <c r="N600" t="s">
        <v>2573</v>
      </c>
      <c r="O600" t="s">
        <v>2601</v>
      </c>
      <c r="R600" t="s">
        <v>2790</v>
      </c>
      <c r="S600" t="s">
        <v>2608</v>
      </c>
      <c r="T600">
        <v>1</v>
      </c>
      <c r="U600" s="2">
        <v>921.12</v>
      </c>
      <c r="V600" s="3">
        <v>0</v>
      </c>
      <c r="W600" s="2">
        <v>921.12</v>
      </c>
      <c r="X600" s="2">
        <v>383.08</v>
      </c>
      <c r="Y600" s="3">
        <v>0.41588500955358693</v>
      </c>
      <c r="Z600" t="s">
        <v>1495</v>
      </c>
      <c r="AA600" t="s">
        <v>1498</v>
      </c>
      <c r="AB600" t="s">
        <v>1501</v>
      </c>
      <c r="AC600">
        <v>3</v>
      </c>
      <c r="AD600">
        <v>2025</v>
      </c>
      <c r="AE600" t="s">
        <v>2810</v>
      </c>
      <c r="AF600" t="s">
        <v>2834</v>
      </c>
      <c r="AG600" t="s">
        <v>2844</v>
      </c>
      <c r="AH600" t="s">
        <v>2848</v>
      </c>
      <c r="AI600">
        <v>1</v>
      </c>
    </row>
    <row r="601" spans="1:35" x14ac:dyDescent="0.3">
      <c r="A601" t="s">
        <v>581</v>
      </c>
      <c r="B601">
        <v>1</v>
      </c>
      <c r="C601" s="1">
        <v>45726</v>
      </c>
      <c r="D601" s="1">
        <v>45727</v>
      </c>
      <c r="E601" t="s">
        <v>1156</v>
      </c>
      <c r="F601" t="s">
        <v>1729</v>
      </c>
      <c r="G601" t="s">
        <v>1330</v>
      </c>
      <c r="H601" t="s">
        <v>2685</v>
      </c>
      <c r="I601" t="s">
        <v>2739</v>
      </c>
      <c r="J601" t="s">
        <v>2759</v>
      </c>
      <c r="K601" t="s">
        <v>1480</v>
      </c>
      <c r="L601" t="s">
        <v>2789</v>
      </c>
      <c r="M601" t="s">
        <v>2570</v>
      </c>
      <c r="N601" t="s">
        <v>2590</v>
      </c>
      <c r="O601" t="s">
        <v>2605</v>
      </c>
      <c r="R601" t="s">
        <v>2790</v>
      </c>
      <c r="S601" t="s">
        <v>2606</v>
      </c>
      <c r="T601">
        <v>1</v>
      </c>
      <c r="U601" s="2">
        <v>2393.8200000000002</v>
      </c>
      <c r="V601" s="3">
        <v>0</v>
      </c>
      <c r="W601" s="2">
        <v>2393.8200000000002</v>
      </c>
      <c r="X601" s="2">
        <v>773.87</v>
      </c>
      <c r="Y601" s="3">
        <v>0.32327827489117811</v>
      </c>
      <c r="Z601" t="s">
        <v>1494</v>
      </c>
      <c r="AA601" t="s">
        <v>1499</v>
      </c>
      <c r="AB601" t="s">
        <v>1501</v>
      </c>
      <c r="AC601">
        <v>1</v>
      </c>
      <c r="AD601">
        <v>2025</v>
      </c>
      <c r="AE601" t="s">
        <v>2810</v>
      </c>
      <c r="AF601" t="s">
        <v>2834</v>
      </c>
      <c r="AG601" t="s">
        <v>2844</v>
      </c>
      <c r="AH601" t="s">
        <v>2848</v>
      </c>
      <c r="AI601">
        <v>1</v>
      </c>
    </row>
    <row r="602" spans="1:35" x14ac:dyDescent="0.3">
      <c r="A602" t="s">
        <v>582</v>
      </c>
      <c r="B602">
        <v>1</v>
      </c>
      <c r="C602" s="1">
        <v>45727</v>
      </c>
      <c r="D602" s="1">
        <v>45730</v>
      </c>
      <c r="E602" t="s">
        <v>984</v>
      </c>
      <c r="F602" t="s">
        <v>1836</v>
      </c>
      <c r="G602" t="s">
        <v>1467</v>
      </c>
      <c r="H602" t="s">
        <v>2735</v>
      </c>
      <c r="I602" t="s">
        <v>2742</v>
      </c>
      <c r="J602" t="s">
        <v>2772</v>
      </c>
      <c r="K602" t="s">
        <v>1480</v>
      </c>
      <c r="L602" t="s">
        <v>2789</v>
      </c>
      <c r="M602" t="s">
        <v>2564</v>
      </c>
      <c r="N602" t="s">
        <v>2582</v>
      </c>
      <c r="O602" t="s">
        <v>2601</v>
      </c>
      <c r="R602" t="s">
        <v>2790</v>
      </c>
      <c r="S602" t="s">
        <v>2608</v>
      </c>
      <c r="T602">
        <v>1</v>
      </c>
      <c r="U602" s="2">
        <v>16820.04</v>
      </c>
      <c r="V602" s="3">
        <v>0.05</v>
      </c>
      <c r="W602" s="2">
        <v>15979.04</v>
      </c>
      <c r="X602" s="2">
        <v>3350.17</v>
      </c>
      <c r="Y602" s="3">
        <v>0.20966027996675651</v>
      </c>
      <c r="Z602" t="s">
        <v>1496</v>
      </c>
      <c r="AA602" t="s">
        <v>1500</v>
      </c>
      <c r="AB602" t="s">
        <v>1501</v>
      </c>
      <c r="AC602">
        <v>3</v>
      </c>
      <c r="AD602">
        <v>2025</v>
      </c>
      <c r="AE602" t="s">
        <v>2810</v>
      </c>
      <c r="AF602" t="s">
        <v>2834</v>
      </c>
      <c r="AG602" t="s">
        <v>2844</v>
      </c>
      <c r="AH602" t="s">
        <v>2848</v>
      </c>
      <c r="AI602">
        <v>1</v>
      </c>
    </row>
    <row r="603" spans="1:35" x14ac:dyDescent="0.3">
      <c r="A603" t="s">
        <v>583</v>
      </c>
      <c r="B603">
        <v>1</v>
      </c>
      <c r="C603" s="1">
        <v>45728</v>
      </c>
      <c r="D603" s="1">
        <v>45728</v>
      </c>
      <c r="E603" t="s">
        <v>965</v>
      </c>
      <c r="F603" t="s">
        <v>1685</v>
      </c>
      <c r="G603" t="s">
        <v>1437</v>
      </c>
      <c r="H603" t="s">
        <v>2629</v>
      </c>
      <c r="I603" t="s">
        <v>2737</v>
      </c>
      <c r="J603" t="s">
        <v>2746</v>
      </c>
      <c r="K603" t="s">
        <v>1482</v>
      </c>
      <c r="L603" t="s">
        <v>2783</v>
      </c>
      <c r="M603" t="s">
        <v>2569</v>
      </c>
      <c r="N603" t="s">
        <v>2587</v>
      </c>
      <c r="O603" t="s">
        <v>2604</v>
      </c>
      <c r="P603" t="s">
        <v>2560</v>
      </c>
      <c r="Q603" t="s">
        <v>2579</v>
      </c>
      <c r="R603" t="s">
        <v>2604</v>
      </c>
      <c r="S603" t="s">
        <v>2608</v>
      </c>
      <c r="T603">
        <v>1</v>
      </c>
      <c r="U603" s="2">
        <v>53802.83</v>
      </c>
      <c r="V603" s="3">
        <v>0.1</v>
      </c>
      <c r="W603" s="2">
        <v>48422.55</v>
      </c>
      <c r="X603" s="2">
        <v>1458.58</v>
      </c>
      <c r="Y603" s="3">
        <v>3.01219163385654E-2</v>
      </c>
      <c r="Z603" t="s">
        <v>1496</v>
      </c>
      <c r="AA603" t="s">
        <v>1498</v>
      </c>
      <c r="AB603" t="s">
        <v>1501</v>
      </c>
      <c r="AC603">
        <v>0</v>
      </c>
      <c r="AD603">
        <v>2025</v>
      </c>
      <c r="AE603" t="s">
        <v>2810</v>
      </c>
      <c r="AF603" t="s">
        <v>2834</v>
      </c>
      <c r="AG603" t="s">
        <v>2844</v>
      </c>
      <c r="AH603" t="s">
        <v>2848</v>
      </c>
      <c r="AI603">
        <v>1</v>
      </c>
    </row>
    <row r="604" spans="1:35" x14ac:dyDescent="0.3">
      <c r="A604" t="s">
        <v>584</v>
      </c>
      <c r="B604">
        <v>1</v>
      </c>
      <c r="C604" s="1">
        <v>45729</v>
      </c>
      <c r="D604" s="1">
        <v>45731</v>
      </c>
      <c r="E604" t="s">
        <v>1075</v>
      </c>
      <c r="F604" t="s">
        <v>1664</v>
      </c>
      <c r="G604" t="s">
        <v>1458</v>
      </c>
      <c r="H604" t="s">
        <v>2734</v>
      </c>
      <c r="I604" t="s">
        <v>2742</v>
      </c>
      <c r="J604" t="s">
        <v>2772</v>
      </c>
      <c r="K604" t="s">
        <v>1480</v>
      </c>
      <c r="L604" t="s">
        <v>2789</v>
      </c>
      <c r="M604" t="s">
        <v>2570</v>
      </c>
      <c r="N604" t="s">
        <v>2590</v>
      </c>
      <c r="O604" t="s">
        <v>2605</v>
      </c>
      <c r="R604" t="s">
        <v>2790</v>
      </c>
      <c r="S604" t="s">
        <v>2606</v>
      </c>
      <c r="T604">
        <v>2</v>
      </c>
      <c r="U604" s="2">
        <v>6241.95</v>
      </c>
      <c r="V604" s="3">
        <v>0</v>
      </c>
      <c r="W604" s="2">
        <v>12483.9</v>
      </c>
      <c r="X604" s="2">
        <v>3241.66</v>
      </c>
      <c r="Y604" s="3">
        <v>0.25966725141982872</v>
      </c>
      <c r="Z604" t="s">
        <v>1494</v>
      </c>
      <c r="AA604" t="s">
        <v>1499</v>
      </c>
      <c r="AB604" t="s">
        <v>1501</v>
      </c>
      <c r="AC604">
        <v>2</v>
      </c>
      <c r="AD604">
        <v>2025</v>
      </c>
      <c r="AE604" t="s">
        <v>2810</v>
      </c>
      <c r="AF604" t="s">
        <v>2834</v>
      </c>
      <c r="AG604" t="s">
        <v>2844</v>
      </c>
      <c r="AH604" t="s">
        <v>2848</v>
      </c>
      <c r="AI604">
        <v>1</v>
      </c>
    </row>
    <row r="605" spans="1:35" x14ac:dyDescent="0.3">
      <c r="A605" t="s">
        <v>585</v>
      </c>
      <c r="B605">
        <v>1</v>
      </c>
      <c r="C605" s="1">
        <v>45730</v>
      </c>
      <c r="D605" s="1">
        <v>45732</v>
      </c>
      <c r="E605" t="s">
        <v>1132</v>
      </c>
      <c r="F605" t="s">
        <v>1966</v>
      </c>
      <c r="G605" t="s">
        <v>1365</v>
      </c>
      <c r="H605" t="s">
        <v>2709</v>
      </c>
      <c r="I605" t="s">
        <v>2741</v>
      </c>
      <c r="J605" t="s">
        <v>2765</v>
      </c>
      <c r="K605" t="s">
        <v>1480</v>
      </c>
      <c r="L605" t="s">
        <v>2789</v>
      </c>
      <c r="M605" t="s">
        <v>2554</v>
      </c>
      <c r="N605" t="s">
        <v>2577</v>
      </c>
      <c r="O605" t="s">
        <v>2601</v>
      </c>
      <c r="R605" t="s">
        <v>2790</v>
      </c>
      <c r="S605" t="s">
        <v>2606</v>
      </c>
      <c r="T605">
        <v>1</v>
      </c>
      <c r="U605" s="2">
        <v>1749.13</v>
      </c>
      <c r="V605" s="3">
        <v>0</v>
      </c>
      <c r="W605" s="2">
        <v>1749.13</v>
      </c>
      <c r="X605" s="2">
        <v>642.97</v>
      </c>
      <c r="Y605" s="3">
        <v>0.36759417539005113</v>
      </c>
      <c r="Z605" t="s">
        <v>1496</v>
      </c>
      <c r="AA605" t="s">
        <v>1500</v>
      </c>
      <c r="AB605" t="s">
        <v>1501</v>
      </c>
      <c r="AC605">
        <v>2</v>
      </c>
      <c r="AD605">
        <v>2025</v>
      </c>
      <c r="AE605" t="s">
        <v>2810</v>
      </c>
      <c r="AF605" t="s">
        <v>2834</v>
      </c>
      <c r="AG605" t="s">
        <v>2844</v>
      </c>
      <c r="AH605" t="s">
        <v>2848</v>
      </c>
      <c r="AI605">
        <v>1</v>
      </c>
    </row>
    <row r="606" spans="1:35" x14ac:dyDescent="0.3">
      <c r="A606" t="s">
        <v>586</v>
      </c>
      <c r="B606">
        <v>1</v>
      </c>
      <c r="C606" s="1">
        <v>45731</v>
      </c>
      <c r="E606" t="s">
        <v>1258</v>
      </c>
      <c r="F606" t="s">
        <v>1828</v>
      </c>
      <c r="G606" t="s">
        <v>1381</v>
      </c>
      <c r="H606" t="s">
        <v>2682</v>
      </c>
      <c r="I606" t="s">
        <v>2739</v>
      </c>
      <c r="J606" t="s">
        <v>2759</v>
      </c>
      <c r="K606" t="s">
        <v>1480</v>
      </c>
      <c r="L606" t="s">
        <v>2789</v>
      </c>
      <c r="M606" t="s">
        <v>2571</v>
      </c>
      <c r="N606" t="s">
        <v>2590</v>
      </c>
      <c r="O606" t="s">
        <v>2605</v>
      </c>
      <c r="R606" t="s">
        <v>2790</v>
      </c>
      <c r="S606" t="s">
        <v>2608</v>
      </c>
      <c r="T606">
        <v>3</v>
      </c>
      <c r="U606" s="2">
        <v>4870.55</v>
      </c>
      <c r="V606" s="3">
        <v>0</v>
      </c>
      <c r="W606" s="2">
        <v>14611.65</v>
      </c>
      <c r="X606" s="2">
        <v>5930.79</v>
      </c>
      <c r="Y606" s="3">
        <v>0.40589461149151529</v>
      </c>
      <c r="Z606" t="s">
        <v>1496</v>
      </c>
      <c r="AA606" t="s">
        <v>1499</v>
      </c>
      <c r="AB606" t="s">
        <v>1503</v>
      </c>
      <c r="AD606">
        <v>2025</v>
      </c>
      <c r="AE606" t="s">
        <v>2810</v>
      </c>
      <c r="AF606" t="s">
        <v>2834</v>
      </c>
      <c r="AG606" t="s">
        <v>2844</v>
      </c>
      <c r="AH606" t="s">
        <v>2848</v>
      </c>
      <c r="AI606">
        <v>1</v>
      </c>
    </row>
    <row r="607" spans="1:35" x14ac:dyDescent="0.3">
      <c r="A607" t="s">
        <v>587</v>
      </c>
      <c r="B607">
        <v>1</v>
      </c>
      <c r="C607" s="1">
        <v>45731</v>
      </c>
      <c r="D607" s="1">
        <v>45733</v>
      </c>
      <c r="E607" t="s">
        <v>1118</v>
      </c>
      <c r="F607" t="s">
        <v>1789</v>
      </c>
      <c r="G607" t="s">
        <v>1329</v>
      </c>
      <c r="H607" t="s">
        <v>2659</v>
      </c>
      <c r="I607" t="s">
        <v>2739</v>
      </c>
      <c r="J607" t="s">
        <v>2759</v>
      </c>
      <c r="K607" t="s">
        <v>1480</v>
      </c>
      <c r="L607" t="s">
        <v>2789</v>
      </c>
      <c r="M607" t="s">
        <v>2564</v>
      </c>
      <c r="N607" t="s">
        <v>2582</v>
      </c>
      <c r="O607" t="s">
        <v>2601</v>
      </c>
      <c r="R607" t="s">
        <v>2790</v>
      </c>
      <c r="S607" t="s">
        <v>2606</v>
      </c>
      <c r="T607">
        <v>1</v>
      </c>
      <c r="U607" s="2">
        <v>1065.95</v>
      </c>
      <c r="V607" s="3">
        <v>0</v>
      </c>
      <c r="W607" s="2">
        <v>1065.95</v>
      </c>
      <c r="X607" s="2">
        <v>380.77</v>
      </c>
      <c r="Y607" s="3">
        <v>0.35721187672967769</v>
      </c>
      <c r="Z607" t="s">
        <v>1494</v>
      </c>
      <c r="AA607" t="s">
        <v>1499</v>
      </c>
      <c r="AB607" t="s">
        <v>1501</v>
      </c>
      <c r="AC607">
        <v>2</v>
      </c>
      <c r="AD607">
        <v>2025</v>
      </c>
      <c r="AE607" t="s">
        <v>2810</v>
      </c>
      <c r="AF607" t="s">
        <v>2834</v>
      </c>
      <c r="AG607" t="s">
        <v>2844</v>
      </c>
      <c r="AH607" t="s">
        <v>2848</v>
      </c>
      <c r="AI607">
        <v>1</v>
      </c>
    </row>
    <row r="608" spans="1:35" x14ac:dyDescent="0.3">
      <c r="A608" t="s">
        <v>588</v>
      </c>
      <c r="B608">
        <v>2</v>
      </c>
      <c r="C608" s="1">
        <v>45733</v>
      </c>
      <c r="D608" s="1">
        <v>45733</v>
      </c>
      <c r="E608" t="s">
        <v>1143</v>
      </c>
      <c r="F608" t="s">
        <v>2038</v>
      </c>
      <c r="G608" t="s">
        <v>1473</v>
      </c>
      <c r="H608" t="s">
        <v>2720</v>
      </c>
      <c r="I608" t="s">
        <v>2742</v>
      </c>
      <c r="J608" t="s">
        <v>2769</v>
      </c>
      <c r="K608" t="s">
        <v>1486</v>
      </c>
      <c r="L608" t="s">
        <v>2776</v>
      </c>
      <c r="M608" t="s">
        <v>2551</v>
      </c>
      <c r="N608" t="s">
        <v>2574</v>
      </c>
      <c r="O608" t="s">
        <v>2602</v>
      </c>
      <c r="P608" t="s">
        <v>2551</v>
      </c>
      <c r="Q608" t="s">
        <v>2574</v>
      </c>
      <c r="R608" t="s">
        <v>2602</v>
      </c>
      <c r="S608" t="s">
        <v>2606</v>
      </c>
      <c r="T608">
        <v>1</v>
      </c>
      <c r="U608" s="2">
        <v>9143.2999999999993</v>
      </c>
      <c r="V608" s="3">
        <v>0.15</v>
      </c>
      <c r="W608" s="2">
        <v>7771.8</v>
      </c>
      <c r="X608" s="2">
        <v>609.45000000000005</v>
      </c>
      <c r="Y608" s="3">
        <v>7.8418127074808927E-2</v>
      </c>
      <c r="Z608" t="s">
        <v>1494</v>
      </c>
      <c r="AA608" t="s">
        <v>1498</v>
      </c>
      <c r="AB608" t="s">
        <v>1502</v>
      </c>
      <c r="AC608">
        <v>0</v>
      </c>
      <c r="AD608">
        <v>2025</v>
      </c>
      <c r="AE608" t="s">
        <v>2810</v>
      </c>
      <c r="AF608" t="s">
        <v>2834</v>
      </c>
      <c r="AG608" t="s">
        <v>2844</v>
      </c>
      <c r="AH608" t="s">
        <v>2848</v>
      </c>
      <c r="AI608">
        <v>1</v>
      </c>
    </row>
    <row r="609" spans="1:35" x14ac:dyDescent="0.3">
      <c r="A609" t="s">
        <v>589</v>
      </c>
      <c r="B609">
        <v>1</v>
      </c>
      <c r="C609" s="1">
        <v>45734</v>
      </c>
      <c r="D609" s="1">
        <v>45734</v>
      </c>
      <c r="E609" t="s">
        <v>1031</v>
      </c>
      <c r="F609" t="s">
        <v>1748</v>
      </c>
      <c r="G609" t="s">
        <v>1474</v>
      </c>
      <c r="H609" t="s">
        <v>2733</v>
      </c>
      <c r="I609" t="s">
        <v>2742</v>
      </c>
      <c r="J609" t="s">
        <v>2772</v>
      </c>
      <c r="K609" t="s">
        <v>1492</v>
      </c>
      <c r="L609" t="s">
        <v>2788</v>
      </c>
      <c r="M609" t="s">
        <v>2561</v>
      </c>
      <c r="N609" t="s">
        <v>2580</v>
      </c>
      <c r="O609" t="s">
        <v>2601</v>
      </c>
      <c r="P609" t="s">
        <v>2554</v>
      </c>
      <c r="Q609" t="s">
        <v>2577</v>
      </c>
      <c r="R609" t="s">
        <v>2601</v>
      </c>
      <c r="S609" t="s">
        <v>2608</v>
      </c>
      <c r="T609">
        <v>1</v>
      </c>
      <c r="U609" s="2">
        <v>12355.9</v>
      </c>
      <c r="V609" s="3">
        <v>0</v>
      </c>
      <c r="W609" s="2">
        <v>12355.9</v>
      </c>
      <c r="X609" s="2">
        <v>2795.37</v>
      </c>
      <c r="Y609" s="3">
        <v>0.22623766783479959</v>
      </c>
      <c r="Z609" t="s">
        <v>1494</v>
      </c>
      <c r="AA609" t="s">
        <v>1499</v>
      </c>
      <c r="AB609" t="s">
        <v>1501</v>
      </c>
      <c r="AC609">
        <v>0</v>
      </c>
      <c r="AD609">
        <v>2025</v>
      </c>
      <c r="AE609" t="s">
        <v>2810</v>
      </c>
      <c r="AF609" t="s">
        <v>2834</v>
      </c>
      <c r="AG609" t="s">
        <v>2844</v>
      </c>
      <c r="AH609" t="s">
        <v>2848</v>
      </c>
      <c r="AI609">
        <v>1</v>
      </c>
    </row>
    <row r="610" spans="1:35" x14ac:dyDescent="0.3">
      <c r="A610" t="s">
        <v>590</v>
      </c>
      <c r="B610">
        <v>1</v>
      </c>
      <c r="C610" s="1">
        <v>45734</v>
      </c>
      <c r="D610" s="1">
        <v>45737</v>
      </c>
      <c r="E610" t="s">
        <v>965</v>
      </c>
      <c r="F610" t="s">
        <v>1685</v>
      </c>
      <c r="G610" t="s">
        <v>1371</v>
      </c>
      <c r="H610" t="s">
        <v>2671</v>
      </c>
      <c r="I610" t="s">
        <v>2739</v>
      </c>
      <c r="J610" t="s">
        <v>2756</v>
      </c>
      <c r="K610" t="s">
        <v>1480</v>
      </c>
      <c r="L610" t="s">
        <v>2789</v>
      </c>
      <c r="M610" t="s">
        <v>2569</v>
      </c>
      <c r="N610" t="s">
        <v>2587</v>
      </c>
      <c r="O610" t="s">
        <v>2604</v>
      </c>
      <c r="R610" t="s">
        <v>2790</v>
      </c>
      <c r="S610" t="s">
        <v>2608</v>
      </c>
      <c r="T610">
        <v>1</v>
      </c>
      <c r="U610" s="2">
        <v>5245.11</v>
      </c>
      <c r="V610" s="3">
        <v>0.25</v>
      </c>
      <c r="W610" s="2">
        <v>3933.83</v>
      </c>
      <c r="X610" s="2">
        <v>632.66999999999996</v>
      </c>
      <c r="Y610" s="3">
        <v>0.16082799714273369</v>
      </c>
      <c r="Z610" t="s">
        <v>1495</v>
      </c>
      <c r="AA610" t="s">
        <v>1499</v>
      </c>
      <c r="AB610" t="s">
        <v>1501</v>
      </c>
      <c r="AC610">
        <v>3</v>
      </c>
      <c r="AD610">
        <v>2025</v>
      </c>
      <c r="AE610" t="s">
        <v>2810</v>
      </c>
      <c r="AF610" t="s">
        <v>2834</v>
      </c>
      <c r="AG610" t="s">
        <v>2844</v>
      </c>
      <c r="AH610" t="s">
        <v>2848</v>
      </c>
      <c r="AI610">
        <v>1</v>
      </c>
    </row>
    <row r="611" spans="1:35" x14ac:dyDescent="0.3">
      <c r="A611" t="s">
        <v>591</v>
      </c>
      <c r="B611">
        <v>1</v>
      </c>
      <c r="C611" s="1">
        <v>45734</v>
      </c>
      <c r="D611" s="1">
        <v>45736</v>
      </c>
      <c r="E611" t="s">
        <v>1259</v>
      </c>
      <c r="F611" t="s">
        <v>1770</v>
      </c>
      <c r="G611" t="s">
        <v>1384</v>
      </c>
      <c r="H611" t="s">
        <v>2659</v>
      </c>
      <c r="I611" t="s">
        <v>2738</v>
      </c>
      <c r="J611" t="s">
        <v>2754</v>
      </c>
      <c r="K611" t="s">
        <v>1480</v>
      </c>
      <c r="L611" t="s">
        <v>2789</v>
      </c>
      <c r="M611" t="s">
        <v>2567</v>
      </c>
      <c r="N611" t="s">
        <v>2585</v>
      </c>
      <c r="O611" t="s">
        <v>2604</v>
      </c>
      <c r="R611" t="s">
        <v>2790</v>
      </c>
      <c r="S611" t="s">
        <v>2608</v>
      </c>
      <c r="T611">
        <v>1</v>
      </c>
      <c r="U611" s="2">
        <v>35937.699999999997</v>
      </c>
      <c r="V611" s="3">
        <v>0</v>
      </c>
      <c r="W611" s="2">
        <v>35937.699999999997</v>
      </c>
      <c r="X611" s="2">
        <v>10629.44</v>
      </c>
      <c r="Y611" s="3">
        <v>0.29577407569210051</v>
      </c>
      <c r="Z611" t="s">
        <v>1495</v>
      </c>
      <c r="AA611" t="s">
        <v>1498</v>
      </c>
      <c r="AB611" t="s">
        <v>1501</v>
      </c>
      <c r="AC611">
        <v>2</v>
      </c>
      <c r="AD611">
        <v>2025</v>
      </c>
      <c r="AE611" t="s">
        <v>2810</v>
      </c>
      <c r="AF611" t="s">
        <v>2834</v>
      </c>
      <c r="AG611" t="s">
        <v>2844</v>
      </c>
      <c r="AH611" t="s">
        <v>2848</v>
      </c>
      <c r="AI611">
        <v>1</v>
      </c>
    </row>
    <row r="612" spans="1:35" x14ac:dyDescent="0.3">
      <c r="A612" t="s">
        <v>592</v>
      </c>
      <c r="B612">
        <v>2</v>
      </c>
      <c r="C612" s="1">
        <v>45735</v>
      </c>
      <c r="D612" s="1">
        <v>45735</v>
      </c>
      <c r="E612" t="s">
        <v>1008</v>
      </c>
      <c r="F612" t="s">
        <v>1884</v>
      </c>
      <c r="G612" t="s">
        <v>1361</v>
      </c>
      <c r="H612" t="s">
        <v>2669</v>
      </c>
      <c r="I612" t="s">
        <v>2739</v>
      </c>
      <c r="J612" t="s">
        <v>2756</v>
      </c>
      <c r="K612" t="s">
        <v>1479</v>
      </c>
      <c r="L612" t="s">
        <v>2786</v>
      </c>
      <c r="M612" t="s">
        <v>2564</v>
      </c>
      <c r="N612" t="s">
        <v>2582</v>
      </c>
      <c r="O612" t="s">
        <v>2601</v>
      </c>
      <c r="P612" t="s">
        <v>2564</v>
      </c>
      <c r="Q612" t="s">
        <v>2582</v>
      </c>
      <c r="R612" t="s">
        <v>2601</v>
      </c>
      <c r="S612" t="s">
        <v>2606</v>
      </c>
      <c r="T612">
        <v>1</v>
      </c>
      <c r="U612" s="2">
        <v>4840.8599999999997</v>
      </c>
      <c r="V612" s="3">
        <v>0.05</v>
      </c>
      <c r="W612" s="2">
        <v>4598.82</v>
      </c>
      <c r="X612" s="2">
        <v>1193.4100000000001</v>
      </c>
      <c r="Y612" s="3">
        <v>0.25950352481723582</v>
      </c>
      <c r="Z612" t="s">
        <v>1496</v>
      </c>
      <c r="AA612" t="s">
        <v>1498</v>
      </c>
      <c r="AB612" t="s">
        <v>1501</v>
      </c>
      <c r="AC612">
        <v>0</v>
      </c>
      <c r="AD612">
        <v>2025</v>
      </c>
      <c r="AE612" t="s">
        <v>2810</v>
      </c>
      <c r="AF612" t="s">
        <v>2834</v>
      </c>
      <c r="AG612" t="s">
        <v>2844</v>
      </c>
      <c r="AH612" t="s">
        <v>2848</v>
      </c>
      <c r="AI612">
        <v>1</v>
      </c>
    </row>
    <row r="613" spans="1:35" x14ac:dyDescent="0.3">
      <c r="A613" t="s">
        <v>593</v>
      </c>
      <c r="B613">
        <v>1</v>
      </c>
      <c r="C613" s="1">
        <v>45736</v>
      </c>
      <c r="D613" s="1">
        <v>45736</v>
      </c>
      <c r="E613" t="s">
        <v>1260</v>
      </c>
      <c r="F613" t="s">
        <v>1750</v>
      </c>
      <c r="G613" t="s">
        <v>1342</v>
      </c>
      <c r="H613" t="s">
        <v>2623</v>
      </c>
      <c r="I613" t="s">
        <v>2737</v>
      </c>
      <c r="J613" t="s">
        <v>2745</v>
      </c>
      <c r="K613" t="s">
        <v>1490</v>
      </c>
      <c r="L613" t="s">
        <v>2784</v>
      </c>
      <c r="M613" t="s">
        <v>2560</v>
      </c>
      <c r="N613" t="s">
        <v>2579</v>
      </c>
      <c r="O613" t="s">
        <v>2604</v>
      </c>
      <c r="P613" t="s">
        <v>2567</v>
      </c>
      <c r="Q613" t="s">
        <v>2585</v>
      </c>
      <c r="R613" t="s">
        <v>2604</v>
      </c>
      <c r="S613" t="s">
        <v>2606</v>
      </c>
      <c r="T613">
        <v>1</v>
      </c>
      <c r="U613" s="2">
        <v>18924.84</v>
      </c>
      <c r="V613" s="3">
        <v>0</v>
      </c>
      <c r="W613" s="2">
        <v>18924.84</v>
      </c>
      <c r="X613" s="2">
        <v>2781.6</v>
      </c>
      <c r="Y613" s="3">
        <v>0.1469814275840641</v>
      </c>
      <c r="Z613" t="s">
        <v>1494</v>
      </c>
      <c r="AA613" t="s">
        <v>1498</v>
      </c>
      <c r="AB613" t="s">
        <v>1501</v>
      </c>
      <c r="AC613">
        <v>0</v>
      </c>
      <c r="AD613">
        <v>2025</v>
      </c>
      <c r="AE613" t="s">
        <v>2810</v>
      </c>
      <c r="AF613" t="s">
        <v>2834</v>
      </c>
      <c r="AG613" t="s">
        <v>2844</v>
      </c>
      <c r="AH613" t="s">
        <v>2848</v>
      </c>
      <c r="AI613">
        <v>1</v>
      </c>
    </row>
    <row r="614" spans="1:35" x14ac:dyDescent="0.3">
      <c r="A614" t="s">
        <v>594</v>
      </c>
      <c r="B614">
        <v>1</v>
      </c>
      <c r="C614" s="1">
        <v>45736</v>
      </c>
      <c r="E614" t="s">
        <v>1261</v>
      </c>
      <c r="F614" t="s">
        <v>1914</v>
      </c>
      <c r="G614" t="s">
        <v>1453</v>
      </c>
      <c r="H614" t="s">
        <v>2706</v>
      </c>
      <c r="I614" t="s">
        <v>2741</v>
      </c>
      <c r="J614" t="s">
        <v>2765</v>
      </c>
      <c r="K614" t="s">
        <v>1480</v>
      </c>
      <c r="L614" t="s">
        <v>2789</v>
      </c>
      <c r="M614" t="s">
        <v>2567</v>
      </c>
      <c r="N614" t="s">
        <v>2585</v>
      </c>
      <c r="O614" t="s">
        <v>2604</v>
      </c>
      <c r="R614" t="s">
        <v>2790</v>
      </c>
      <c r="S614" t="s">
        <v>2608</v>
      </c>
      <c r="T614">
        <v>2</v>
      </c>
      <c r="U614" s="2">
        <v>507.34</v>
      </c>
      <c r="V614" s="3">
        <v>0</v>
      </c>
      <c r="W614" s="2">
        <v>1014.68</v>
      </c>
      <c r="X614" s="2">
        <v>387.74</v>
      </c>
      <c r="Y614" s="3">
        <v>0.38213032680253878</v>
      </c>
      <c r="Z614" t="s">
        <v>1496</v>
      </c>
      <c r="AA614" t="s">
        <v>1498</v>
      </c>
      <c r="AB614" t="s">
        <v>1503</v>
      </c>
      <c r="AD614">
        <v>2025</v>
      </c>
      <c r="AE614" t="s">
        <v>2810</v>
      </c>
      <c r="AF614" t="s">
        <v>2834</v>
      </c>
      <c r="AG614" t="s">
        <v>2844</v>
      </c>
      <c r="AH614" t="s">
        <v>2848</v>
      </c>
      <c r="AI614">
        <v>1</v>
      </c>
    </row>
    <row r="615" spans="1:35" x14ac:dyDescent="0.3">
      <c r="A615" t="s">
        <v>595</v>
      </c>
      <c r="B615">
        <v>1</v>
      </c>
      <c r="C615" s="1">
        <v>45738</v>
      </c>
      <c r="D615" s="1">
        <v>45738</v>
      </c>
      <c r="E615" t="s">
        <v>1262</v>
      </c>
      <c r="F615" t="s">
        <v>1953</v>
      </c>
      <c r="G615" t="s">
        <v>1453</v>
      </c>
      <c r="H615" t="s">
        <v>2706</v>
      </c>
      <c r="I615" t="s">
        <v>2741</v>
      </c>
      <c r="J615" t="s">
        <v>2765</v>
      </c>
      <c r="K615" t="s">
        <v>1481</v>
      </c>
      <c r="L615" t="s">
        <v>2777</v>
      </c>
      <c r="M615" t="s">
        <v>2551</v>
      </c>
      <c r="N615" t="s">
        <v>2574</v>
      </c>
      <c r="O615" t="s">
        <v>2602</v>
      </c>
      <c r="P615" t="s">
        <v>2557</v>
      </c>
      <c r="Q615" t="s">
        <v>2576</v>
      </c>
      <c r="R615" t="s">
        <v>2602</v>
      </c>
      <c r="S615" t="s">
        <v>2606</v>
      </c>
      <c r="T615">
        <v>1</v>
      </c>
      <c r="U615" s="2">
        <v>507.34</v>
      </c>
      <c r="V615" s="3">
        <v>0.25</v>
      </c>
      <c r="W615" s="2">
        <v>380.5</v>
      </c>
      <c r="X615" s="2">
        <v>67.03</v>
      </c>
      <c r="Y615" s="3">
        <v>0.17616294349540079</v>
      </c>
      <c r="Z615" t="s">
        <v>1494</v>
      </c>
      <c r="AA615" t="s">
        <v>1498</v>
      </c>
      <c r="AB615" t="s">
        <v>1501</v>
      </c>
      <c r="AC615">
        <v>0</v>
      </c>
      <c r="AD615">
        <v>2025</v>
      </c>
      <c r="AE615" t="s">
        <v>2810</v>
      </c>
      <c r="AF615" t="s">
        <v>2834</v>
      </c>
      <c r="AG615" t="s">
        <v>2844</v>
      </c>
      <c r="AH615" t="s">
        <v>2848</v>
      </c>
      <c r="AI615">
        <v>1</v>
      </c>
    </row>
    <row r="616" spans="1:35" x14ac:dyDescent="0.3">
      <c r="A616" t="s">
        <v>596</v>
      </c>
      <c r="B616">
        <v>2</v>
      </c>
      <c r="C616" s="1">
        <v>45738</v>
      </c>
      <c r="D616" s="1">
        <v>45741</v>
      </c>
      <c r="E616" t="s">
        <v>1079</v>
      </c>
      <c r="F616" t="s">
        <v>1930</v>
      </c>
      <c r="G616" t="s">
        <v>1475</v>
      </c>
      <c r="H616" t="s">
        <v>2674</v>
      </c>
      <c r="I616" t="s">
        <v>2739</v>
      </c>
      <c r="J616" t="s">
        <v>2757</v>
      </c>
      <c r="K616" t="s">
        <v>1480</v>
      </c>
      <c r="L616" t="s">
        <v>2789</v>
      </c>
      <c r="M616" t="s">
        <v>2560</v>
      </c>
      <c r="N616" t="s">
        <v>2579</v>
      </c>
      <c r="O616" t="s">
        <v>2604</v>
      </c>
      <c r="R616" t="s">
        <v>2790</v>
      </c>
      <c r="S616" t="s">
        <v>2608</v>
      </c>
      <c r="T616">
        <v>1</v>
      </c>
      <c r="U616" s="2">
        <v>1132.19</v>
      </c>
      <c r="V616" s="3">
        <v>0</v>
      </c>
      <c r="W616" s="2">
        <v>1132.19</v>
      </c>
      <c r="X616" s="2">
        <v>469.78</v>
      </c>
      <c r="Y616" s="3">
        <v>0.41493035621229651</v>
      </c>
      <c r="Z616" t="s">
        <v>1494</v>
      </c>
      <c r="AA616" t="s">
        <v>1498</v>
      </c>
      <c r="AB616" t="s">
        <v>1501</v>
      </c>
      <c r="AC616">
        <v>3</v>
      </c>
      <c r="AD616">
        <v>2025</v>
      </c>
      <c r="AE616" t="s">
        <v>2810</v>
      </c>
      <c r="AF616" t="s">
        <v>2834</v>
      </c>
      <c r="AG616" t="s">
        <v>2844</v>
      </c>
      <c r="AH616" t="s">
        <v>2848</v>
      </c>
      <c r="AI616">
        <v>1</v>
      </c>
    </row>
    <row r="617" spans="1:35" x14ac:dyDescent="0.3">
      <c r="A617" t="s">
        <v>596</v>
      </c>
      <c r="B617">
        <v>3</v>
      </c>
      <c r="C617" s="1">
        <v>45738</v>
      </c>
      <c r="D617" s="1">
        <v>45741</v>
      </c>
      <c r="E617" t="s">
        <v>1079</v>
      </c>
      <c r="F617" t="s">
        <v>1930</v>
      </c>
      <c r="G617" t="s">
        <v>1395</v>
      </c>
      <c r="H617" t="s">
        <v>2727</v>
      </c>
      <c r="I617" t="s">
        <v>2742</v>
      </c>
      <c r="J617" t="s">
        <v>2771</v>
      </c>
      <c r="K617" t="s">
        <v>1480</v>
      </c>
      <c r="L617" t="s">
        <v>2789</v>
      </c>
      <c r="M617" t="s">
        <v>2560</v>
      </c>
      <c r="N617" t="s">
        <v>2579</v>
      </c>
      <c r="O617" t="s">
        <v>2604</v>
      </c>
      <c r="R617" t="s">
        <v>2790</v>
      </c>
      <c r="S617" t="s">
        <v>2608</v>
      </c>
      <c r="T617">
        <v>2</v>
      </c>
      <c r="U617" s="2">
        <v>5383.63</v>
      </c>
      <c r="V617" s="3">
        <v>0</v>
      </c>
      <c r="W617" s="2">
        <v>10767.26</v>
      </c>
      <c r="X617" s="2">
        <v>2350.08</v>
      </c>
      <c r="Y617" s="3">
        <v>0.2182616561687932</v>
      </c>
      <c r="Z617" t="s">
        <v>1494</v>
      </c>
      <c r="AA617" t="s">
        <v>1498</v>
      </c>
      <c r="AB617" t="s">
        <v>1501</v>
      </c>
      <c r="AC617">
        <v>3</v>
      </c>
      <c r="AD617">
        <v>2025</v>
      </c>
      <c r="AE617" t="s">
        <v>2810</v>
      </c>
      <c r="AF617" t="s">
        <v>2834</v>
      </c>
      <c r="AG617" t="s">
        <v>2844</v>
      </c>
      <c r="AH617" t="s">
        <v>2848</v>
      </c>
      <c r="AI617">
        <v>0</v>
      </c>
    </row>
    <row r="618" spans="1:35" x14ac:dyDescent="0.3">
      <c r="A618" t="s">
        <v>597</v>
      </c>
      <c r="B618">
        <v>1</v>
      </c>
      <c r="C618" s="1">
        <v>45738</v>
      </c>
      <c r="D618" s="1">
        <v>45741</v>
      </c>
      <c r="E618" t="s">
        <v>1256</v>
      </c>
      <c r="F618" t="s">
        <v>2002</v>
      </c>
      <c r="G618" t="s">
        <v>1471</v>
      </c>
      <c r="H618" t="s">
        <v>2637</v>
      </c>
      <c r="I618" t="s">
        <v>2737</v>
      </c>
      <c r="J618" t="s">
        <v>2747</v>
      </c>
      <c r="K618" t="s">
        <v>1480</v>
      </c>
      <c r="L618" t="s">
        <v>2789</v>
      </c>
      <c r="M618" t="s">
        <v>2550</v>
      </c>
      <c r="N618" t="s">
        <v>2573</v>
      </c>
      <c r="O618" t="s">
        <v>2601</v>
      </c>
      <c r="R618" t="s">
        <v>2790</v>
      </c>
      <c r="S618" t="s">
        <v>2606</v>
      </c>
      <c r="T618">
        <v>2</v>
      </c>
      <c r="U618" s="2">
        <v>31099.68</v>
      </c>
      <c r="V618" s="3">
        <v>0</v>
      </c>
      <c r="W618" s="2">
        <v>62199.360000000001</v>
      </c>
      <c r="X618" s="2">
        <v>6851.34</v>
      </c>
      <c r="Y618" s="3">
        <v>0.1101512941612261</v>
      </c>
      <c r="Z618" t="s">
        <v>1494</v>
      </c>
      <c r="AA618" t="s">
        <v>1498</v>
      </c>
      <c r="AB618" t="s">
        <v>1501</v>
      </c>
      <c r="AC618">
        <v>3</v>
      </c>
      <c r="AD618">
        <v>2025</v>
      </c>
      <c r="AE618" t="s">
        <v>2810</v>
      </c>
      <c r="AF618" t="s">
        <v>2834</v>
      </c>
      <c r="AG618" t="s">
        <v>2844</v>
      </c>
      <c r="AH618" t="s">
        <v>2848</v>
      </c>
      <c r="AI618">
        <v>1</v>
      </c>
    </row>
    <row r="619" spans="1:35" x14ac:dyDescent="0.3">
      <c r="A619" t="s">
        <v>598</v>
      </c>
      <c r="B619">
        <v>1</v>
      </c>
      <c r="C619" s="1">
        <v>45740</v>
      </c>
      <c r="D619" s="1">
        <v>45741</v>
      </c>
      <c r="E619" t="s">
        <v>1263</v>
      </c>
      <c r="F619" t="s">
        <v>1757</v>
      </c>
      <c r="G619" t="s">
        <v>1367</v>
      </c>
      <c r="H619" t="s">
        <v>2657</v>
      </c>
      <c r="I619" t="s">
        <v>2738</v>
      </c>
      <c r="J619" t="s">
        <v>2754</v>
      </c>
      <c r="K619" t="s">
        <v>1478</v>
      </c>
      <c r="L619" t="s">
        <v>2782</v>
      </c>
      <c r="M619" t="s">
        <v>2565</v>
      </c>
      <c r="N619" t="s">
        <v>2583</v>
      </c>
      <c r="O619" t="s">
        <v>2604</v>
      </c>
      <c r="P619" t="s">
        <v>2565</v>
      </c>
      <c r="Q619" t="s">
        <v>2583</v>
      </c>
      <c r="R619" t="s">
        <v>2604</v>
      </c>
      <c r="S619" t="s">
        <v>2607</v>
      </c>
      <c r="T619">
        <v>2</v>
      </c>
      <c r="U619" s="2">
        <v>27891.1</v>
      </c>
      <c r="V619" s="3">
        <v>0</v>
      </c>
      <c r="W619" s="2">
        <v>55782.2</v>
      </c>
      <c r="X619" s="2">
        <v>15685.08</v>
      </c>
      <c r="Y619" s="3">
        <v>0.28118432044630731</v>
      </c>
      <c r="Z619" t="s">
        <v>1496</v>
      </c>
      <c r="AA619" t="s">
        <v>1499</v>
      </c>
      <c r="AB619" t="s">
        <v>1501</v>
      </c>
      <c r="AC619">
        <v>1</v>
      </c>
      <c r="AD619">
        <v>2025</v>
      </c>
      <c r="AE619" t="s">
        <v>2810</v>
      </c>
      <c r="AF619" t="s">
        <v>2834</v>
      </c>
      <c r="AG619" t="s">
        <v>2844</v>
      </c>
      <c r="AH619" t="s">
        <v>2848</v>
      </c>
      <c r="AI619">
        <v>1</v>
      </c>
    </row>
    <row r="620" spans="1:35" x14ac:dyDescent="0.3">
      <c r="A620" t="s">
        <v>599</v>
      </c>
      <c r="B620">
        <v>1</v>
      </c>
      <c r="C620" s="1">
        <v>45740</v>
      </c>
      <c r="D620" s="1">
        <v>45740</v>
      </c>
      <c r="E620" t="s">
        <v>1145</v>
      </c>
      <c r="F620" t="s">
        <v>1805</v>
      </c>
      <c r="G620" t="s">
        <v>1333</v>
      </c>
      <c r="H620" t="s">
        <v>2620</v>
      </c>
      <c r="I620" t="s">
        <v>2737</v>
      </c>
      <c r="J620" t="s">
        <v>2744</v>
      </c>
      <c r="K620" t="s">
        <v>1492</v>
      </c>
      <c r="L620" t="s">
        <v>2788</v>
      </c>
      <c r="M620" t="s">
        <v>2564</v>
      </c>
      <c r="N620" t="s">
        <v>2582</v>
      </c>
      <c r="O620" t="s">
        <v>2601</v>
      </c>
      <c r="P620" t="s">
        <v>2554</v>
      </c>
      <c r="Q620" t="s">
        <v>2577</v>
      </c>
      <c r="R620" t="s">
        <v>2601</v>
      </c>
      <c r="S620" t="s">
        <v>2608</v>
      </c>
      <c r="T620">
        <v>1</v>
      </c>
      <c r="U620" s="2">
        <v>16375.46</v>
      </c>
      <c r="V620" s="3">
        <v>0.15</v>
      </c>
      <c r="W620" s="2">
        <v>13919.14</v>
      </c>
      <c r="X620" s="2">
        <v>-382.01</v>
      </c>
      <c r="Y620" s="3">
        <v>-2.7444942719162251E-2</v>
      </c>
      <c r="Z620" t="s">
        <v>1494</v>
      </c>
      <c r="AA620" t="s">
        <v>1499</v>
      </c>
      <c r="AB620" t="s">
        <v>1501</v>
      </c>
      <c r="AC620">
        <v>0</v>
      </c>
      <c r="AD620">
        <v>2025</v>
      </c>
      <c r="AE620" t="s">
        <v>2810</v>
      </c>
      <c r="AF620" t="s">
        <v>2834</v>
      </c>
      <c r="AG620" t="s">
        <v>2844</v>
      </c>
      <c r="AH620" t="s">
        <v>2848</v>
      </c>
      <c r="AI620">
        <v>1</v>
      </c>
    </row>
    <row r="621" spans="1:35" x14ac:dyDescent="0.3">
      <c r="A621" t="s">
        <v>600</v>
      </c>
      <c r="B621">
        <v>1</v>
      </c>
      <c r="C621" s="1">
        <v>45741</v>
      </c>
      <c r="D621" s="1">
        <v>45742</v>
      </c>
      <c r="E621" t="s">
        <v>1264</v>
      </c>
      <c r="F621" t="s">
        <v>1765</v>
      </c>
      <c r="G621" t="s">
        <v>1413</v>
      </c>
      <c r="H621" t="s">
        <v>2716</v>
      </c>
      <c r="I621" t="s">
        <v>2741</v>
      </c>
      <c r="J621" t="s">
        <v>2768</v>
      </c>
      <c r="K621" t="s">
        <v>1488</v>
      </c>
      <c r="L621" t="s">
        <v>2780</v>
      </c>
      <c r="M621" t="s">
        <v>2552</v>
      </c>
      <c r="N621" t="s">
        <v>2575</v>
      </c>
      <c r="O621" t="s">
        <v>2603</v>
      </c>
      <c r="P621" t="s">
        <v>2552</v>
      </c>
      <c r="Q621" t="s">
        <v>2575</v>
      </c>
      <c r="R621" t="s">
        <v>2603</v>
      </c>
      <c r="S621" t="s">
        <v>2608</v>
      </c>
      <c r="T621">
        <v>1</v>
      </c>
      <c r="U621" s="2">
        <v>771.89</v>
      </c>
      <c r="V621" s="3">
        <v>0</v>
      </c>
      <c r="W621" s="2">
        <v>771.89</v>
      </c>
      <c r="X621" s="2">
        <v>220.44</v>
      </c>
      <c r="Y621" s="3">
        <v>0.28558473357602759</v>
      </c>
      <c r="Z621" t="s">
        <v>1493</v>
      </c>
      <c r="AA621" t="s">
        <v>1498</v>
      </c>
      <c r="AB621" t="s">
        <v>1501</v>
      </c>
      <c r="AC621">
        <v>1</v>
      </c>
      <c r="AD621">
        <v>2025</v>
      </c>
      <c r="AE621" t="s">
        <v>2810</v>
      </c>
      <c r="AF621" t="s">
        <v>2834</v>
      </c>
      <c r="AG621" t="s">
        <v>2844</v>
      </c>
      <c r="AH621" t="s">
        <v>2848</v>
      </c>
      <c r="AI621">
        <v>1</v>
      </c>
    </row>
    <row r="622" spans="1:35" x14ac:dyDescent="0.3">
      <c r="A622" t="s">
        <v>601</v>
      </c>
      <c r="B622">
        <v>1</v>
      </c>
      <c r="C622" s="1">
        <v>45741</v>
      </c>
      <c r="D622" s="1">
        <v>45743</v>
      </c>
      <c r="E622" t="s">
        <v>1154</v>
      </c>
      <c r="F622" t="s">
        <v>1761</v>
      </c>
      <c r="G622" t="s">
        <v>1418</v>
      </c>
      <c r="H622" t="s">
        <v>2648</v>
      </c>
      <c r="I622" t="s">
        <v>2738</v>
      </c>
      <c r="J622" t="s">
        <v>2751</v>
      </c>
      <c r="K622" t="s">
        <v>1480</v>
      </c>
      <c r="L622" t="s">
        <v>2789</v>
      </c>
      <c r="M622" t="s">
        <v>2558</v>
      </c>
      <c r="N622" t="s">
        <v>2558</v>
      </c>
      <c r="O622" t="s">
        <v>2603</v>
      </c>
      <c r="R622" t="s">
        <v>2790</v>
      </c>
      <c r="S622" t="s">
        <v>2606</v>
      </c>
      <c r="T622">
        <v>1</v>
      </c>
      <c r="U622" s="2">
        <v>30604.9</v>
      </c>
      <c r="V622" s="3">
        <v>0</v>
      </c>
      <c r="W622" s="2">
        <v>30604.9</v>
      </c>
      <c r="X622" s="2">
        <v>7928.17</v>
      </c>
      <c r="Y622" s="3">
        <v>0.25904904116661048</v>
      </c>
      <c r="Z622" t="s">
        <v>1496</v>
      </c>
      <c r="AA622" t="s">
        <v>1499</v>
      </c>
      <c r="AB622" t="s">
        <v>1501</v>
      </c>
      <c r="AC622">
        <v>2</v>
      </c>
      <c r="AD622">
        <v>2025</v>
      </c>
      <c r="AE622" t="s">
        <v>2810</v>
      </c>
      <c r="AF622" t="s">
        <v>2834</v>
      </c>
      <c r="AG622" t="s">
        <v>2844</v>
      </c>
      <c r="AH622" t="s">
        <v>2848</v>
      </c>
      <c r="AI622">
        <v>1</v>
      </c>
    </row>
    <row r="623" spans="1:35" x14ac:dyDescent="0.3">
      <c r="A623" t="s">
        <v>601</v>
      </c>
      <c r="B623">
        <v>2</v>
      </c>
      <c r="C623" s="1">
        <v>45741</v>
      </c>
      <c r="D623" s="1">
        <v>45743</v>
      </c>
      <c r="E623" t="s">
        <v>1154</v>
      </c>
      <c r="F623" t="s">
        <v>1761</v>
      </c>
      <c r="G623" t="s">
        <v>1341</v>
      </c>
      <c r="H623" t="s">
        <v>2678</v>
      </c>
      <c r="I623" t="s">
        <v>2739</v>
      </c>
      <c r="J623" t="s">
        <v>2758</v>
      </c>
      <c r="K623" t="s">
        <v>1480</v>
      </c>
      <c r="L623" t="s">
        <v>2789</v>
      </c>
      <c r="M623" t="s">
        <v>2558</v>
      </c>
      <c r="N623" t="s">
        <v>2558</v>
      </c>
      <c r="O623" t="s">
        <v>2603</v>
      </c>
      <c r="R623" t="s">
        <v>2790</v>
      </c>
      <c r="S623" t="s">
        <v>2606</v>
      </c>
      <c r="T623">
        <v>1</v>
      </c>
      <c r="U623" s="2">
        <v>1648.45</v>
      </c>
      <c r="V623" s="3">
        <v>0</v>
      </c>
      <c r="W623" s="2">
        <v>1648.45</v>
      </c>
      <c r="X623" s="2">
        <v>494.33</v>
      </c>
      <c r="Y623" s="3">
        <v>0.29987564075343498</v>
      </c>
      <c r="Z623" t="s">
        <v>1496</v>
      </c>
      <c r="AA623" t="s">
        <v>1499</v>
      </c>
      <c r="AB623" t="s">
        <v>1501</v>
      </c>
      <c r="AC623">
        <v>2</v>
      </c>
      <c r="AD623">
        <v>2025</v>
      </c>
      <c r="AE623" t="s">
        <v>2810</v>
      </c>
      <c r="AF623" t="s">
        <v>2834</v>
      </c>
      <c r="AG623" t="s">
        <v>2844</v>
      </c>
      <c r="AH623" t="s">
        <v>2848</v>
      </c>
      <c r="AI623">
        <v>0</v>
      </c>
    </row>
    <row r="624" spans="1:35" x14ac:dyDescent="0.3">
      <c r="A624" t="s">
        <v>602</v>
      </c>
      <c r="B624">
        <v>1</v>
      </c>
      <c r="C624" s="1">
        <v>45741</v>
      </c>
      <c r="D624" s="1">
        <v>45741</v>
      </c>
      <c r="E624" t="s">
        <v>981</v>
      </c>
      <c r="F624" t="s">
        <v>1714</v>
      </c>
      <c r="G624" t="s">
        <v>1402</v>
      </c>
      <c r="H624" t="s">
        <v>2690</v>
      </c>
      <c r="I624" t="s">
        <v>2740</v>
      </c>
      <c r="J624" t="s">
        <v>2761</v>
      </c>
      <c r="K624" t="s">
        <v>1485</v>
      </c>
      <c r="L624" t="s">
        <v>2775</v>
      </c>
      <c r="M624" t="s">
        <v>2562</v>
      </c>
      <c r="N624" t="s">
        <v>2574</v>
      </c>
      <c r="O624" t="s">
        <v>2602</v>
      </c>
      <c r="P624" t="s">
        <v>2562</v>
      </c>
      <c r="Q624" t="s">
        <v>2574</v>
      </c>
      <c r="R624" t="s">
        <v>2602</v>
      </c>
      <c r="S624" t="s">
        <v>2607</v>
      </c>
      <c r="T624">
        <v>2</v>
      </c>
      <c r="U624" s="2">
        <v>1419.44</v>
      </c>
      <c r="V624" s="3">
        <v>0</v>
      </c>
      <c r="W624" s="2">
        <v>2838.88</v>
      </c>
      <c r="X624" s="2">
        <v>213.88</v>
      </c>
      <c r="Y624" s="3">
        <v>7.5339570534858818E-2</v>
      </c>
      <c r="Z624" t="s">
        <v>1493</v>
      </c>
      <c r="AA624" t="s">
        <v>1498</v>
      </c>
      <c r="AB624" t="s">
        <v>1501</v>
      </c>
      <c r="AC624">
        <v>0</v>
      </c>
      <c r="AD624">
        <v>2025</v>
      </c>
      <c r="AE624" t="s">
        <v>2810</v>
      </c>
      <c r="AF624" t="s">
        <v>2834</v>
      </c>
      <c r="AG624" t="s">
        <v>2844</v>
      </c>
      <c r="AH624" t="s">
        <v>2848</v>
      </c>
      <c r="AI624">
        <v>1</v>
      </c>
    </row>
    <row r="625" spans="1:35" x14ac:dyDescent="0.3">
      <c r="A625" t="s">
        <v>603</v>
      </c>
      <c r="B625">
        <v>1</v>
      </c>
      <c r="C625" s="1">
        <v>45743</v>
      </c>
      <c r="E625" t="s">
        <v>1209</v>
      </c>
      <c r="F625" t="s">
        <v>1800</v>
      </c>
      <c r="G625" t="s">
        <v>1371</v>
      </c>
      <c r="H625" t="s">
        <v>2671</v>
      </c>
      <c r="I625" t="s">
        <v>2739</v>
      </c>
      <c r="J625" t="s">
        <v>2756</v>
      </c>
      <c r="K625" t="s">
        <v>1490</v>
      </c>
      <c r="L625" t="s">
        <v>2784</v>
      </c>
      <c r="M625" t="s">
        <v>2567</v>
      </c>
      <c r="N625" t="s">
        <v>2585</v>
      </c>
      <c r="O625" t="s">
        <v>2604</v>
      </c>
      <c r="P625" t="s">
        <v>2567</v>
      </c>
      <c r="Q625" t="s">
        <v>2585</v>
      </c>
      <c r="R625" t="s">
        <v>2604</v>
      </c>
      <c r="S625" t="s">
        <v>2608</v>
      </c>
      <c r="T625">
        <v>1</v>
      </c>
      <c r="U625" s="2">
        <v>5245.11</v>
      </c>
      <c r="V625" s="3">
        <v>0</v>
      </c>
      <c r="W625" s="2">
        <v>5245.11</v>
      </c>
      <c r="X625" s="2">
        <v>1943.95</v>
      </c>
      <c r="Y625" s="3">
        <v>0.37062139783531711</v>
      </c>
      <c r="Z625" t="s">
        <v>1494</v>
      </c>
      <c r="AA625" t="s">
        <v>1499</v>
      </c>
      <c r="AB625" t="s">
        <v>1503</v>
      </c>
      <c r="AD625">
        <v>2025</v>
      </c>
      <c r="AE625" t="s">
        <v>2810</v>
      </c>
      <c r="AF625" t="s">
        <v>2834</v>
      </c>
      <c r="AG625" t="s">
        <v>2844</v>
      </c>
      <c r="AH625" t="s">
        <v>2848</v>
      </c>
      <c r="AI625">
        <v>1</v>
      </c>
    </row>
    <row r="626" spans="1:35" x14ac:dyDescent="0.3">
      <c r="A626" t="s">
        <v>604</v>
      </c>
      <c r="B626">
        <v>2</v>
      </c>
      <c r="C626" s="1">
        <v>45744</v>
      </c>
      <c r="D626" s="1">
        <v>45745</v>
      </c>
      <c r="E626" t="s">
        <v>1265</v>
      </c>
      <c r="F626" t="s">
        <v>1988</v>
      </c>
      <c r="G626" t="s">
        <v>1366</v>
      </c>
      <c r="H626" t="s">
        <v>2694</v>
      </c>
      <c r="I626" t="s">
        <v>2740</v>
      </c>
      <c r="J626" t="s">
        <v>2762</v>
      </c>
      <c r="K626" t="s">
        <v>1490</v>
      </c>
      <c r="L626" t="s">
        <v>2784</v>
      </c>
      <c r="M626" t="s">
        <v>2565</v>
      </c>
      <c r="N626" t="s">
        <v>2583</v>
      </c>
      <c r="O626" t="s">
        <v>2604</v>
      </c>
      <c r="P626" t="s">
        <v>2567</v>
      </c>
      <c r="Q626" t="s">
        <v>2585</v>
      </c>
      <c r="R626" t="s">
        <v>2604</v>
      </c>
      <c r="S626" t="s">
        <v>2606</v>
      </c>
      <c r="T626">
        <v>1</v>
      </c>
      <c r="U626" s="2">
        <v>1397.64</v>
      </c>
      <c r="V626" s="3">
        <v>0.1</v>
      </c>
      <c r="W626" s="2">
        <v>1257.8800000000001</v>
      </c>
      <c r="X626" s="2">
        <v>-53.14</v>
      </c>
      <c r="Y626" s="3">
        <v>-4.224568321302509E-2</v>
      </c>
      <c r="Z626" t="s">
        <v>1494</v>
      </c>
      <c r="AA626" t="s">
        <v>1498</v>
      </c>
      <c r="AB626" t="s">
        <v>1501</v>
      </c>
      <c r="AC626">
        <v>1</v>
      </c>
      <c r="AD626">
        <v>2025</v>
      </c>
      <c r="AE626" t="s">
        <v>2810</v>
      </c>
      <c r="AF626" t="s">
        <v>2834</v>
      </c>
      <c r="AG626" t="s">
        <v>2844</v>
      </c>
      <c r="AH626" t="s">
        <v>2848</v>
      </c>
      <c r="AI626">
        <v>1</v>
      </c>
    </row>
    <row r="627" spans="1:35" x14ac:dyDescent="0.3">
      <c r="A627" t="s">
        <v>605</v>
      </c>
      <c r="B627">
        <v>1</v>
      </c>
      <c r="C627" s="1">
        <v>45744</v>
      </c>
      <c r="D627" s="1">
        <v>45744</v>
      </c>
      <c r="E627" t="s">
        <v>972</v>
      </c>
      <c r="F627" t="s">
        <v>1806</v>
      </c>
      <c r="G627" t="s">
        <v>1418</v>
      </c>
      <c r="H627" t="s">
        <v>2648</v>
      </c>
      <c r="I627" t="s">
        <v>2738</v>
      </c>
      <c r="J627" t="s">
        <v>2751</v>
      </c>
      <c r="K627" t="s">
        <v>1483</v>
      </c>
      <c r="L627" t="s">
        <v>2781</v>
      </c>
      <c r="M627" t="s">
        <v>2555</v>
      </c>
      <c r="N627" t="s">
        <v>2578</v>
      </c>
      <c r="O627" t="s">
        <v>2603</v>
      </c>
      <c r="P627" t="s">
        <v>2568</v>
      </c>
      <c r="Q627" t="s">
        <v>2586</v>
      </c>
      <c r="R627" t="s">
        <v>2603</v>
      </c>
      <c r="S627" t="s">
        <v>2606</v>
      </c>
      <c r="T627">
        <v>1</v>
      </c>
      <c r="U627" s="2">
        <v>30604.9</v>
      </c>
      <c r="V627" s="3">
        <v>0.05</v>
      </c>
      <c r="W627" s="2">
        <v>29074.65</v>
      </c>
      <c r="X627" s="2">
        <v>6397.92</v>
      </c>
      <c r="Y627" s="3">
        <v>0.22005148815205</v>
      </c>
      <c r="Z627" t="s">
        <v>1493</v>
      </c>
      <c r="AA627" t="s">
        <v>1498</v>
      </c>
      <c r="AB627" t="s">
        <v>1501</v>
      </c>
      <c r="AC627">
        <v>0</v>
      </c>
      <c r="AD627">
        <v>2025</v>
      </c>
      <c r="AE627" t="s">
        <v>2810</v>
      </c>
      <c r="AF627" t="s">
        <v>2834</v>
      </c>
      <c r="AG627" t="s">
        <v>2844</v>
      </c>
      <c r="AH627" t="s">
        <v>2848</v>
      </c>
      <c r="AI627">
        <v>1</v>
      </c>
    </row>
    <row r="628" spans="1:35" x14ac:dyDescent="0.3">
      <c r="A628" t="s">
        <v>606</v>
      </c>
      <c r="B628">
        <v>1</v>
      </c>
      <c r="C628" s="1">
        <v>45745</v>
      </c>
      <c r="E628" t="s">
        <v>1266</v>
      </c>
      <c r="F628" t="s">
        <v>1826</v>
      </c>
      <c r="G628" t="s">
        <v>1357</v>
      </c>
      <c r="H628" t="s">
        <v>2689</v>
      </c>
      <c r="I628" t="s">
        <v>2740</v>
      </c>
      <c r="J628" t="s">
        <v>2760</v>
      </c>
      <c r="K628" t="s">
        <v>1479</v>
      </c>
      <c r="L628" t="s">
        <v>2786</v>
      </c>
      <c r="M628" t="s">
        <v>2554</v>
      </c>
      <c r="N628" t="s">
        <v>2597</v>
      </c>
      <c r="O628" t="s">
        <v>2601</v>
      </c>
      <c r="P628" t="s">
        <v>2564</v>
      </c>
      <c r="Q628" t="s">
        <v>2582</v>
      </c>
      <c r="R628" t="s">
        <v>2601</v>
      </c>
      <c r="S628" t="s">
        <v>2608</v>
      </c>
      <c r="T628">
        <v>2</v>
      </c>
      <c r="U628" s="2">
        <v>986.91</v>
      </c>
      <c r="V628" s="3">
        <v>0.2</v>
      </c>
      <c r="W628" s="2">
        <v>1579.06</v>
      </c>
      <c r="X628" s="2">
        <v>-137.30000000000001</v>
      </c>
      <c r="Y628" s="3">
        <v>-8.6950464200220401E-2</v>
      </c>
      <c r="Z628" t="s">
        <v>1495</v>
      </c>
      <c r="AA628" t="s">
        <v>1498</v>
      </c>
      <c r="AB628" t="s">
        <v>1503</v>
      </c>
      <c r="AD628">
        <v>2025</v>
      </c>
      <c r="AE628" t="s">
        <v>2810</v>
      </c>
      <c r="AF628" t="s">
        <v>2834</v>
      </c>
      <c r="AG628" t="s">
        <v>2844</v>
      </c>
      <c r="AH628" t="s">
        <v>2848</v>
      </c>
      <c r="AI628">
        <v>1</v>
      </c>
    </row>
    <row r="629" spans="1:35" x14ac:dyDescent="0.3">
      <c r="A629" t="s">
        <v>607</v>
      </c>
      <c r="B629">
        <v>1</v>
      </c>
      <c r="C629" s="1">
        <v>45747</v>
      </c>
      <c r="D629" s="1">
        <v>45748</v>
      </c>
      <c r="E629" t="s">
        <v>980</v>
      </c>
      <c r="F629" t="s">
        <v>1894</v>
      </c>
      <c r="G629" t="s">
        <v>1341</v>
      </c>
      <c r="H629" t="s">
        <v>2678</v>
      </c>
      <c r="I629" t="s">
        <v>2739</v>
      </c>
      <c r="J629" t="s">
        <v>2758</v>
      </c>
      <c r="K629" t="s">
        <v>1487</v>
      </c>
      <c r="L629" t="s">
        <v>2785</v>
      </c>
      <c r="M629" t="s">
        <v>2561</v>
      </c>
      <c r="N629" t="s">
        <v>2580</v>
      </c>
      <c r="O629" t="s">
        <v>2601</v>
      </c>
      <c r="P629" t="s">
        <v>2550</v>
      </c>
      <c r="Q629" t="s">
        <v>2573</v>
      </c>
      <c r="R629" t="s">
        <v>2601</v>
      </c>
      <c r="S629" t="s">
        <v>2606</v>
      </c>
      <c r="T629">
        <v>1</v>
      </c>
      <c r="U629" s="2">
        <v>1648.45</v>
      </c>
      <c r="V629" s="3">
        <v>0</v>
      </c>
      <c r="W629" s="2">
        <v>1648.45</v>
      </c>
      <c r="X629" s="2">
        <v>494.33</v>
      </c>
      <c r="Y629" s="3">
        <v>0.29987564075343498</v>
      </c>
      <c r="Z629" t="s">
        <v>1494</v>
      </c>
      <c r="AA629" t="s">
        <v>1498</v>
      </c>
      <c r="AB629" t="s">
        <v>1501</v>
      </c>
      <c r="AC629">
        <v>1</v>
      </c>
      <c r="AD629">
        <v>2025</v>
      </c>
      <c r="AE629" t="s">
        <v>2810</v>
      </c>
      <c r="AF629" t="s">
        <v>2834</v>
      </c>
      <c r="AG629" t="s">
        <v>2844</v>
      </c>
      <c r="AH629" t="s">
        <v>2848</v>
      </c>
      <c r="AI629">
        <v>1</v>
      </c>
    </row>
    <row r="630" spans="1:35" x14ac:dyDescent="0.3">
      <c r="A630" t="s">
        <v>608</v>
      </c>
      <c r="B630">
        <v>1</v>
      </c>
      <c r="C630" s="1">
        <v>45747</v>
      </c>
      <c r="D630" s="1">
        <v>45750</v>
      </c>
      <c r="E630" t="s">
        <v>1079</v>
      </c>
      <c r="F630" t="s">
        <v>1930</v>
      </c>
      <c r="G630" t="s">
        <v>1380</v>
      </c>
      <c r="H630" t="s">
        <v>2701</v>
      </c>
      <c r="I630" t="s">
        <v>2740</v>
      </c>
      <c r="J630" t="s">
        <v>2764</v>
      </c>
      <c r="K630" t="s">
        <v>1480</v>
      </c>
      <c r="L630" t="s">
        <v>2789</v>
      </c>
      <c r="M630" t="s">
        <v>2560</v>
      </c>
      <c r="N630" t="s">
        <v>2579</v>
      </c>
      <c r="O630" t="s">
        <v>2604</v>
      </c>
      <c r="R630" t="s">
        <v>2790</v>
      </c>
      <c r="S630" t="s">
        <v>2608</v>
      </c>
      <c r="T630">
        <v>2</v>
      </c>
      <c r="U630" s="2">
        <v>694.66</v>
      </c>
      <c r="V630" s="3">
        <v>0</v>
      </c>
      <c r="W630" s="2">
        <v>1389.32</v>
      </c>
      <c r="X630" s="2">
        <v>184.14</v>
      </c>
      <c r="Y630" s="3">
        <v>0.1325396596896323</v>
      </c>
      <c r="Z630" t="s">
        <v>1496</v>
      </c>
      <c r="AA630" t="s">
        <v>1499</v>
      </c>
      <c r="AB630" t="s">
        <v>1501</v>
      </c>
      <c r="AC630">
        <v>3</v>
      </c>
      <c r="AD630">
        <v>2025</v>
      </c>
      <c r="AE630" t="s">
        <v>2810</v>
      </c>
      <c r="AF630" t="s">
        <v>2834</v>
      </c>
      <c r="AG630" t="s">
        <v>2844</v>
      </c>
      <c r="AH630" t="s">
        <v>2848</v>
      </c>
      <c r="AI630">
        <v>1</v>
      </c>
    </row>
    <row r="631" spans="1:35" x14ac:dyDescent="0.3">
      <c r="A631" t="s">
        <v>609</v>
      </c>
      <c r="B631">
        <v>2</v>
      </c>
      <c r="C631" s="1">
        <v>45749</v>
      </c>
      <c r="D631" s="1">
        <v>45749</v>
      </c>
      <c r="E631" t="s">
        <v>1066</v>
      </c>
      <c r="F631" t="s">
        <v>1808</v>
      </c>
      <c r="G631" t="s">
        <v>1475</v>
      </c>
      <c r="H631" t="s">
        <v>2674</v>
      </c>
      <c r="I631" t="s">
        <v>2739</v>
      </c>
      <c r="J631" t="s">
        <v>2757</v>
      </c>
      <c r="K631" t="s">
        <v>1481</v>
      </c>
      <c r="L631" t="s">
        <v>2777</v>
      </c>
      <c r="M631" t="s">
        <v>2551</v>
      </c>
      <c r="N631" t="s">
        <v>2574</v>
      </c>
      <c r="O631" t="s">
        <v>2602</v>
      </c>
      <c r="P631" t="s">
        <v>2557</v>
      </c>
      <c r="Q631" t="s">
        <v>2576</v>
      </c>
      <c r="R631" t="s">
        <v>2602</v>
      </c>
      <c r="S631" t="s">
        <v>2607</v>
      </c>
      <c r="T631">
        <v>3</v>
      </c>
      <c r="U631" s="2">
        <v>1132.19</v>
      </c>
      <c r="V631" s="3">
        <v>0</v>
      </c>
      <c r="W631" s="2">
        <v>3396.57</v>
      </c>
      <c r="X631" s="2">
        <v>1409.34</v>
      </c>
      <c r="Y631" s="3">
        <v>0.41493035621229651</v>
      </c>
      <c r="Z631" t="s">
        <v>1497</v>
      </c>
      <c r="AA631" t="s">
        <v>1498</v>
      </c>
      <c r="AB631" t="s">
        <v>1501</v>
      </c>
      <c r="AC631">
        <v>0</v>
      </c>
      <c r="AD631">
        <v>2025</v>
      </c>
      <c r="AE631" t="s">
        <v>2811</v>
      </c>
      <c r="AF631" t="s">
        <v>2835</v>
      </c>
      <c r="AG631" t="s">
        <v>2845</v>
      </c>
      <c r="AH631" t="s">
        <v>2848</v>
      </c>
      <c r="AI631">
        <v>1</v>
      </c>
    </row>
    <row r="632" spans="1:35" x14ac:dyDescent="0.3">
      <c r="A632" t="s">
        <v>610</v>
      </c>
      <c r="B632">
        <v>1</v>
      </c>
      <c r="C632" s="1">
        <v>45750</v>
      </c>
      <c r="D632" s="1">
        <v>45750</v>
      </c>
      <c r="E632" t="s">
        <v>1189</v>
      </c>
      <c r="F632" t="s">
        <v>1731</v>
      </c>
      <c r="G632" t="s">
        <v>1419</v>
      </c>
      <c r="H632" t="s">
        <v>2619</v>
      </c>
      <c r="I632" t="s">
        <v>2737</v>
      </c>
      <c r="J632" t="s">
        <v>2744</v>
      </c>
      <c r="K632" t="s">
        <v>1488</v>
      </c>
      <c r="L632" t="s">
        <v>2780</v>
      </c>
      <c r="M632" t="s">
        <v>2568</v>
      </c>
      <c r="N632" t="s">
        <v>2586</v>
      </c>
      <c r="O632" t="s">
        <v>2603</v>
      </c>
      <c r="P632" t="s">
        <v>2552</v>
      </c>
      <c r="Q632" t="s">
        <v>2575</v>
      </c>
      <c r="R632" t="s">
        <v>2603</v>
      </c>
      <c r="S632" t="s">
        <v>2606</v>
      </c>
      <c r="T632">
        <v>1</v>
      </c>
      <c r="U632" s="2">
        <v>29006.55</v>
      </c>
      <c r="V632" s="3">
        <v>0</v>
      </c>
      <c r="W632" s="2">
        <v>29006.55</v>
      </c>
      <c r="X632" s="2">
        <v>5136.18</v>
      </c>
      <c r="Y632" s="3">
        <v>0.1770696618522368</v>
      </c>
      <c r="Z632" t="s">
        <v>1495</v>
      </c>
      <c r="AA632" t="s">
        <v>1499</v>
      </c>
      <c r="AB632" t="s">
        <v>1501</v>
      </c>
      <c r="AC632">
        <v>0</v>
      </c>
      <c r="AD632">
        <v>2025</v>
      </c>
      <c r="AE632" t="s">
        <v>2811</v>
      </c>
      <c r="AF632" t="s">
        <v>2835</v>
      </c>
      <c r="AG632" t="s">
        <v>2845</v>
      </c>
      <c r="AH632" t="s">
        <v>2848</v>
      </c>
      <c r="AI632">
        <v>1</v>
      </c>
    </row>
    <row r="633" spans="1:35" x14ac:dyDescent="0.3">
      <c r="A633" t="s">
        <v>611</v>
      </c>
      <c r="B633">
        <v>1</v>
      </c>
      <c r="C633" s="1">
        <v>45750</v>
      </c>
      <c r="D633" s="1">
        <v>45751</v>
      </c>
      <c r="E633" t="s">
        <v>1029</v>
      </c>
      <c r="F633" t="s">
        <v>1725</v>
      </c>
      <c r="G633" t="s">
        <v>1412</v>
      </c>
      <c r="H633" t="s">
        <v>2615</v>
      </c>
      <c r="I633" t="s">
        <v>2737</v>
      </c>
      <c r="J633" t="s">
        <v>2743</v>
      </c>
      <c r="K633" t="s">
        <v>1480</v>
      </c>
      <c r="L633" t="s">
        <v>2789</v>
      </c>
      <c r="M633" t="s">
        <v>2560</v>
      </c>
      <c r="N633" t="s">
        <v>2579</v>
      </c>
      <c r="O633" t="s">
        <v>2604</v>
      </c>
      <c r="R633" t="s">
        <v>2790</v>
      </c>
      <c r="S633" t="s">
        <v>2607</v>
      </c>
      <c r="T633">
        <v>1</v>
      </c>
      <c r="U633" s="2">
        <v>78073.17</v>
      </c>
      <c r="V633" s="3">
        <v>0</v>
      </c>
      <c r="W633" s="2">
        <v>78073.17</v>
      </c>
      <c r="X633" s="2">
        <v>12188.31</v>
      </c>
      <c r="Y633" s="3">
        <v>0.15611393773302659</v>
      </c>
      <c r="Z633" t="s">
        <v>1494</v>
      </c>
      <c r="AA633" t="s">
        <v>1498</v>
      </c>
      <c r="AB633" t="s">
        <v>1501</v>
      </c>
      <c r="AC633">
        <v>1</v>
      </c>
      <c r="AD633">
        <v>2025</v>
      </c>
      <c r="AE633" t="s">
        <v>2811</v>
      </c>
      <c r="AF633" t="s">
        <v>2835</v>
      </c>
      <c r="AG633" t="s">
        <v>2845</v>
      </c>
      <c r="AH633" t="s">
        <v>2848</v>
      </c>
      <c r="AI633">
        <v>1</v>
      </c>
    </row>
    <row r="634" spans="1:35" x14ac:dyDescent="0.3">
      <c r="A634" t="s">
        <v>612</v>
      </c>
      <c r="B634">
        <v>1</v>
      </c>
      <c r="C634" s="1">
        <v>45751</v>
      </c>
      <c r="D634" s="1">
        <v>45754</v>
      </c>
      <c r="E634" t="s">
        <v>1267</v>
      </c>
      <c r="F634" t="s">
        <v>1660</v>
      </c>
      <c r="G634" t="s">
        <v>1392</v>
      </c>
      <c r="H634" t="s">
        <v>2655</v>
      </c>
      <c r="I634" t="s">
        <v>2738</v>
      </c>
      <c r="J634" t="s">
        <v>2753</v>
      </c>
      <c r="K634" t="s">
        <v>1480</v>
      </c>
      <c r="L634" t="s">
        <v>2789</v>
      </c>
      <c r="M634" t="s">
        <v>2559</v>
      </c>
      <c r="N634" t="s">
        <v>2559</v>
      </c>
      <c r="O634" t="s">
        <v>2603</v>
      </c>
      <c r="R634" t="s">
        <v>2790</v>
      </c>
      <c r="S634" t="s">
        <v>2607</v>
      </c>
      <c r="T634">
        <v>1</v>
      </c>
      <c r="U634" s="2">
        <v>17688.330000000002</v>
      </c>
      <c r="V634" s="3">
        <v>0</v>
      </c>
      <c r="W634" s="2">
        <v>17688.330000000002</v>
      </c>
      <c r="X634" s="2">
        <v>2903.89</v>
      </c>
      <c r="Y634" s="3">
        <v>0.16416982270231281</v>
      </c>
      <c r="Z634" t="s">
        <v>1495</v>
      </c>
      <c r="AA634" t="s">
        <v>1499</v>
      </c>
      <c r="AB634" t="s">
        <v>1501</v>
      </c>
      <c r="AC634">
        <v>3</v>
      </c>
      <c r="AD634">
        <v>2025</v>
      </c>
      <c r="AE634" t="s">
        <v>2811</v>
      </c>
      <c r="AF634" t="s">
        <v>2835</v>
      </c>
      <c r="AG634" t="s">
        <v>2845</v>
      </c>
      <c r="AH634" t="s">
        <v>2848</v>
      </c>
      <c r="AI634">
        <v>1</v>
      </c>
    </row>
    <row r="635" spans="1:35" x14ac:dyDescent="0.3">
      <c r="A635" t="s">
        <v>613</v>
      </c>
      <c r="B635">
        <v>1</v>
      </c>
      <c r="C635" s="1">
        <v>45751</v>
      </c>
      <c r="D635" s="1">
        <v>45751</v>
      </c>
      <c r="E635" t="s">
        <v>1079</v>
      </c>
      <c r="F635" t="s">
        <v>1930</v>
      </c>
      <c r="G635" t="s">
        <v>1473</v>
      </c>
      <c r="H635" t="s">
        <v>2720</v>
      </c>
      <c r="I635" t="s">
        <v>2742</v>
      </c>
      <c r="J635" t="s">
        <v>2769</v>
      </c>
      <c r="K635" t="s">
        <v>1482</v>
      </c>
      <c r="L635" t="s">
        <v>2783</v>
      </c>
      <c r="M635" t="s">
        <v>2560</v>
      </c>
      <c r="N635" t="s">
        <v>2579</v>
      </c>
      <c r="O635" t="s">
        <v>2604</v>
      </c>
      <c r="P635" t="s">
        <v>2560</v>
      </c>
      <c r="Q635" t="s">
        <v>2579</v>
      </c>
      <c r="R635" t="s">
        <v>2604</v>
      </c>
      <c r="S635" t="s">
        <v>2608</v>
      </c>
      <c r="T635">
        <v>1</v>
      </c>
      <c r="U635" s="2">
        <v>9143.2999999999993</v>
      </c>
      <c r="V635" s="3">
        <v>0.05</v>
      </c>
      <c r="W635" s="2">
        <v>8686.1299999999992</v>
      </c>
      <c r="X635" s="2">
        <v>1523.78</v>
      </c>
      <c r="Y635" s="3">
        <v>0.1754268011185649</v>
      </c>
      <c r="Z635" t="s">
        <v>1495</v>
      </c>
      <c r="AA635" t="s">
        <v>1498</v>
      </c>
      <c r="AB635" t="s">
        <v>1501</v>
      </c>
      <c r="AC635">
        <v>0</v>
      </c>
      <c r="AD635">
        <v>2025</v>
      </c>
      <c r="AE635" t="s">
        <v>2811</v>
      </c>
      <c r="AF635" t="s">
        <v>2835</v>
      </c>
      <c r="AG635" t="s">
        <v>2845</v>
      </c>
      <c r="AH635" t="s">
        <v>2848</v>
      </c>
      <c r="AI635">
        <v>1</v>
      </c>
    </row>
    <row r="636" spans="1:35" x14ac:dyDescent="0.3">
      <c r="A636" t="s">
        <v>614</v>
      </c>
      <c r="B636">
        <v>1</v>
      </c>
      <c r="C636" s="1">
        <v>45751</v>
      </c>
      <c r="D636" s="1">
        <v>45753</v>
      </c>
      <c r="E636" t="s">
        <v>1053</v>
      </c>
      <c r="F636" t="s">
        <v>1737</v>
      </c>
      <c r="G636" t="s">
        <v>1408</v>
      </c>
      <c r="H636" t="s">
        <v>2680</v>
      </c>
      <c r="I636" t="s">
        <v>2739</v>
      </c>
      <c r="J636" t="s">
        <v>2758</v>
      </c>
      <c r="K636" t="s">
        <v>1480</v>
      </c>
      <c r="L636" t="s">
        <v>2789</v>
      </c>
      <c r="M636" t="s">
        <v>2562</v>
      </c>
      <c r="N636" t="s">
        <v>2574</v>
      </c>
      <c r="O636" t="s">
        <v>2602</v>
      </c>
      <c r="R636" t="s">
        <v>2790</v>
      </c>
      <c r="S636" t="s">
        <v>2606</v>
      </c>
      <c r="T636">
        <v>1</v>
      </c>
      <c r="U636" s="2">
        <v>3284.39</v>
      </c>
      <c r="V636" s="3">
        <v>0</v>
      </c>
      <c r="W636" s="2">
        <v>3284.39</v>
      </c>
      <c r="X636" s="2">
        <v>887.88</v>
      </c>
      <c r="Y636" s="3">
        <v>0.27033330390118099</v>
      </c>
      <c r="Z636" t="s">
        <v>1494</v>
      </c>
      <c r="AA636" t="s">
        <v>1499</v>
      </c>
      <c r="AB636" t="s">
        <v>1501</v>
      </c>
      <c r="AC636">
        <v>2</v>
      </c>
      <c r="AD636">
        <v>2025</v>
      </c>
      <c r="AE636" t="s">
        <v>2811</v>
      </c>
      <c r="AF636" t="s">
        <v>2835</v>
      </c>
      <c r="AG636" t="s">
        <v>2845</v>
      </c>
      <c r="AH636" t="s">
        <v>2848</v>
      </c>
      <c r="AI636">
        <v>1</v>
      </c>
    </row>
    <row r="637" spans="1:35" x14ac:dyDescent="0.3">
      <c r="A637" t="s">
        <v>615</v>
      </c>
      <c r="B637">
        <v>1</v>
      </c>
      <c r="C637" s="1">
        <v>45751</v>
      </c>
      <c r="D637" s="1">
        <v>45751</v>
      </c>
      <c r="E637" t="s">
        <v>1268</v>
      </c>
      <c r="F637" t="s">
        <v>1842</v>
      </c>
      <c r="G637" t="s">
        <v>1449</v>
      </c>
      <c r="H637" t="s">
        <v>2642</v>
      </c>
      <c r="I637" t="s">
        <v>2738</v>
      </c>
      <c r="J637" t="s">
        <v>2750</v>
      </c>
      <c r="K637" t="s">
        <v>1478</v>
      </c>
      <c r="L637" t="s">
        <v>2782</v>
      </c>
      <c r="M637" t="s">
        <v>2560</v>
      </c>
      <c r="N637" t="s">
        <v>2579</v>
      </c>
      <c r="O637" t="s">
        <v>2604</v>
      </c>
      <c r="P637" t="s">
        <v>2565</v>
      </c>
      <c r="Q637" t="s">
        <v>2583</v>
      </c>
      <c r="R637" t="s">
        <v>2604</v>
      </c>
      <c r="S637" t="s">
        <v>2608</v>
      </c>
      <c r="T637">
        <v>2</v>
      </c>
      <c r="U637" s="2">
        <v>22795.96</v>
      </c>
      <c r="V637" s="3">
        <v>0</v>
      </c>
      <c r="W637" s="2">
        <v>45591.92</v>
      </c>
      <c r="X637" s="2">
        <v>10194.620000000001</v>
      </c>
      <c r="Y637" s="3">
        <v>0.2236058494575355</v>
      </c>
      <c r="Z637" t="s">
        <v>1494</v>
      </c>
      <c r="AA637" t="s">
        <v>1500</v>
      </c>
      <c r="AB637" t="s">
        <v>1501</v>
      </c>
      <c r="AC637">
        <v>0</v>
      </c>
      <c r="AD637">
        <v>2025</v>
      </c>
      <c r="AE637" t="s">
        <v>2811</v>
      </c>
      <c r="AF637" t="s">
        <v>2835</v>
      </c>
      <c r="AG637" t="s">
        <v>2845</v>
      </c>
      <c r="AH637" t="s">
        <v>2848</v>
      </c>
      <c r="AI637">
        <v>1</v>
      </c>
    </row>
    <row r="638" spans="1:35" x14ac:dyDescent="0.3">
      <c r="A638" t="s">
        <v>616</v>
      </c>
      <c r="B638">
        <v>1</v>
      </c>
      <c r="C638" s="1">
        <v>45752</v>
      </c>
      <c r="D638" s="1">
        <v>45752</v>
      </c>
      <c r="E638" t="s">
        <v>1269</v>
      </c>
      <c r="F638" t="s">
        <v>2022</v>
      </c>
      <c r="G638" t="s">
        <v>1342</v>
      </c>
      <c r="H638" t="s">
        <v>2623</v>
      </c>
      <c r="I638" t="s">
        <v>2737</v>
      </c>
      <c r="J638" t="s">
        <v>2745</v>
      </c>
      <c r="K638" t="s">
        <v>1489</v>
      </c>
      <c r="L638" t="s">
        <v>2787</v>
      </c>
      <c r="M638" t="s">
        <v>2550</v>
      </c>
      <c r="N638" t="s">
        <v>2573</v>
      </c>
      <c r="O638" t="s">
        <v>2601</v>
      </c>
      <c r="P638" t="s">
        <v>2566</v>
      </c>
      <c r="Q638" t="s">
        <v>2584</v>
      </c>
      <c r="R638" t="s">
        <v>2601</v>
      </c>
      <c r="S638" t="s">
        <v>2606</v>
      </c>
      <c r="T638">
        <v>2</v>
      </c>
      <c r="U638" s="2">
        <v>18924.84</v>
      </c>
      <c r="V638" s="3">
        <v>0.15</v>
      </c>
      <c r="W638" s="2">
        <v>32172.23</v>
      </c>
      <c r="X638" s="2">
        <v>-114.25</v>
      </c>
      <c r="Y638" s="3">
        <v>-3.5511992796271822E-3</v>
      </c>
      <c r="Z638" t="s">
        <v>1494</v>
      </c>
      <c r="AA638" t="s">
        <v>1498</v>
      </c>
      <c r="AB638" t="s">
        <v>1501</v>
      </c>
      <c r="AC638">
        <v>0</v>
      </c>
      <c r="AD638">
        <v>2025</v>
      </c>
      <c r="AE638" t="s">
        <v>2811</v>
      </c>
      <c r="AF638" t="s">
        <v>2835</v>
      </c>
      <c r="AG638" t="s">
        <v>2845</v>
      </c>
      <c r="AH638" t="s">
        <v>2848</v>
      </c>
      <c r="AI638">
        <v>1</v>
      </c>
    </row>
    <row r="639" spans="1:35" x14ac:dyDescent="0.3">
      <c r="A639" t="s">
        <v>617</v>
      </c>
      <c r="B639">
        <v>1</v>
      </c>
      <c r="C639" s="1">
        <v>45752</v>
      </c>
      <c r="D639" s="1">
        <v>45753</v>
      </c>
      <c r="E639" t="s">
        <v>1075</v>
      </c>
      <c r="F639" t="s">
        <v>1664</v>
      </c>
      <c r="G639" t="s">
        <v>1383</v>
      </c>
      <c r="H639" t="s">
        <v>2726</v>
      </c>
      <c r="I639" t="s">
        <v>2742</v>
      </c>
      <c r="J639" t="s">
        <v>2771</v>
      </c>
      <c r="K639" t="s">
        <v>1480</v>
      </c>
      <c r="L639" t="s">
        <v>2789</v>
      </c>
      <c r="M639" t="s">
        <v>2570</v>
      </c>
      <c r="N639" t="s">
        <v>2590</v>
      </c>
      <c r="O639" t="s">
        <v>2605</v>
      </c>
      <c r="R639" t="s">
        <v>2790</v>
      </c>
      <c r="S639" t="s">
        <v>2606</v>
      </c>
      <c r="T639">
        <v>1</v>
      </c>
      <c r="U639" s="2">
        <v>17693.080000000002</v>
      </c>
      <c r="V639" s="3">
        <v>0.05</v>
      </c>
      <c r="W639" s="2">
        <v>16808.43</v>
      </c>
      <c r="X639" s="2">
        <v>2661.39</v>
      </c>
      <c r="Y639" s="3">
        <v>0.15833662037441931</v>
      </c>
      <c r="Z639" t="s">
        <v>1493</v>
      </c>
      <c r="AA639" t="s">
        <v>1498</v>
      </c>
      <c r="AB639" t="s">
        <v>1501</v>
      </c>
      <c r="AC639">
        <v>1</v>
      </c>
      <c r="AD639">
        <v>2025</v>
      </c>
      <c r="AE639" t="s">
        <v>2811</v>
      </c>
      <c r="AF639" t="s">
        <v>2835</v>
      </c>
      <c r="AG639" t="s">
        <v>2845</v>
      </c>
      <c r="AH639" t="s">
        <v>2848</v>
      </c>
      <c r="AI639">
        <v>1</v>
      </c>
    </row>
    <row r="640" spans="1:35" x14ac:dyDescent="0.3">
      <c r="A640" t="s">
        <v>618</v>
      </c>
      <c r="B640">
        <v>1</v>
      </c>
      <c r="C640" s="1">
        <v>45753</v>
      </c>
      <c r="D640" s="1">
        <v>45754</v>
      </c>
      <c r="E640" t="s">
        <v>1270</v>
      </c>
      <c r="F640" t="s">
        <v>1928</v>
      </c>
      <c r="G640" t="s">
        <v>1404</v>
      </c>
      <c r="H640" t="s">
        <v>2643</v>
      </c>
      <c r="I640" t="s">
        <v>2738</v>
      </c>
      <c r="J640" t="s">
        <v>2750</v>
      </c>
      <c r="K640" t="s">
        <v>1485</v>
      </c>
      <c r="L640" t="s">
        <v>2775</v>
      </c>
      <c r="M640" t="s">
        <v>2551</v>
      </c>
      <c r="N640" t="s">
        <v>2574</v>
      </c>
      <c r="O640" t="s">
        <v>2602</v>
      </c>
      <c r="P640" t="s">
        <v>2562</v>
      </c>
      <c r="Q640" t="s">
        <v>2574</v>
      </c>
      <c r="R640" t="s">
        <v>2602</v>
      </c>
      <c r="S640" t="s">
        <v>2606</v>
      </c>
      <c r="T640">
        <v>1</v>
      </c>
      <c r="U640" s="2">
        <v>44125.88</v>
      </c>
      <c r="V640" s="3">
        <v>0</v>
      </c>
      <c r="W640" s="2">
        <v>44125.88</v>
      </c>
      <c r="X640" s="2">
        <v>9811.19</v>
      </c>
      <c r="Y640" s="3">
        <v>0.22234548070202789</v>
      </c>
      <c r="Z640" t="s">
        <v>1494</v>
      </c>
      <c r="AA640" t="s">
        <v>1498</v>
      </c>
      <c r="AB640" t="s">
        <v>1501</v>
      </c>
      <c r="AC640">
        <v>1</v>
      </c>
      <c r="AD640">
        <v>2025</v>
      </c>
      <c r="AE640" t="s">
        <v>2811</v>
      </c>
      <c r="AF640" t="s">
        <v>2835</v>
      </c>
      <c r="AG640" t="s">
        <v>2845</v>
      </c>
      <c r="AH640" t="s">
        <v>2848</v>
      </c>
      <c r="AI640">
        <v>1</v>
      </c>
    </row>
    <row r="641" spans="1:35" x14ac:dyDescent="0.3">
      <c r="A641" t="s">
        <v>619</v>
      </c>
      <c r="B641">
        <v>1</v>
      </c>
      <c r="C641" s="1">
        <v>45753</v>
      </c>
      <c r="D641" s="1">
        <v>45756</v>
      </c>
      <c r="E641" t="s">
        <v>1072</v>
      </c>
      <c r="F641" t="s">
        <v>1695</v>
      </c>
      <c r="G641" t="s">
        <v>1337</v>
      </c>
      <c r="H641" t="s">
        <v>2628</v>
      </c>
      <c r="I641" t="s">
        <v>2737</v>
      </c>
      <c r="J641" t="s">
        <v>2746</v>
      </c>
      <c r="K641" t="s">
        <v>1480</v>
      </c>
      <c r="L641" t="s">
        <v>2789</v>
      </c>
      <c r="M641" t="s">
        <v>2569</v>
      </c>
      <c r="N641" t="s">
        <v>2587</v>
      </c>
      <c r="O641" t="s">
        <v>2604</v>
      </c>
      <c r="R641" t="s">
        <v>2790</v>
      </c>
      <c r="S641" t="s">
        <v>2608</v>
      </c>
      <c r="T641">
        <v>1</v>
      </c>
      <c r="U641" s="2">
        <v>12042.96</v>
      </c>
      <c r="V641" s="3">
        <v>0</v>
      </c>
      <c r="W641" s="2">
        <v>12042.96</v>
      </c>
      <c r="X641" s="2">
        <v>1101.3599999999999</v>
      </c>
      <c r="Y641" s="3">
        <v>9.1452599693098699E-2</v>
      </c>
      <c r="Z641" t="s">
        <v>1496</v>
      </c>
      <c r="AA641" t="s">
        <v>1499</v>
      </c>
      <c r="AB641" t="s">
        <v>1501</v>
      </c>
      <c r="AC641">
        <v>3</v>
      </c>
      <c r="AD641">
        <v>2025</v>
      </c>
      <c r="AE641" t="s">
        <v>2811</v>
      </c>
      <c r="AF641" t="s">
        <v>2835</v>
      </c>
      <c r="AG641" t="s">
        <v>2845</v>
      </c>
      <c r="AH641" t="s">
        <v>2848</v>
      </c>
      <c r="AI641">
        <v>1</v>
      </c>
    </row>
    <row r="642" spans="1:35" x14ac:dyDescent="0.3">
      <c r="A642" t="s">
        <v>620</v>
      </c>
      <c r="B642">
        <v>1</v>
      </c>
      <c r="C642" s="1">
        <v>45754</v>
      </c>
      <c r="D642" s="1">
        <v>45754</v>
      </c>
      <c r="E642" t="s">
        <v>1109</v>
      </c>
      <c r="F642" t="s">
        <v>1762</v>
      </c>
      <c r="G642" t="s">
        <v>1355</v>
      </c>
      <c r="H642" t="s">
        <v>2622</v>
      </c>
      <c r="I642" t="s">
        <v>2737</v>
      </c>
      <c r="J642" t="s">
        <v>2745</v>
      </c>
      <c r="K642" t="s">
        <v>1487</v>
      </c>
      <c r="L642" t="s">
        <v>2785</v>
      </c>
      <c r="M642" t="s">
        <v>2554</v>
      </c>
      <c r="N642" t="s">
        <v>2577</v>
      </c>
      <c r="O642" t="s">
        <v>2601</v>
      </c>
      <c r="P642" t="s">
        <v>2550</v>
      </c>
      <c r="Q642" t="s">
        <v>2573</v>
      </c>
      <c r="R642" t="s">
        <v>2601</v>
      </c>
      <c r="S642" t="s">
        <v>2606</v>
      </c>
      <c r="T642">
        <v>2</v>
      </c>
      <c r="U642" s="2">
        <v>38093.910000000003</v>
      </c>
      <c r="V642" s="3">
        <v>0</v>
      </c>
      <c r="W642" s="2">
        <v>76187.820000000007</v>
      </c>
      <c r="X642" s="2">
        <v>7538.56</v>
      </c>
      <c r="Y642" s="3">
        <v>9.8947049541514634E-2</v>
      </c>
      <c r="Z642" t="s">
        <v>1496</v>
      </c>
      <c r="AA642" t="s">
        <v>1498</v>
      </c>
      <c r="AB642" t="s">
        <v>1501</v>
      </c>
      <c r="AC642">
        <v>0</v>
      </c>
      <c r="AD642">
        <v>2025</v>
      </c>
      <c r="AE642" t="s">
        <v>2811</v>
      </c>
      <c r="AF642" t="s">
        <v>2835</v>
      </c>
      <c r="AG642" t="s">
        <v>2845</v>
      </c>
      <c r="AH642" t="s">
        <v>2848</v>
      </c>
      <c r="AI642">
        <v>1</v>
      </c>
    </row>
    <row r="643" spans="1:35" x14ac:dyDescent="0.3">
      <c r="A643" t="s">
        <v>621</v>
      </c>
      <c r="B643">
        <v>1</v>
      </c>
      <c r="C643" s="1">
        <v>45755</v>
      </c>
      <c r="D643" s="1">
        <v>45756</v>
      </c>
      <c r="E643" t="s">
        <v>991</v>
      </c>
      <c r="F643" t="s">
        <v>1930</v>
      </c>
      <c r="G643" t="s">
        <v>1436</v>
      </c>
      <c r="H643" t="s">
        <v>2677</v>
      </c>
      <c r="I643" t="s">
        <v>2739</v>
      </c>
      <c r="J643" t="s">
        <v>2758</v>
      </c>
      <c r="K643" t="s">
        <v>1478</v>
      </c>
      <c r="L643" t="s">
        <v>2782</v>
      </c>
      <c r="M643" t="s">
        <v>2569</v>
      </c>
      <c r="N643" t="s">
        <v>2594</v>
      </c>
      <c r="O643" t="s">
        <v>2604</v>
      </c>
      <c r="P643" t="s">
        <v>2565</v>
      </c>
      <c r="Q643" t="s">
        <v>2583</v>
      </c>
      <c r="R643" t="s">
        <v>2604</v>
      </c>
      <c r="S643" t="s">
        <v>2608</v>
      </c>
      <c r="T643">
        <v>1</v>
      </c>
      <c r="U643" s="2">
        <v>546.80999999999995</v>
      </c>
      <c r="V643" s="3">
        <v>0</v>
      </c>
      <c r="W643" s="2">
        <v>546.80999999999995</v>
      </c>
      <c r="X643" s="2">
        <v>156.55000000000001</v>
      </c>
      <c r="Y643" s="3">
        <v>0.28629688557268518</v>
      </c>
      <c r="Z643" t="s">
        <v>1494</v>
      </c>
      <c r="AA643" t="s">
        <v>1499</v>
      </c>
      <c r="AB643" t="s">
        <v>1501</v>
      </c>
      <c r="AC643">
        <v>1</v>
      </c>
      <c r="AD643">
        <v>2025</v>
      </c>
      <c r="AE643" t="s">
        <v>2811</v>
      </c>
      <c r="AF643" t="s">
        <v>2835</v>
      </c>
      <c r="AG643" t="s">
        <v>2845</v>
      </c>
      <c r="AH643" t="s">
        <v>2848</v>
      </c>
      <c r="AI643">
        <v>1</v>
      </c>
    </row>
    <row r="644" spans="1:35" x14ac:dyDescent="0.3">
      <c r="A644" t="s">
        <v>622</v>
      </c>
      <c r="B644">
        <v>1</v>
      </c>
      <c r="C644" s="1">
        <v>45756</v>
      </c>
      <c r="D644" s="1">
        <v>45758</v>
      </c>
      <c r="E644" t="s">
        <v>1271</v>
      </c>
      <c r="F644" t="s">
        <v>1764</v>
      </c>
      <c r="G644" t="s">
        <v>1349</v>
      </c>
      <c r="H644" t="s">
        <v>2668</v>
      </c>
      <c r="I644" t="s">
        <v>2739</v>
      </c>
      <c r="J644" t="s">
        <v>2756</v>
      </c>
      <c r="K644" t="s">
        <v>1480</v>
      </c>
      <c r="L644" t="s">
        <v>2789</v>
      </c>
      <c r="M644" t="s">
        <v>2559</v>
      </c>
      <c r="N644" t="s">
        <v>2559</v>
      </c>
      <c r="O644" t="s">
        <v>2603</v>
      </c>
      <c r="R644" t="s">
        <v>2790</v>
      </c>
      <c r="S644" t="s">
        <v>2607</v>
      </c>
      <c r="T644">
        <v>1</v>
      </c>
      <c r="U644" s="2">
        <v>2650.66</v>
      </c>
      <c r="V644" s="3">
        <v>0.1</v>
      </c>
      <c r="W644" s="2">
        <v>2385.59</v>
      </c>
      <c r="X644" s="2">
        <v>595.96</v>
      </c>
      <c r="Y644" s="3">
        <v>0.24981660721247151</v>
      </c>
      <c r="Z644" t="s">
        <v>1493</v>
      </c>
      <c r="AA644" t="s">
        <v>1498</v>
      </c>
      <c r="AB644" t="s">
        <v>1501</v>
      </c>
      <c r="AC644">
        <v>2</v>
      </c>
      <c r="AD644">
        <v>2025</v>
      </c>
      <c r="AE644" t="s">
        <v>2811</v>
      </c>
      <c r="AF644" t="s">
        <v>2835</v>
      </c>
      <c r="AG644" t="s">
        <v>2845</v>
      </c>
      <c r="AH644" t="s">
        <v>2848</v>
      </c>
      <c r="AI644">
        <v>1</v>
      </c>
    </row>
    <row r="645" spans="1:35" x14ac:dyDescent="0.3">
      <c r="A645" t="s">
        <v>623</v>
      </c>
      <c r="B645">
        <v>2</v>
      </c>
      <c r="C645" s="1">
        <v>45757</v>
      </c>
      <c r="D645" s="1">
        <v>45757</v>
      </c>
      <c r="E645" t="s">
        <v>1113</v>
      </c>
      <c r="F645" t="s">
        <v>1990</v>
      </c>
      <c r="G645" t="s">
        <v>1452</v>
      </c>
      <c r="H645" t="s">
        <v>2616</v>
      </c>
      <c r="I645" t="s">
        <v>2737</v>
      </c>
      <c r="J645" t="s">
        <v>2743</v>
      </c>
      <c r="K645" t="s">
        <v>1482</v>
      </c>
      <c r="L645" t="s">
        <v>2783</v>
      </c>
      <c r="M645" t="s">
        <v>2563</v>
      </c>
      <c r="N645" t="s">
        <v>2581</v>
      </c>
      <c r="O645" t="s">
        <v>2604</v>
      </c>
      <c r="P645" t="s">
        <v>2560</v>
      </c>
      <c r="Q645" t="s">
        <v>2579</v>
      </c>
      <c r="R645" t="s">
        <v>2604</v>
      </c>
      <c r="S645" t="s">
        <v>2606</v>
      </c>
      <c r="T645">
        <v>1</v>
      </c>
      <c r="U645" s="2">
        <v>74213.429999999993</v>
      </c>
      <c r="V645" s="3">
        <v>0</v>
      </c>
      <c r="W645" s="2">
        <v>74213.429999999993</v>
      </c>
      <c r="X645" s="2">
        <v>10715.42</v>
      </c>
      <c r="Y645" s="3">
        <v>0.1443865348899788</v>
      </c>
      <c r="Z645" t="s">
        <v>1496</v>
      </c>
      <c r="AA645" t="s">
        <v>1498</v>
      </c>
      <c r="AB645" t="s">
        <v>1501</v>
      </c>
      <c r="AC645">
        <v>0</v>
      </c>
      <c r="AD645">
        <v>2025</v>
      </c>
      <c r="AE645" t="s">
        <v>2811</v>
      </c>
      <c r="AF645" t="s">
        <v>2835</v>
      </c>
      <c r="AG645" t="s">
        <v>2845</v>
      </c>
      <c r="AH645" t="s">
        <v>2848</v>
      </c>
      <c r="AI645">
        <v>1</v>
      </c>
    </row>
    <row r="646" spans="1:35" x14ac:dyDescent="0.3">
      <c r="A646" t="s">
        <v>624</v>
      </c>
      <c r="B646">
        <v>1</v>
      </c>
      <c r="C646" s="1">
        <v>45759</v>
      </c>
      <c r="D646" s="1">
        <v>45761</v>
      </c>
      <c r="E646" t="s">
        <v>1005</v>
      </c>
      <c r="F646" t="s">
        <v>1696</v>
      </c>
      <c r="G646" t="s">
        <v>1421</v>
      </c>
      <c r="H646" t="s">
        <v>2690</v>
      </c>
      <c r="I646" t="s">
        <v>2740</v>
      </c>
      <c r="J646" t="s">
        <v>2761</v>
      </c>
      <c r="K646" t="s">
        <v>1480</v>
      </c>
      <c r="L646" t="s">
        <v>2789</v>
      </c>
      <c r="M646" t="s">
        <v>2560</v>
      </c>
      <c r="N646" t="s">
        <v>2579</v>
      </c>
      <c r="O646" t="s">
        <v>2604</v>
      </c>
      <c r="R646" t="s">
        <v>2790</v>
      </c>
      <c r="S646" t="s">
        <v>2608</v>
      </c>
      <c r="T646">
        <v>1</v>
      </c>
      <c r="U646" s="2">
        <v>227.54</v>
      </c>
      <c r="V646" s="3">
        <v>0</v>
      </c>
      <c r="W646" s="2">
        <v>227.54</v>
      </c>
      <c r="X646" s="2">
        <v>33.200000000000003</v>
      </c>
      <c r="Y646" s="3">
        <v>0.14590841170783159</v>
      </c>
      <c r="Z646" t="s">
        <v>1497</v>
      </c>
      <c r="AA646" t="s">
        <v>1498</v>
      </c>
      <c r="AB646" t="s">
        <v>1501</v>
      </c>
      <c r="AC646">
        <v>2</v>
      </c>
      <c r="AD646">
        <v>2025</v>
      </c>
      <c r="AE646" t="s">
        <v>2811</v>
      </c>
      <c r="AF646" t="s">
        <v>2835</v>
      </c>
      <c r="AG646" t="s">
        <v>2845</v>
      </c>
      <c r="AH646" t="s">
        <v>2848</v>
      </c>
      <c r="AI646">
        <v>1</v>
      </c>
    </row>
    <row r="647" spans="1:35" x14ac:dyDescent="0.3">
      <c r="A647" t="s">
        <v>625</v>
      </c>
      <c r="B647">
        <v>3</v>
      </c>
      <c r="C647" s="1">
        <v>45760</v>
      </c>
      <c r="D647" s="1">
        <v>45761</v>
      </c>
      <c r="E647" t="s">
        <v>1272</v>
      </c>
      <c r="F647" t="s">
        <v>1744</v>
      </c>
      <c r="G647" t="s">
        <v>1350</v>
      </c>
      <c r="H647" t="s">
        <v>2634</v>
      </c>
      <c r="I647" t="s">
        <v>2737</v>
      </c>
      <c r="J647" t="s">
        <v>2747</v>
      </c>
      <c r="K647" t="s">
        <v>1480</v>
      </c>
      <c r="L647" t="s">
        <v>2789</v>
      </c>
      <c r="M647" t="s">
        <v>2570</v>
      </c>
      <c r="N647" t="s">
        <v>2590</v>
      </c>
      <c r="O647" t="s">
        <v>2605</v>
      </c>
      <c r="R647" t="s">
        <v>2790</v>
      </c>
      <c r="S647" t="s">
        <v>2606</v>
      </c>
      <c r="T647">
        <v>1</v>
      </c>
      <c r="U647" s="2">
        <v>53290.400000000001</v>
      </c>
      <c r="V647" s="3">
        <v>0</v>
      </c>
      <c r="W647" s="2">
        <v>53290.400000000001</v>
      </c>
      <c r="X647" s="2">
        <v>7231.68</v>
      </c>
      <c r="Y647" s="3">
        <v>0.13570324110909279</v>
      </c>
      <c r="Z647" t="s">
        <v>1496</v>
      </c>
      <c r="AA647" t="s">
        <v>1498</v>
      </c>
      <c r="AB647" t="s">
        <v>1501</v>
      </c>
      <c r="AC647">
        <v>1</v>
      </c>
      <c r="AD647">
        <v>2025</v>
      </c>
      <c r="AE647" t="s">
        <v>2811</v>
      </c>
      <c r="AF647" t="s">
        <v>2835</v>
      </c>
      <c r="AG647" t="s">
        <v>2845</v>
      </c>
      <c r="AH647" t="s">
        <v>2848</v>
      </c>
      <c r="AI647">
        <v>1</v>
      </c>
    </row>
    <row r="648" spans="1:35" x14ac:dyDescent="0.3">
      <c r="A648" t="s">
        <v>626</v>
      </c>
      <c r="B648">
        <v>1</v>
      </c>
      <c r="C648" s="1">
        <v>45763</v>
      </c>
      <c r="D648" s="1">
        <v>45764</v>
      </c>
      <c r="E648" t="s">
        <v>1230</v>
      </c>
      <c r="F648" t="s">
        <v>1701</v>
      </c>
      <c r="G648" t="s">
        <v>1402</v>
      </c>
      <c r="H648" t="s">
        <v>2690</v>
      </c>
      <c r="I648" t="s">
        <v>2740</v>
      </c>
      <c r="J648" t="s">
        <v>2761</v>
      </c>
      <c r="K648" t="s">
        <v>1491</v>
      </c>
      <c r="L648" t="s">
        <v>2779</v>
      </c>
      <c r="M648" t="s">
        <v>2555</v>
      </c>
      <c r="N648" t="s">
        <v>2578</v>
      </c>
      <c r="O648" t="s">
        <v>2603</v>
      </c>
      <c r="P648" t="s">
        <v>2555</v>
      </c>
      <c r="Q648" t="s">
        <v>2578</v>
      </c>
      <c r="R648" t="s">
        <v>2603</v>
      </c>
      <c r="S648" t="s">
        <v>2608</v>
      </c>
      <c r="T648">
        <v>1</v>
      </c>
      <c r="U648" s="2">
        <v>1419.44</v>
      </c>
      <c r="V648" s="3">
        <v>0.15</v>
      </c>
      <c r="W648" s="2">
        <v>1206.52</v>
      </c>
      <c r="X648" s="2">
        <v>-105.98</v>
      </c>
      <c r="Y648" s="3">
        <v>-8.7839405894639136E-2</v>
      </c>
      <c r="Z648" t="s">
        <v>1495</v>
      </c>
      <c r="AA648" t="s">
        <v>1499</v>
      </c>
      <c r="AB648" t="s">
        <v>1501</v>
      </c>
      <c r="AC648">
        <v>1</v>
      </c>
      <c r="AD648">
        <v>2025</v>
      </c>
      <c r="AE648" t="s">
        <v>2811</v>
      </c>
      <c r="AF648" t="s">
        <v>2835</v>
      </c>
      <c r="AG648" t="s">
        <v>2845</v>
      </c>
      <c r="AH648" t="s">
        <v>2848</v>
      </c>
      <c r="AI648">
        <v>1</v>
      </c>
    </row>
    <row r="649" spans="1:35" x14ac:dyDescent="0.3">
      <c r="A649" t="s">
        <v>627</v>
      </c>
      <c r="B649">
        <v>1</v>
      </c>
      <c r="C649" s="1">
        <v>45763</v>
      </c>
      <c r="D649" s="1">
        <v>45765</v>
      </c>
      <c r="E649" t="s">
        <v>1005</v>
      </c>
      <c r="F649" t="s">
        <v>1696</v>
      </c>
      <c r="G649" t="s">
        <v>1365</v>
      </c>
      <c r="H649" t="s">
        <v>2709</v>
      </c>
      <c r="I649" t="s">
        <v>2741</v>
      </c>
      <c r="J649" t="s">
        <v>2765</v>
      </c>
      <c r="K649" t="s">
        <v>1480</v>
      </c>
      <c r="L649" t="s">
        <v>2789</v>
      </c>
      <c r="M649" t="s">
        <v>2560</v>
      </c>
      <c r="N649" t="s">
        <v>2579</v>
      </c>
      <c r="O649" t="s">
        <v>2604</v>
      </c>
      <c r="R649" t="s">
        <v>2790</v>
      </c>
      <c r="S649" t="s">
        <v>2608</v>
      </c>
      <c r="T649">
        <v>1</v>
      </c>
      <c r="U649" s="2">
        <v>1749.13</v>
      </c>
      <c r="V649" s="3">
        <v>0</v>
      </c>
      <c r="W649" s="2">
        <v>1749.13</v>
      </c>
      <c r="X649" s="2">
        <v>642.97</v>
      </c>
      <c r="Y649" s="3">
        <v>0.36759417539005113</v>
      </c>
      <c r="Z649" t="s">
        <v>1493</v>
      </c>
      <c r="AA649" t="s">
        <v>1498</v>
      </c>
      <c r="AB649" t="s">
        <v>1501</v>
      </c>
      <c r="AC649">
        <v>2</v>
      </c>
      <c r="AD649">
        <v>2025</v>
      </c>
      <c r="AE649" t="s">
        <v>2811</v>
      </c>
      <c r="AF649" t="s">
        <v>2835</v>
      </c>
      <c r="AG649" t="s">
        <v>2845</v>
      </c>
      <c r="AH649" t="s">
        <v>2848</v>
      </c>
      <c r="AI649">
        <v>1</v>
      </c>
    </row>
    <row r="650" spans="1:35" x14ac:dyDescent="0.3">
      <c r="A650" t="s">
        <v>628</v>
      </c>
      <c r="B650">
        <v>1</v>
      </c>
      <c r="C650" s="1">
        <v>45765</v>
      </c>
      <c r="D650" s="1">
        <v>45766</v>
      </c>
      <c r="E650" t="s">
        <v>1202</v>
      </c>
      <c r="F650" t="s">
        <v>1908</v>
      </c>
      <c r="G650" t="s">
        <v>1437</v>
      </c>
      <c r="H650" t="s">
        <v>2629</v>
      </c>
      <c r="I650" t="s">
        <v>2737</v>
      </c>
      <c r="J650" t="s">
        <v>2746</v>
      </c>
      <c r="K650" t="s">
        <v>1480</v>
      </c>
      <c r="L650" t="s">
        <v>2789</v>
      </c>
      <c r="M650" t="s">
        <v>2552</v>
      </c>
      <c r="N650" t="s">
        <v>2575</v>
      </c>
      <c r="O650" t="s">
        <v>2603</v>
      </c>
      <c r="R650" t="s">
        <v>2790</v>
      </c>
      <c r="S650" t="s">
        <v>2606</v>
      </c>
      <c r="T650">
        <v>2</v>
      </c>
      <c r="U650" s="2">
        <v>53802.83</v>
      </c>
      <c r="V650" s="3">
        <v>0</v>
      </c>
      <c r="W650" s="2">
        <v>107605.66</v>
      </c>
      <c r="X650" s="2">
        <v>13677.72</v>
      </c>
      <c r="Y650" s="3">
        <v>0.12710967062513251</v>
      </c>
      <c r="Z650" t="s">
        <v>1496</v>
      </c>
      <c r="AA650" t="s">
        <v>1498</v>
      </c>
      <c r="AB650" t="s">
        <v>1501</v>
      </c>
      <c r="AC650">
        <v>1</v>
      </c>
      <c r="AD650">
        <v>2025</v>
      </c>
      <c r="AE650" t="s">
        <v>2811</v>
      </c>
      <c r="AF650" t="s">
        <v>2835</v>
      </c>
      <c r="AG650" t="s">
        <v>2845</v>
      </c>
      <c r="AH650" t="s">
        <v>2848</v>
      </c>
      <c r="AI650">
        <v>1</v>
      </c>
    </row>
    <row r="651" spans="1:35" x14ac:dyDescent="0.3">
      <c r="A651" t="s">
        <v>629</v>
      </c>
      <c r="B651">
        <v>1</v>
      </c>
      <c r="C651" s="1">
        <v>45766</v>
      </c>
      <c r="D651" s="1">
        <v>45767</v>
      </c>
      <c r="E651" t="s">
        <v>1100</v>
      </c>
      <c r="F651" t="s">
        <v>1954</v>
      </c>
      <c r="G651" t="s">
        <v>1444</v>
      </c>
      <c r="H651" t="s">
        <v>2717</v>
      </c>
      <c r="I651" t="s">
        <v>2741</v>
      </c>
      <c r="J651" t="s">
        <v>2768</v>
      </c>
      <c r="K651" t="s">
        <v>1481</v>
      </c>
      <c r="L651" t="s">
        <v>2777</v>
      </c>
      <c r="M651" t="s">
        <v>2556</v>
      </c>
      <c r="N651" t="s">
        <v>2574</v>
      </c>
      <c r="O651" t="s">
        <v>2602</v>
      </c>
      <c r="P651" t="s">
        <v>2557</v>
      </c>
      <c r="Q651" t="s">
        <v>2576</v>
      </c>
      <c r="R651" t="s">
        <v>2602</v>
      </c>
      <c r="S651" t="s">
        <v>2608</v>
      </c>
      <c r="T651">
        <v>1</v>
      </c>
      <c r="U651" s="2">
        <v>1054.31</v>
      </c>
      <c r="V651" s="3">
        <v>0.1</v>
      </c>
      <c r="W651" s="2">
        <v>948.88</v>
      </c>
      <c r="X651" s="2">
        <v>205.41</v>
      </c>
      <c r="Y651" s="3">
        <v>0.21647626675659731</v>
      </c>
      <c r="Z651" t="s">
        <v>2807</v>
      </c>
      <c r="AA651" t="s">
        <v>1499</v>
      </c>
      <c r="AB651" t="s">
        <v>1501</v>
      </c>
      <c r="AC651">
        <v>1</v>
      </c>
      <c r="AD651">
        <v>2025</v>
      </c>
      <c r="AE651" t="s">
        <v>2811</v>
      </c>
      <c r="AF651" t="s">
        <v>2835</v>
      </c>
      <c r="AG651" t="s">
        <v>2845</v>
      </c>
      <c r="AH651" t="s">
        <v>2848</v>
      </c>
      <c r="AI651">
        <v>1</v>
      </c>
    </row>
    <row r="652" spans="1:35" x14ac:dyDescent="0.3">
      <c r="A652" t="s">
        <v>630</v>
      </c>
      <c r="B652">
        <v>1</v>
      </c>
      <c r="C652" s="1">
        <v>45766</v>
      </c>
      <c r="D652" s="1">
        <v>45768</v>
      </c>
      <c r="E652" t="s">
        <v>1273</v>
      </c>
      <c r="F652" t="s">
        <v>1814</v>
      </c>
      <c r="G652" t="s">
        <v>1358</v>
      </c>
      <c r="H652" t="s">
        <v>2636</v>
      </c>
      <c r="I652" t="s">
        <v>2737</v>
      </c>
      <c r="J652" t="s">
        <v>2747</v>
      </c>
      <c r="K652" t="s">
        <v>1480</v>
      </c>
      <c r="L652" t="s">
        <v>2789</v>
      </c>
      <c r="M652" t="s">
        <v>2571</v>
      </c>
      <c r="N652" t="s">
        <v>2590</v>
      </c>
      <c r="O652" t="s">
        <v>2605</v>
      </c>
      <c r="R652" t="s">
        <v>2790</v>
      </c>
      <c r="S652" t="s">
        <v>2606</v>
      </c>
      <c r="T652">
        <v>2</v>
      </c>
      <c r="U652" s="2">
        <v>37487.300000000003</v>
      </c>
      <c r="V652" s="3">
        <v>0</v>
      </c>
      <c r="W652" s="2">
        <v>74974.600000000006</v>
      </c>
      <c r="X652" s="2">
        <v>7207.1</v>
      </c>
      <c r="Y652" s="3">
        <v>9.6127221752433489E-2</v>
      </c>
      <c r="Z652" t="s">
        <v>1496</v>
      </c>
      <c r="AA652" t="s">
        <v>1500</v>
      </c>
      <c r="AB652" t="s">
        <v>1501</v>
      </c>
      <c r="AC652">
        <v>2</v>
      </c>
      <c r="AD652">
        <v>2025</v>
      </c>
      <c r="AE652" t="s">
        <v>2811</v>
      </c>
      <c r="AF652" t="s">
        <v>2835</v>
      </c>
      <c r="AG652" t="s">
        <v>2845</v>
      </c>
      <c r="AH652" t="s">
        <v>2848</v>
      </c>
      <c r="AI652">
        <v>1</v>
      </c>
    </row>
    <row r="653" spans="1:35" x14ac:dyDescent="0.3">
      <c r="A653" t="s">
        <v>631</v>
      </c>
      <c r="B653">
        <v>1</v>
      </c>
      <c r="C653" s="1">
        <v>45767</v>
      </c>
      <c r="D653" s="1">
        <v>45770</v>
      </c>
      <c r="E653" t="s">
        <v>1101</v>
      </c>
      <c r="F653" t="s">
        <v>1736</v>
      </c>
      <c r="G653" t="s">
        <v>1372</v>
      </c>
      <c r="H653" t="s">
        <v>2732</v>
      </c>
      <c r="I653" t="s">
        <v>2742</v>
      </c>
      <c r="J653" t="s">
        <v>2772</v>
      </c>
      <c r="K653" t="s">
        <v>1480</v>
      </c>
      <c r="L653" t="s">
        <v>2789</v>
      </c>
      <c r="M653" t="s">
        <v>2555</v>
      </c>
      <c r="N653" t="s">
        <v>2578</v>
      </c>
      <c r="O653" t="s">
        <v>2603</v>
      </c>
      <c r="R653" t="s">
        <v>2790</v>
      </c>
      <c r="S653" t="s">
        <v>2608</v>
      </c>
      <c r="T653">
        <v>1</v>
      </c>
      <c r="U653" s="2">
        <v>22695.17</v>
      </c>
      <c r="V653" s="3">
        <v>0</v>
      </c>
      <c r="W653" s="2">
        <v>22695.17</v>
      </c>
      <c r="X653" s="2">
        <v>3536.01</v>
      </c>
      <c r="Y653" s="3">
        <v>0.1558045169963477</v>
      </c>
      <c r="Z653" t="s">
        <v>2807</v>
      </c>
      <c r="AA653" t="s">
        <v>1499</v>
      </c>
      <c r="AB653" t="s">
        <v>1501</v>
      </c>
      <c r="AC653">
        <v>3</v>
      </c>
      <c r="AD653">
        <v>2025</v>
      </c>
      <c r="AE653" t="s">
        <v>2811</v>
      </c>
      <c r="AF653" t="s">
        <v>2835</v>
      </c>
      <c r="AG653" t="s">
        <v>2845</v>
      </c>
      <c r="AH653" t="s">
        <v>2848</v>
      </c>
      <c r="AI653">
        <v>1</v>
      </c>
    </row>
    <row r="654" spans="1:35" x14ac:dyDescent="0.3">
      <c r="A654" t="s">
        <v>632</v>
      </c>
      <c r="B654">
        <v>1</v>
      </c>
      <c r="C654" s="1">
        <v>45768</v>
      </c>
      <c r="D654" s="1">
        <v>45771</v>
      </c>
      <c r="E654" t="s">
        <v>1274</v>
      </c>
      <c r="F654" t="s">
        <v>1903</v>
      </c>
      <c r="G654" t="s">
        <v>1372</v>
      </c>
      <c r="H654" t="s">
        <v>2732</v>
      </c>
      <c r="I654" t="s">
        <v>2742</v>
      </c>
      <c r="J654" t="s">
        <v>2772</v>
      </c>
      <c r="K654" t="s">
        <v>1480</v>
      </c>
      <c r="L654" t="s">
        <v>2789</v>
      </c>
      <c r="M654" t="s">
        <v>2571</v>
      </c>
      <c r="N654" t="s">
        <v>2590</v>
      </c>
      <c r="O654" t="s">
        <v>2605</v>
      </c>
      <c r="R654" t="s">
        <v>2790</v>
      </c>
      <c r="S654" t="s">
        <v>2606</v>
      </c>
      <c r="T654">
        <v>1</v>
      </c>
      <c r="U654" s="2">
        <v>22695.17</v>
      </c>
      <c r="V654" s="3">
        <v>0</v>
      </c>
      <c r="W654" s="2">
        <v>22695.17</v>
      </c>
      <c r="X654" s="2">
        <v>3536.01</v>
      </c>
      <c r="Y654" s="3">
        <v>0.1558045169963477</v>
      </c>
      <c r="Z654" t="s">
        <v>1496</v>
      </c>
      <c r="AA654" t="s">
        <v>1499</v>
      </c>
      <c r="AB654" t="s">
        <v>1501</v>
      </c>
      <c r="AC654">
        <v>3</v>
      </c>
      <c r="AD654">
        <v>2025</v>
      </c>
      <c r="AE654" t="s">
        <v>2811</v>
      </c>
      <c r="AF654" t="s">
        <v>2835</v>
      </c>
      <c r="AG654" t="s">
        <v>2845</v>
      </c>
      <c r="AH654" t="s">
        <v>2848</v>
      </c>
      <c r="AI654">
        <v>1</v>
      </c>
    </row>
    <row r="655" spans="1:35" x14ac:dyDescent="0.3">
      <c r="A655" t="s">
        <v>633</v>
      </c>
      <c r="B655">
        <v>2</v>
      </c>
      <c r="C655" s="1">
        <v>45770</v>
      </c>
      <c r="D655" s="1">
        <v>45772</v>
      </c>
      <c r="E655" t="s">
        <v>1210</v>
      </c>
      <c r="F655" t="s">
        <v>1787</v>
      </c>
      <c r="G655" t="s">
        <v>1435</v>
      </c>
      <c r="H655" t="s">
        <v>2633</v>
      </c>
      <c r="I655" t="s">
        <v>2737</v>
      </c>
      <c r="J655" t="s">
        <v>2747</v>
      </c>
      <c r="K655" t="s">
        <v>1480</v>
      </c>
      <c r="L655" t="s">
        <v>2789</v>
      </c>
      <c r="M655" t="s">
        <v>2558</v>
      </c>
      <c r="N655" t="s">
        <v>2558</v>
      </c>
      <c r="O655" t="s">
        <v>2603</v>
      </c>
      <c r="R655" t="s">
        <v>2790</v>
      </c>
      <c r="S655" t="s">
        <v>2606</v>
      </c>
      <c r="T655">
        <v>1</v>
      </c>
      <c r="U655" s="2">
        <v>62926.96</v>
      </c>
      <c r="V655" s="3">
        <v>0.1</v>
      </c>
      <c r="W655" s="2">
        <v>56634.26</v>
      </c>
      <c r="X655" s="2">
        <v>2921.78</v>
      </c>
      <c r="Y655" s="3">
        <v>5.1590327127078207E-2</v>
      </c>
      <c r="Z655" t="s">
        <v>1494</v>
      </c>
      <c r="AA655" t="s">
        <v>1498</v>
      </c>
      <c r="AB655" t="s">
        <v>1502</v>
      </c>
      <c r="AC655">
        <v>2</v>
      </c>
      <c r="AD655">
        <v>2025</v>
      </c>
      <c r="AE655" t="s">
        <v>2811</v>
      </c>
      <c r="AF655" t="s">
        <v>2835</v>
      </c>
      <c r="AG655" t="s">
        <v>2845</v>
      </c>
      <c r="AH655" t="s">
        <v>2848</v>
      </c>
      <c r="AI655">
        <v>1</v>
      </c>
    </row>
    <row r="656" spans="1:35" x14ac:dyDescent="0.3">
      <c r="A656" t="s">
        <v>634</v>
      </c>
      <c r="B656">
        <v>1</v>
      </c>
      <c r="C656" s="1">
        <v>45770</v>
      </c>
      <c r="D656" s="1">
        <v>45770</v>
      </c>
      <c r="E656" t="s">
        <v>1096</v>
      </c>
      <c r="F656" t="s">
        <v>1768</v>
      </c>
      <c r="G656" t="s">
        <v>1354</v>
      </c>
      <c r="H656" t="s">
        <v>2652</v>
      </c>
      <c r="I656" t="s">
        <v>2738</v>
      </c>
      <c r="J656" t="s">
        <v>2752</v>
      </c>
      <c r="K656" t="s">
        <v>1487</v>
      </c>
      <c r="L656" t="s">
        <v>2785</v>
      </c>
      <c r="M656" t="s">
        <v>2554</v>
      </c>
      <c r="N656" t="s">
        <v>2577</v>
      </c>
      <c r="O656" t="s">
        <v>2601</v>
      </c>
      <c r="P656" t="s">
        <v>2550</v>
      </c>
      <c r="Q656" t="s">
        <v>2573</v>
      </c>
      <c r="R656" t="s">
        <v>2601</v>
      </c>
      <c r="S656" t="s">
        <v>2606</v>
      </c>
      <c r="T656">
        <v>1</v>
      </c>
      <c r="U656" s="2">
        <v>45654.38</v>
      </c>
      <c r="V656" s="3">
        <v>0</v>
      </c>
      <c r="W656" s="2">
        <v>45654.38</v>
      </c>
      <c r="X656" s="2">
        <v>12954.5</v>
      </c>
      <c r="Y656" s="3">
        <v>0.28375152614053678</v>
      </c>
      <c r="Z656" t="s">
        <v>1495</v>
      </c>
      <c r="AA656" t="s">
        <v>1498</v>
      </c>
      <c r="AB656" t="s">
        <v>1501</v>
      </c>
      <c r="AC656">
        <v>0</v>
      </c>
      <c r="AD656">
        <v>2025</v>
      </c>
      <c r="AE656" t="s">
        <v>2811</v>
      </c>
      <c r="AF656" t="s">
        <v>2835</v>
      </c>
      <c r="AG656" t="s">
        <v>2845</v>
      </c>
      <c r="AH656" t="s">
        <v>2848</v>
      </c>
      <c r="AI656">
        <v>1</v>
      </c>
    </row>
    <row r="657" spans="1:35" x14ac:dyDescent="0.3">
      <c r="A657" t="s">
        <v>635</v>
      </c>
      <c r="B657">
        <v>1</v>
      </c>
      <c r="C657" s="1">
        <v>45770</v>
      </c>
      <c r="D657" s="1">
        <v>45772</v>
      </c>
      <c r="E657" t="s">
        <v>1119</v>
      </c>
      <c r="F657" t="s">
        <v>1733</v>
      </c>
      <c r="G657" t="s">
        <v>1330</v>
      </c>
      <c r="H657" t="s">
        <v>2685</v>
      </c>
      <c r="I657" t="s">
        <v>2739</v>
      </c>
      <c r="J657" t="s">
        <v>2759</v>
      </c>
      <c r="K657" t="s">
        <v>1480</v>
      </c>
      <c r="L657" t="s">
        <v>2789</v>
      </c>
      <c r="M657" t="s">
        <v>2557</v>
      </c>
      <c r="N657" t="s">
        <v>2576</v>
      </c>
      <c r="O657" t="s">
        <v>2602</v>
      </c>
      <c r="R657" t="s">
        <v>2790</v>
      </c>
      <c r="S657" t="s">
        <v>2606</v>
      </c>
      <c r="T657">
        <v>1</v>
      </c>
      <c r="U657" s="2">
        <v>2393.8200000000002</v>
      </c>
      <c r="V657" s="3">
        <v>0</v>
      </c>
      <c r="W657" s="2">
        <v>2393.8200000000002</v>
      </c>
      <c r="X657" s="2">
        <v>773.87</v>
      </c>
      <c r="Y657" s="3">
        <v>0.32327827489117811</v>
      </c>
      <c r="Z657" t="s">
        <v>1495</v>
      </c>
      <c r="AA657" t="s">
        <v>1498</v>
      </c>
      <c r="AB657" t="s">
        <v>1501</v>
      </c>
      <c r="AC657">
        <v>2</v>
      </c>
      <c r="AD657">
        <v>2025</v>
      </c>
      <c r="AE657" t="s">
        <v>2811</v>
      </c>
      <c r="AF657" t="s">
        <v>2835</v>
      </c>
      <c r="AG657" t="s">
        <v>2845</v>
      </c>
      <c r="AH657" t="s">
        <v>2848</v>
      </c>
      <c r="AI657">
        <v>1</v>
      </c>
    </row>
    <row r="658" spans="1:35" x14ac:dyDescent="0.3">
      <c r="A658" t="s">
        <v>636</v>
      </c>
      <c r="B658">
        <v>1</v>
      </c>
      <c r="C658" s="1">
        <v>45770</v>
      </c>
      <c r="D658" s="1">
        <v>45771</v>
      </c>
      <c r="E658" t="s">
        <v>1236</v>
      </c>
      <c r="F658" t="s">
        <v>1811</v>
      </c>
      <c r="G658" t="s">
        <v>1362</v>
      </c>
      <c r="H658" t="s">
        <v>2714</v>
      </c>
      <c r="I658" t="s">
        <v>2741</v>
      </c>
      <c r="J658" t="s">
        <v>2767</v>
      </c>
      <c r="K658" t="s">
        <v>1480</v>
      </c>
      <c r="L658" t="s">
        <v>2789</v>
      </c>
      <c r="M658" t="s">
        <v>2569</v>
      </c>
      <c r="N658" t="s">
        <v>2587</v>
      </c>
      <c r="O658" t="s">
        <v>2604</v>
      </c>
      <c r="R658" t="s">
        <v>2790</v>
      </c>
      <c r="S658" t="s">
        <v>2608</v>
      </c>
      <c r="T658">
        <v>1</v>
      </c>
      <c r="U658" s="2">
        <v>375.5</v>
      </c>
      <c r="V658" s="3">
        <v>0.1</v>
      </c>
      <c r="W658" s="2">
        <v>337.95</v>
      </c>
      <c r="X658" s="2">
        <v>108.6</v>
      </c>
      <c r="Y658" s="3">
        <v>0.32134931202840661</v>
      </c>
      <c r="Z658" t="s">
        <v>1495</v>
      </c>
      <c r="AA658" t="s">
        <v>1499</v>
      </c>
      <c r="AB658" t="s">
        <v>1501</v>
      </c>
      <c r="AC658">
        <v>1</v>
      </c>
      <c r="AD658">
        <v>2025</v>
      </c>
      <c r="AE658" t="s">
        <v>2811</v>
      </c>
      <c r="AF658" t="s">
        <v>2835</v>
      </c>
      <c r="AG658" t="s">
        <v>2845</v>
      </c>
      <c r="AH658" t="s">
        <v>2848</v>
      </c>
      <c r="AI658">
        <v>1</v>
      </c>
    </row>
    <row r="659" spans="1:35" x14ac:dyDescent="0.3">
      <c r="A659" t="s">
        <v>637</v>
      </c>
      <c r="B659">
        <v>1</v>
      </c>
      <c r="C659" s="1">
        <v>45771</v>
      </c>
      <c r="D659" s="1">
        <v>45772</v>
      </c>
      <c r="E659" t="s">
        <v>1124</v>
      </c>
      <c r="F659" t="s">
        <v>1869</v>
      </c>
      <c r="G659" t="s">
        <v>1444</v>
      </c>
      <c r="H659" t="s">
        <v>2717</v>
      </c>
      <c r="I659" t="s">
        <v>2741</v>
      </c>
      <c r="J659" t="s">
        <v>2768</v>
      </c>
      <c r="K659" t="s">
        <v>1480</v>
      </c>
      <c r="L659" t="s">
        <v>2789</v>
      </c>
      <c r="M659" t="s">
        <v>2564</v>
      </c>
      <c r="N659" t="s">
        <v>2582</v>
      </c>
      <c r="O659" t="s">
        <v>2601</v>
      </c>
      <c r="R659" t="s">
        <v>2790</v>
      </c>
      <c r="S659" t="s">
        <v>2606</v>
      </c>
      <c r="T659">
        <v>1</v>
      </c>
      <c r="U659" s="2">
        <v>1054.31</v>
      </c>
      <c r="V659" s="3">
        <v>0</v>
      </c>
      <c r="W659" s="2">
        <v>1054.31</v>
      </c>
      <c r="X659" s="2">
        <v>310.83999999999997</v>
      </c>
      <c r="Y659" s="3">
        <v>0.29482789691836359</v>
      </c>
      <c r="Z659" t="s">
        <v>1494</v>
      </c>
      <c r="AA659" t="s">
        <v>1498</v>
      </c>
      <c r="AB659" t="s">
        <v>1501</v>
      </c>
      <c r="AC659">
        <v>1</v>
      </c>
      <c r="AD659">
        <v>2025</v>
      </c>
      <c r="AE659" t="s">
        <v>2811</v>
      </c>
      <c r="AF659" t="s">
        <v>2835</v>
      </c>
      <c r="AG659" t="s">
        <v>2845</v>
      </c>
      <c r="AH659" t="s">
        <v>2848</v>
      </c>
      <c r="AI659">
        <v>1</v>
      </c>
    </row>
    <row r="660" spans="1:35" x14ac:dyDescent="0.3">
      <c r="A660" t="s">
        <v>638</v>
      </c>
      <c r="B660">
        <v>1</v>
      </c>
      <c r="C660" s="1">
        <v>45771</v>
      </c>
      <c r="D660" s="1">
        <v>45772</v>
      </c>
      <c r="E660" t="s">
        <v>1220</v>
      </c>
      <c r="F660" t="s">
        <v>1667</v>
      </c>
      <c r="G660" t="s">
        <v>1427</v>
      </c>
      <c r="H660" t="s">
        <v>2712</v>
      </c>
      <c r="I660" t="s">
        <v>2741</v>
      </c>
      <c r="J660" t="s">
        <v>2766</v>
      </c>
      <c r="K660" t="s">
        <v>1480</v>
      </c>
      <c r="L660" t="s">
        <v>2789</v>
      </c>
      <c r="M660" t="s">
        <v>2570</v>
      </c>
      <c r="N660" t="s">
        <v>2590</v>
      </c>
      <c r="O660" t="s">
        <v>2605</v>
      </c>
      <c r="R660" t="s">
        <v>2790</v>
      </c>
      <c r="S660" t="s">
        <v>2606</v>
      </c>
      <c r="T660">
        <v>2</v>
      </c>
      <c r="U660" s="2">
        <v>687.56</v>
      </c>
      <c r="V660" s="3">
        <v>0</v>
      </c>
      <c r="W660" s="2">
        <v>1375.12</v>
      </c>
      <c r="X660" s="2">
        <v>470.26</v>
      </c>
      <c r="Y660" s="3">
        <v>0.3419774274245157</v>
      </c>
      <c r="Z660" t="s">
        <v>1494</v>
      </c>
      <c r="AA660" t="s">
        <v>1498</v>
      </c>
      <c r="AB660" t="s">
        <v>1501</v>
      </c>
      <c r="AC660">
        <v>1</v>
      </c>
      <c r="AD660">
        <v>2025</v>
      </c>
      <c r="AE660" t="s">
        <v>2811</v>
      </c>
      <c r="AF660" t="s">
        <v>2835</v>
      </c>
      <c r="AG660" t="s">
        <v>2845</v>
      </c>
      <c r="AH660" t="s">
        <v>2848</v>
      </c>
      <c r="AI660">
        <v>1</v>
      </c>
    </row>
    <row r="661" spans="1:35" x14ac:dyDescent="0.3">
      <c r="A661" t="s">
        <v>639</v>
      </c>
      <c r="B661">
        <v>1</v>
      </c>
      <c r="C661" s="1">
        <v>45771</v>
      </c>
      <c r="D661" s="1">
        <v>45771</v>
      </c>
      <c r="E661" t="s">
        <v>1275</v>
      </c>
      <c r="F661" t="s">
        <v>1795</v>
      </c>
      <c r="G661" t="s">
        <v>1416</v>
      </c>
      <c r="H661" t="s">
        <v>2700</v>
      </c>
      <c r="I661" t="s">
        <v>2740</v>
      </c>
      <c r="J661" t="s">
        <v>2763</v>
      </c>
      <c r="K661" t="s">
        <v>1484</v>
      </c>
      <c r="L661" t="s">
        <v>2778</v>
      </c>
      <c r="M661" t="s">
        <v>2558</v>
      </c>
      <c r="N661" t="s">
        <v>2558</v>
      </c>
      <c r="O661" t="s">
        <v>2603</v>
      </c>
      <c r="P661" t="s">
        <v>2559</v>
      </c>
      <c r="Q661" t="s">
        <v>2559</v>
      </c>
      <c r="R661" t="s">
        <v>2603</v>
      </c>
      <c r="S661" t="s">
        <v>2606</v>
      </c>
      <c r="T661">
        <v>1</v>
      </c>
      <c r="U661" s="2">
        <v>1404.87</v>
      </c>
      <c r="V661" s="3">
        <v>0</v>
      </c>
      <c r="W661" s="2">
        <v>1404.87</v>
      </c>
      <c r="X661" s="2">
        <v>179.87</v>
      </c>
      <c r="Y661" s="3">
        <v>0.12803319880131259</v>
      </c>
      <c r="Z661" t="s">
        <v>1496</v>
      </c>
      <c r="AA661" t="s">
        <v>1500</v>
      </c>
      <c r="AB661" t="s">
        <v>1501</v>
      </c>
      <c r="AC661">
        <v>0</v>
      </c>
      <c r="AD661">
        <v>2025</v>
      </c>
      <c r="AE661" t="s">
        <v>2811</v>
      </c>
      <c r="AF661" t="s">
        <v>2835</v>
      </c>
      <c r="AG661" t="s">
        <v>2845</v>
      </c>
      <c r="AH661" t="s">
        <v>2848</v>
      </c>
      <c r="AI661">
        <v>1</v>
      </c>
    </row>
    <row r="662" spans="1:35" x14ac:dyDescent="0.3">
      <c r="A662" t="s">
        <v>640</v>
      </c>
      <c r="B662">
        <v>1</v>
      </c>
      <c r="C662" s="1">
        <v>45773</v>
      </c>
      <c r="D662" s="1">
        <v>45773</v>
      </c>
      <c r="E662" t="s">
        <v>1276</v>
      </c>
      <c r="F662" t="s">
        <v>1891</v>
      </c>
      <c r="G662" t="s">
        <v>1473</v>
      </c>
      <c r="H662" t="s">
        <v>2720</v>
      </c>
      <c r="I662" t="s">
        <v>2742</v>
      </c>
      <c r="J662" t="s">
        <v>2769</v>
      </c>
      <c r="K662" t="s">
        <v>1482</v>
      </c>
      <c r="L662" t="s">
        <v>2783</v>
      </c>
      <c r="M662" t="s">
        <v>2567</v>
      </c>
      <c r="N662" t="s">
        <v>2585</v>
      </c>
      <c r="O662" t="s">
        <v>2604</v>
      </c>
      <c r="P662" t="s">
        <v>2560</v>
      </c>
      <c r="Q662" t="s">
        <v>2579</v>
      </c>
      <c r="R662" t="s">
        <v>2604</v>
      </c>
      <c r="S662" t="s">
        <v>2606</v>
      </c>
      <c r="T662">
        <v>1</v>
      </c>
      <c r="U662" s="2">
        <v>9143.2999999999993</v>
      </c>
      <c r="V662" s="3">
        <v>0</v>
      </c>
      <c r="W662" s="2">
        <v>9143.2999999999993</v>
      </c>
      <c r="X662" s="2">
        <v>1980.95</v>
      </c>
      <c r="Y662" s="3">
        <v>0.21665591197926351</v>
      </c>
      <c r="Z662" t="s">
        <v>1494</v>
      </c>
      <c r="AA662" t="s">
        <v>1498</v>
      </c>
      <c r="AB662" t="s">
        <v>1501</v>
      </c>
      <c r="AC662">
        <v>0</v>
      </c>
      <c r="AD662">
        <v>2025</v>
      </c>
      <c r="AE662" t="s">
        <v>2811</v>
      </c>
      <c r="AF662" t="s">
        <v>2835</v>
      </c>
      <c r="AG662" t="s">
        <v>2845</v>
      </c>
      <c r="AH662" t="s">
        <v>2848</v>
      </c>
      <c r="AI662">
        <v>1</v>
      </c>
    </row>
    <row r="663" spans="1:35" x14ac:dyDescent="0.3">
      <c r="A663" t="s">
        <v>641</v>
      </c>
      <c r="B663">
        <v>1</v>
      </c>
      <c r="C663" s="1">
        <v>45774</v>
      </c>
      <c r="D663" s="1">
        <v>45774</v>
      </c>
      <c r="E663" t="s">
        <v>1044</v>
      </c>
      <c r="F663" t="s">
        <v>1816</v>
      </c>
      <c r="G663" t="s">
        <v>1441</v>
      </c>
      <c r="H663" t="s">
        <v>2660</v>
      </c>
      <c r="I663" t="s">
        <v>2738</v>
      </c>
      <c r="J663" t="s">
        <v>2754</v>
      </c>
      <c r="K663" t="s">
        <v>1487</v>
      </c>
      <c r="L663" t="s">
        <v>2785</v>
      </c>
      <c r="M663" t="s">
        <v>2550</v>
      </c>
      <c r="N663" t="s">
        <v>2573</v>
      </c>
      <c r="O663" t="s">
        <v>2601</v>
      </c>
      <c r="P663" t="s">
        <v>2550</v>
      </c>
      <c r="Q663" t="s">
        <v>2573</v>
      </c>
      <c r="R663" t="s">
        <v>2601</v>
      </c>
      <c r="S663" t="s">
        <v>2608</v>
      </c>
      <c r="T663">
        <v>2</v>
      </c>
      <c r="U663" s="2">
        <v>6305.83</v>
      </c>
      <c r="V663" s="3">
        <v>0</v>
      </c>
      <c r="W663" s="2">
        <v>12611.66</v>
      </c>
      <c r="X663" s="2">
        <v>2849.6</v>
      </c>
      <c r="Y663" s="3">
        <v>0.22594963708187499</v>
      </c>
      <c r="Z663" t="s">
        <v>1493</v>
      </c>
      <c r="AA663" t="s">
        <v>1498</v>
      </c>
      <c r="AB663" t="s">
        <v>1501</v>
      </c>
      <c r="AC663">
        <v>0</v>
      </c>
      <c r="AD663">
        <v>2025</v>
      </c>
      <c r="AE663" t="s">
        <v>2811</v>
      </c>
      <c r="AF663" t="s">
        <v>2835</v>
      </c>
      <c r="AG663" t="s">
        <v>2845</v>
      </c>
      <c r="AH663" t="s">
        <v>2848</v>
      </c>
      <c r="AI663">
        <v>1</v>
      </c>
    </row>
    <row r="664" spans="1:35" x14ac:dyDescent="0.3">
      <c r="A664" t="s">
        <v>642</v>
      </c>
      <c r="B664">
        <v>1</v>
      </c>
      <c r="C664" s="1">
        <v>45774</v>
      </c>
      <c r="D664" s="1">
        <v>45774</v>
      </c>
      <c r="E664" t="s">
        <v>1101</v>
      </c>
      <c r="F664" t="s">
        <v>1736</v>
      </c>
      <c r="G664" t="s">
        <v>1476</v>
      </c>
      <c r="H664" t="s">
        <v>2710</v>
      </c>
      <c r="I664" t="s">
        <v>2741</v>
      </c>
      <c r="J664" t="s">
        <v>2766</v>
      </c>
      <c r="K664" t="s">
        <v>1491</v>
      </c>
      <c r="L664" t="s">
        <v>2779</v>
      </c>
      <c r="M664" t="s">
        <v>2555</v>
      </c>
      <c r="N664" t="s">
        <v>2578</v>
      </c>
      <c r="O664" t="s">
        <v>2603</v>
      </c>
      <c r="P664" t="s">
        <v>2555</v>
      </c>
      <c r="Q664" t="s">
        <v>2578</v>
      </c>
      <c r="R664" t="s">
        <v>2603</v>
      </c>
      <c r="S664" t="s">
        <v>2608</v>
      </c>
      <c r="T664">
        <v>2</v>
      </c>
      <c r="U664" s="2">
        <v>114.74</v>
      </c>
      <c r="V664" s="3">
        <v>0.15</v>
      </c>
      <c r="W664" s="2">
        <v>195.06</v>
      </c>
      <c r="X664" s="2">
        <v>20.74</v>
      </c>
      <c r="Y664" s="3">
        <v>0.1063262585871014</v>
      </c>
      <c r="Z664" t="s">
        <v>1496</v>
      </c>
      <c r="AA664" t="s">
        <v>1499</v>
      </c>
      <c r="AB664" t="s">
        <v>1501</v>
      </c>
      <c r="AC664">
        <v>0</v>
      </c>
      <c r="AD664">
        <v>2025</v>
      </c>
      <c r="AE664" t="s">
        <v>2811</v>
      </c>
      <c r="AF664" t="s">
        <v>2835</v>
      </c>
      <c r="AG664" t="s">
        <v>2845</v>
      </c>
      <c r="AH664" t="s">
        <v>2848</v>
      </c>
      <c r="AI664">
        <v>1</v>
      </c>
    </row>
    <row r="665" spans="1:35" x14ac:dyDescent="0.3">
      <c r="A665" t="s">
        <v>643</v>
      </c>
      <c r="B665">
        <v>1</v>
      </c>
      <c r="C665" s="1">
        <v>45775</v>
      </c>
      <c r="D665" s="1">
        <v>45777</v>
      </c>
      <c r="E665" t="s">
        <v>1066</v>
      </c>
      <c r="F665" t="s">
        <v>1808</v>
      </c>
      <c r="G665" t="s">
        <v>1414</v>
      </c>
      <c r="H665" t="s">
        <v>2641</v>
      </c>
      <c r="I665" t="s">
        <v>2738</v>
      </c>
      <c r="J665" t="s">
        <v>2749</v>
      </c>
      <c r="K665" t="s">
        <v>1480</v>
      </c>
      <c r="L665" t="s">
        <v>2789</v>
      </c>
      <c r="M665" t="s">
        <v>2551</v>
      </c>
      <c r="N665" t="s">
        <v>2574</v>
      </c>
      <c r="O665" t="s">
        <v>2602</v>
      </c>
      <c r="R665" t="s">
        <v>2790</v>
      </c>
      <c r="S665" t="s">
        <v>2607</v>
      </c>
      <c r="T665">
        <v>1</v>
      </c>
      <c r="U665" s="2">
        <v>20329.61</v>
      </c>
      <c r="V665" s="3">
        <v>0</v>
      </c>
      <c r="W665" s="2">
        <v>20329.61</v>
      </c>
      <c r="X665" s="2">
        <v>4962.38</v>
      </c>
      <c r="Y665" s="3">
        <v>0.2440961730205351</v>
      </c>
      <c r="Z665" t="s">
        <v>1497</v>
      </c>
      <c r="AA665" t="s">
        <v>1498</v>
      </c>
      <c r="AB665" t="s">
        <v>1501</v>
      </c>
      <c r="AC665">
        <v>2</v>
      </c>
      <c r="AD665">
        <v>2025</v>
      </c>
      <c r="AE665" t="s">
        <v>2811</v>
      </c>
      <c r="AF665" t="s">
        <v>2835</v>
      </c>
      <c r="AG665" t="s">
        <v>2845</v>
      </c>
      <c r="AH665" t="s">
        <v>2848</v>
      </c>
      <c r="AI665">
        <v>1</v>
      </c>
    </row>
    <row r="666" spans="1:35" x14ac:dyDescent="0.3">
      <c r="A666" t="s">
        <v>644</v>
      </c>
      <c r="B666">
        <v>1</v>
      </c>
      <c r="C666" s="1">
        <v>45777</v>
      </c>
      <c r="D666" s="1">
        <v>45777</v>
      </c>
      <c r="E666" t="s">
        <v>1277</v>
      </c>
      <c r="F666" t="s">
        <v>1871</v>
      </c>
      <c r="G666" t="s">
        <v>1340</v>
      </c>
      <c r="H666" t="s">
        <v>2680</v>
      </c>
      <c r="I666" t="s">
        <v>2739</v>
      </c>
      <c r="J666" t="s">
        <v>2758</v>
      </c>
      <c r="K666" t="s">
        <v>1483</v>
      </c>
      <c r="L666" t="s">
        <v>2781</v>
      </c>
      <c r="M666" t="s">
        <v>2552</v>
      </c>
      <c r="N666" t="s">
        <v>2575</v>
      </c>
      <c r="O666" t="s">
        <v>2603</v>
      </c>
      <c r="P666" t="s">
        <v>2568</v>
      </c>
      <c r="Q666" t="s">
        <v>2586</v>
      </c>
      <c r="R666" t="s">
        <v>2603</v>
      </c>
      <c r="S666" t="s">
        <v>2606</v>
      </c>
      <c r="T666">
        <v>1</v>
      </c>
      <c r="U666" s="2">
        <v>5570.6</v>
      </c>
      <c r="V666" s="3">
        <v>0.15</v>
      </c>
      <c r="W666" s="2">
        <v>4735.01</v>
      </c>
      <c r="X666" s="2">
        <v>667.48</v>
      </c>
      <c r="Y666" s="3">
        <v>0.14096696733481029</v>
      </c>
      <c r="Z666" t="s">
        <v>1495</v>
      </c>
      <c r="AA666" t="s">
        <v>1500</v>
      </c>
      <c r="AB666" t="s">
        <v>1501</v>
      </c>
      <c r="AC666">
        <v>0</v>
      </c>
      <c r="AD666">
        <v>2025</v>
      </c>
      <c r="AE666" t="s">
        <v>2811</v>
      </c>
      <c r="AF666" t="s">
        <v>2835</v>
      </c>
      <c r="AG666" t="s">
        <v>2845</v>
      </c>
      <c r="AH666" t="s">
        <v>2848</v>
      </c>
      <c r="AI666">
        <v>1</v>
      </c>
    </row>
    <row r="667" spans="1:35" x14ac:dyDescent="0.3">
      <c r="A667" t="s">
        <v>645</v>
      </c>
      <c r="B667">
        <v>1</v>
      </c>
      <c r="C667" s="1">
        <v>45777</v>
      </c>
      <c r="D667" s="1">
        <v>45780</v>
      </c>
      <c r="E667" t="s">
        <v>1091</v>
      </c>
      <c r="F667" t="s">
        <v>1709</v>
      </c>
      <c r="G667" t="s">
        <v>1464</v>
      </c>
      <c r="H667" t="s">
        <v>2718</v>
      </c>
      <c r="I667" t="s">
        <v>2741</v>
      </c>
      <c r="J667" t="s">
        <v>2768</v>
      </c>
      <c r="K667" t="s">
        <v>1480</v>
      </c>
      <c r="L667" t="s">
        <v>2789</v>
      </c>
      <c r="M667" t="s">
        <v>2553</v>
      </c>
      <c r="N667" t="s">
        <v>2576</v>
      </c>
      <c r="O667" t="s">
        <v>2602</v>
      </c>
      <c r="R667" t="s">
        <v>2790</v>
      </c>
      <c r="S667" t="s">
        <v>2608</v>
      </c>
      <c r="T667">
        <v>1</v>
      </c>
      <c r="U667" s="2">
        <v>575.37</v>
      </c>
      <c r="V667" s="3">
        <v>0</v>
      </c>
      <c r="W667" s="2">
        <v>575.37</v>
      </c>
      <c r="X667" s="2">
        <v>180.95</v>
      </c>
      <c r="Y667" s="3">
        <v>0.31449328258338111</v>
      </c>
      <c r="Z667" t="s">
        <v>1496</v>
      </c>
      <c r="AA667" t="s">
        <v>1498</v>
      </c>
      <c r="AB667" t="s">
        <v>1501</v>
      </c>
      <c r="AC667">
        <v>3</v>
      </c>
      <c r="AD667">
        <v>2025</v>
      </c>
      <c r="AE667" t="s">
        <v>2811</v>
      </c>
      <c r="AF667" t="s">
        <v>2835</v>
      </c>
      <c r="AG667" t="s">
        <v>2845</v>
      </c>
      <c r="AH667" t="s">
        <v>2848</v>
      </c>
      <c r="AI667">
        <v>1</v>
      </c>
    </row>
    <row r="668" spans="1:35" x14ac:dyDescent="0.3">
      <c r="A668" t="s">
        <v>646</v>
      </c>
      <c r="B668">
        <v>1</v>
      </c>
      <c r="C668" s="1">
        <v>45777</v>
      </c>
      <c r="D668" s="1">
        <v>45778</v>
      </c>
      <c r="E668" t="s">
        <v>1112</v>
      </c>
      <c r="F668" t="s">
        <v>1726</v>
      </c>
      <c r="G668" t="s">
        <v>1373</v>
      </c>
      <c r="H668" t="s">
        <v>2696</v>
      </c>
      <c r="I668" t="s">
        <v>2740</v>
      </c>
      <c r="J668" t="s">
        <v>2762</v>
      </c>
      <c r="K668" t="s">
        <v>1481</v>
      </c>
      <c r="L668" t="s">
        <v>2777</v>
      </c>
      <c r="M668" t="s">
        <v>2562</v>
      </c>
      <c r="N668" t="s">
        <v>2574</v>
      </c>
      <c r="O668" t="s">
        <v>2602</v>
      </c>
      <c r="P668" t="s">
        <v>2557</v>
      </c>
      <c r="Q668" t="s">
        <v>2576</v>
      </c>
      <c r="R668" t="s">
        <v>2602</v>
      </c>
      <c r="S668" t="s">
        <v>2606</v>
      </c>
      <c r="T668">
        <v>1</v>
      </c>
      <c r="U668" s="2">
        <v>1404.85</v>
      </c>
      <c r="V668" s="3">
        <v>0</v>
      </c>
      <c r="W668" s="2">
        <v>1404.85</v>
      </c>
      <c r="X668" s="2">
        <v>131.76</v>
      </c>
      <c r="Y668" s="3">
        <v>9.3789372530875187E-2</v>
      </c>
      <c r="Z668" t="s">
        <v>1496</v>
      </c>
      <c r="AA668" t="s">
        <v>1500</v>
      </c>
      <c r="AB668" t="s">
        <v>1501</v>
      </c>
      <c r="AC668">
        <v>1</v>
      </c>
      <c r="AD668">
        <v>2025</v>
      </c>
      <c r="AE668" t="s">
        <v>2811</v>
      </c>
      <c r="AF668" t="s">
        <v>2835</v>
      </c>
      <c r="AG668" t="s">
        <v>2845</v>
      </c>
      <c r="AH668" t="s">
        <v>2848</v>
      </c>
      <c r="AI668">
        <v>1</v>
      </c>
    </row>
    <row r="669" spans="1:35" x14ac:dyDescent="0.3">
      <c r="A669" t="s">
        <v>647</v>
      </c>
      <c r="B669">
        <v>2</v>
      </c>
      <c r="C669" s="1">
        <v>45777</v>
      </c>
      <c r="D669" s="1">
        <v>45780</v>
      </c>
      <c r="E669" t="s">
        <v>1221</v>
      </c>
      <c r="F669" t="s">
        <v>2033</v>
      </c>
      <c r="G669" t="s">
        <v>1474</v>
      </c>
      <c r="H669" t="s">
        <v>2733</v>
      </c>
      <c r="I669" t="s">
        <v>2742</v>
      </c>
      <c r="J669" t="s">
        <v>2772</v>
      </c>
      <c r="K669" t="s">
        <v>1480</v>
      </c>
      <c r="L669" t="s">
        <v>2789</v>
      </c>
      <c r="M669" t="s">
        <v>2563</v>
      </c>
      <c r="N669" t="s">
        <v>2581</v>
      </c>
      <c r="O669" t="s">
        <v>2604</v>
      </c>
      <c r="R669" t="s">
        <v>2790</v>
      </c>
      <c r="S669" t="s">
        <v>2606</v>
      </c>
      <c r="T669">
        <v>1</v>
      </c>
      <c r="U669" s="2">
        <v>12355.9</v>
      </c>
      <c r="V669" s="3">
        <v>0</v>
      </c>
      <c r="W669" s="2">
        <v>12355.9</v>
      </c>
      <c r="X669" s="2">
        <v>2795.37</v>
      </c>
      <c r="Y669" s="3">
        <v>0.22623766783479959</v>
      </c>
      <c r="Z669" t="s">
        <v>1496</v>
      </c>
      <c r="AA669" t="s">
        <v>1498</v>
      </c>
      <c r="AB669" t="s">
        <v>1501</v>
      </c>
      <c r="AC669">
        <v>3</v>
      </c>
      <c r="AD669">
        <v>2025</v>
      </c>
      <c r="AE669" t="s">
        <v>2811</v>
      </c>
      <c r="AF669" t="s">
        <v>2835</v>
      </c>
      <c r="AG669" t="s">
        <v>2845</v>
      </c>
      <c r="AH669" t="s">
        <v>2848</v>
      </c>
      <c r="AI669">
        <v>1</v>
      </c>
    </row>
    <row r="670" spans="1:35" x14ac:dyDescent="0.3">
      <c r="A670" t="s">
        <v>648</v>
      </c>
      <c r="B670">
        <v>1</v>
      </c>
      <c r="C670" s="1">
        <v>45779</v>
      </c>
      <c r="D670" s="1">
        <v>45779</v>
      </c>
      <c r="E670" t="s">
        <v>1278</v>
      </c>
      <c r="F670" t="s">
        <v>2014</v>
      </c>
      <c r="G670" t="s">
        <v>1417</v>
      </c>
      <c r="H670" t="s">
        <v>2702</v>
      </c>
      <c r="I670" t="s">
        <v>2740</v>
      </c>
      <c r="J670" t="s">
        <v>2764</v>
      </c>
      <c r="K670" t="s">
        <v>1487</v>
      </c>
      <c r="L670" t="s">
        <v>2785</v>
      </c>
      <c r="M670" t="s">
        <v>2561</v>
      </c>
      <c r="N670" t="s">
        <v>2580</v>
      </c>
      <c r="O670" t="s">
        <v>2601</v>
      </c>
      <c r="P670" t="s">
        <v>2550</v>
      </c>
      <c r="Q670" t="s">
        <v>2573</v>
      </c>
      <c r="R670" t="s">
        <v>2601</v>
      </c>
      <c r="S670" t="s">
        <v>2606</v>
      </c>
      <c r="T670">
        <v>1</v>
      </c>
      <c r="U670" s="2">
        <v>1497.68</v>
      </c>
      <c r="V670" s="3">
        <v>0</v>
      </c>
      <c r="W670" s="2">
        <v>1497.68</v>
      </c>
      <c r="X670" s="2">
        <v>174.58</v>
      </c>
      <c r="Y670" s="3">
        <v>0.1165669568933284</v>
      </c>
      <c r="Z670" t="s">
        <v>1496</v>
      </c>
      <c r="AA670" t="s">
        <v>1499</v>
      </c>
      <c r="AB670" t="s">
        <v>1501</v>
      </c>
      <c r="AC670">
        <v>0</v>
      </c>
      <c r="AD670">
        <v>2025</v>
      </c>
      <c r="AE670" t="s">
        <v>2812</v>
      </c>
      <c r="AF670" t="s">
        <v>2836</v>
      </c>
      <c r="AG670" t="s">
        <v>2845</v>
      </c>
      <c r="AH670" t="s">
        <v>2848</v>
      </c>
      <c r="AI670">
        <v>1</v>
      </c>
    </row>
    <row r="671" spans="1:35" x14ac:dyDescent="0.3">
      <c r="A671" t="s">
        <v>649</v>
      </c>
      <c r="B671">
        <v>1</v>
      </c>
      <c r="C671" s="1">
        <v>45780</v>
      </c>
      <c r="D671" s="1">
        <v>45782</v>
      </c>
      <c r="E671" t="s">
        <v>1009</v>
      </c>
      <c r="F671" t="s">
        <v>1819</v>
      </c>
      <c r="G671" t="s">
        <v>1456</v>
      </c>
      <c r="H671" t="s">
        <v>2653</v>
      </c>
      <c r="I671" t="s">
        <v>2738</v>
      </c>
      <c r="J671" t="s">
        <v>2752</v>
      </c>
      <c r="K671" t="s">
        <v>1480</v>
      </c>
      <c r="L671" t="s">
        <v>2789</v>
      </c>
      <c r="M671" t="s">
        <v>2556</v>
      </c>
      <c r="N671" t="s">
        <v>2574</v>
      </c>
      <c r="O671" t="s">
        <v>2602</v>
      </c>
      <c r="R671" t="s">
        <v>2790</v>
      </c>
      <c r="S671" t="s">
        <v>2608</v>
      </c>
      <c r="T671">
        <v>1</v>
      </c>
      <c r="U671" s="2">
        <v>43108.17</v>
      </c>
      <c r="V671" s="3">
        <v>0</v>
      </c>
      <c r="W671" s="2">
        <v>43108.17</v>
      </c>
      <c r="X671" s="2">
        <v>7530.62</v>
      </c>
      <c r="Y671" s="3">
        <v>0.1746912476219705</v>
      </c>
      <c r="Z671" t="s">
        <v>1496</v>
      </c>
      <c r="AA671" t="s">
        <v>1498</v>
      </c>
      <c r="AB671" t="s">
        <v>1501</v>
      </c>
      <c r="AC671">
        <v>2</v>
      </c>
      <c r="AD671">
        <v>2025</v>
      </c>
      <c r="AE671" t="s">
        <v>2812</v>
      </c>
      <c r="AF671" t="s">
        <v>2836</v>
      </c>
      <c r="AG671" t="s">
        <v>2845</v>
      </c>
      <c r="AH671" t="s">
        <v>2848</v>
      </c>
      <c r="AI671">
        <v>1</v>
      </c>
    </row>
    <row r="672" spans="1:35" x14ac:dyDescent="0.3">
      <c r="A672" t="s">
        <v>650</v>
      </c>
      <c r="B672">
        <v>1</v>
      </c>
      <c r="C672" s="1">
        <v>45781</v>
      </c>
      <c r="D672" s="1">
        <v>45784</v>
      </c>
      <c r="E672" t="s">
        <v>1075</v>
      </c>
      <c r="F672" t="s">
        <v>1664</v>
      </c>
      <c r="G672" t="s">
        <v>1473</v>
      </c>
      <c r="H672" t="s">
        <v>2720</v>
      </c>
      <c r="I672" t="s">
        <v>2742</v>
      </c>
      <c r="J672" t="s">
        <v>2769</v>
      </c>
      <c r="K672" t="s">
        <v>1480</v>
      </c>
      <c r="L672" t="s">
        <v>2789</v>
      </c>
      <c r="M672" t="s">
        <v>2570</v>
      </c>
      <c r="N672" t="s">
        <v>2590</v>
      </c>
      <c r="O672" t="s">
        <v>2605</v>
      </c>
      <c r="R672" t="s">
        <v>2790</v>
      </c>
      <c r="S672" t="s">
        <v>2606</v>
      </c>
      <c r="T672">
        <v>1</v>
      </c>
      <c r="U672" s="2">
        <v>9143.2999999999993</v>
      </c>
      <c r="V672" s="3">
        <v>0</v>
      </c>
      <c r="W672" s="2">
        <v>9143.2999999999993</v>
      </c>
      <c r="X672" s="2">
        <v>1980.95</v>
      </c>
      <c r="Y672" s="3">
        <v>0.21665591197926351</v>
      </c>
      <c r="Z672" t="s">
        <v>1496</v>
      </c>
      <c r="AA672" t="s">
        <v>1499</v>
      </c>
      <c r="AB672" t="s">
        <v>1501</v>
      </c>
      <c r="AC672">
        <v>3</v>
      </c>
      <c r="AD672">
        <v>2025</v>
      </c>
      <c r="AE672" t="s">
        <v>2812</v>
      </c>
      <c r="AF672" t="s">
        <v>2836</v>
      </c>
      <c r="AG672" t="s">
        <v>2845</v>
      </c>
      <c r="AH672" t="s">
        <v>2848</v>
      </c>
      <c r="AI672">
        <v>1</v>
      </c>
    </row>
    <row r="673" spans="1:35" x14ac:dyDescent="0.3">
      <c r="A673" t="s">
        <v>651</v>
      </c>
      <c r="B673">
        <v>1</v>
      </c>
      <c r="C673" s="1">
        <v>45784</v>
      </c>
      <c r="D673" s="1">
        <v>45785</v>
      </c>
      <c r="E673" t="s">
        <v>1275</v>
      </c>
      <c r="F673" t="s">
        <v>1795</v>
      </c>
      <c r="G673" t="s">
        <v>1437</v>
      </c>
      <c r="H673" t="s">
        <v>2629</v>
      </c>
      <c r="I673" t="s">
        <v>2737</v>
      </c>
      <c r="J673" t="s">
        <v>2746</v>
      </c>
      <c r="K673" t="s">
        <v>1484</v>
      </c>
      <c r="L673" t="s">
        <v>2778</v>
      </c>
      <c r="M673" t="s">
        <v>2558</v>
      </c>
      <c r="N673" t="s">
        <v>2558</v>
      </c>
      <c r="O673" t="s">
        <v>2603</v>
      </c>
      <c r="P673" t="s">
        <v>2559</v>
      </c>
      <c r="Q673" t="s">
        <v>2559</v>
      </c>
      <c r="R673" t="s">
        <v>2603</v>
      </c>
      <c r="S673" t="s">
        <v>2606</v>
      </c>
      <c r="T673">
        <v>2</v>
      </c>
      <c r="U673" s="2">
        <v>53802.83</v>
      </c>
      <c r="V673" s="3">
        <v>0</v>
      </c>
      <c r="W673" s="2">
        <v>107605.66</v>
      </c>
      <c r="X673" s="2">
        <v>13677.72</v>
      </c>
      <c r="Y673" s="3">
        <v>0.12710967062513251</v>
      </c>
      <c r="Z673" t="s">
        <v>1497</v>
      </c>
      <c r="AA673" t="s">
        <v>1498</v>
      </c>
      <c r="AB673" t="s">
        <v>1501</v>
      </c>
      <c r="AC673">
        <v>1</v>
      </c>
      <c r="AD673">
        <v>2025</v>
      </c>
      <c r="AE673" t="s">
        <v>2812</v>
      </c>
      <c r="AF673" t="s">
        <v>2836</v>
      </c>
      <c r="AG673" t="s">
        <v>2845</v>
      </c>
      <c r="AH673" t="s">
        <v>2848</v>
      </c>
      <c r="AI673">
        <v>1</v>
      </c>
    </row>
    <row r="674" spans="1:35" x14ac:dyDescent="0.3">
      <c r="A674" t="s">
        <v>652</v>
      </c>
      <c r="B674">
        <v>2</v>
      </c>
      <c r="C674" s="1">
        <v>45790</v>
      </c>
      <c r="D674" s="1">
        <v>45791</v>
      </c>
      <c r="E674" t="s">
        <v>1079</v>
      </c>
      <c r="F674" t="s">
        <v>1930</v>
      </c>
      <c r="G674" t="s">
        <v>1424</v>
      </c>
      <c r="H674" t="s">
        <v>2624</v>
      </c>
      <c r="I674" t="s">
        <v>2737</v>
      </c>
      <c r="J674" t="s">
        <v>2745</v>
      </c>
      <c r="K674" t="s">
        <v>1480</v>
      </c>
      <c r="L674" t="s">
        <v>2789</v>
      </c>
      <c r="M674" t="s">
        <v>2560</v>
      </c>
      <c r="N674" t="s">
        <v>2579</v>
      </c>
      <c r="O674" t="s">
        <v>2604</v>
      </c>
      <c r="R674" t="s">
        <v>2790</v>
      </c>
      <c r="S674" t="s">
        <v>2608</v>
      </c>
      <c r="T674">
        <v>1</v>
      </c>
      <c r="U674" s="2">
        <v>31609.79</v>
      </c>
      <c r="V674" s="3">
        <v>0</v>
      </c>
      <c r="W674" s="2">
        <v>31609.79</v>
      </c>
      <c r="X674" s="2">
        <v>3440.18</v>
      </c>
      <c r="Y674" s="3">
        <v>0.1088327382118008</v>
      </c>
      <c r="Z674" t="s">
        <v>1495</v>
      </c>
      <c r="AA674" t="s">
        <v>1499</v>
      </c>
      <c r="AB674" t="s">
        <v>1502</v>
      </c>
      <c r="AC674">
        <v>1</v>
      </c>
      <c r="AD674">
        <v>2025</v>
      </c>
      <c r="AE674" t="s">
        <v>2812</v>
      </c>
      <c r="AF674" t="s">
        <v>2836</v>
      </c>
      <c r="AG674" t="s">
        <v>2845</v>
      </c>
      <c r="AH674" t="s">
        <v>2848</v>
      </c>
      <c r="AI674">
        <v>1</v>
      </c>
    </row>
    <row r="675" spans="1:35" x14ac:dyDescent="0.3">
      <c r="A675" t="s">
        <v>653</v>
      </c>
      <c r="B675">
        <v>1</v>
      </c>
      <c r="C675" s="1">
        <v>45790</v>
      </c>
      <c r="E675" t="s">
        <v>1059</v>
      </c>
      <c r="F675" t="s">
        <v>1805</v>
      </c>
      <c r="G675" t="s">
        <v>1333</v>
      </c>
      <c r="H675" t="s">
        <v>2620</v>
      </c>
      <c r="I675" t="s">
        <v>2737</v>
      </c>
      <c r="J675" t="s">
        <v>2744</v>
      </c>
      <c r="K675" t="s">
        <v>1478</v>
      </c>
      <c r="L675" t="s">
        <v>2782</v>
      </c>
      <c r="M675" t="s">
        <v>2560</v>
      </c>
      <c r="N675" t="s">
        <v>2579</v>
      </c>
      <c r="O675" t="s">
        <v>2604</v>
      </c>
      <c r="P675" t="s">
        <v>2565</v>
      </c>
      <c r="Q675" t="s">
        <v>2583</v>
      </c>
      <c r="R675" t="s">
        <v>2604</v>
      </c>
      <c r="S675" t="s">
        <v>2606</v>
      </c>
      <c r="T675">
        <v>4</v>
      </c>
      <c r="U675" s="2">
        <v>16375.46</v>
      </c>
      <c r="V675" s="3">
        <v>0.1</v>
      </c>
      <c r="W675" s="2">
        <v>58951.66</v>
      </c>
      <c r="X675" s="2">
        <v>1747.06</v>
      </c>
      <c r="Y675" s="3">
        <v>2.963546743212998E-2</v>
      </c>
      <c r="Z675" t="s">
        <v>1493</v>
      </c>
      <c r="AA675" t="s">
        <v>1499</v>
      </c>
      <c r="AB675" t="s">
        <v>1503</v>
      </c>
      <c r="AD675">
        <v>2025</v>
      </c>
      <c r="AE675" t="s">
        <v>2812</v>
      </c>
      <c r="AF675" t="s">
        <v>2836</v>
      </c>
      <c r="AG675" t="s">
        <v>2845</v>
      </c>
      <c r="AH675" t="s">
        <v>2848</v>
      </c>
      <c r="AI675">
        <v>1</v>
      </c>
    </row>
    <row r="676" spans="1:35" x14ac:dyDescent="0.3">
      <c r="A676" t="s">
        <v>654</v>
      </c>
      <c r="B676">
        <v>2</v>
      </c>
      <c r="C676" s="1">
        <v>45791</v>
      </c>
      <c r="D676" s="1">
        <v>45792</v>
      </c>
      <c r="E676" t="s">
        <v>1067</v>
      </c>
      <c r="F676" t="s">
        <v>1734</v>
      </c>
      <c r="G676" t="s">
        <v>1421</v>
      </c>
      <c r="H676" t="s">
        <v>2690</v>
      </c>
      <c r="I676" t="s">
        <v>2740</v>
      </c>
      <c r="J676" t="s">
        <v>2761</v>
      </c>
      <c r="K676" t="s">
        <v>1480</v>
      </c>
      <c r="L676" t="s">
        <v>2789</v>
      </c>
      <c r="M676" t="s">
        <v>2570</v>
      </c>
      <c r="N676" t="s">
        <v>2590</v>
      </c>
      <c r="O676" t="s">
        <v>2605</v>
      </c>
      <c r="R676" t="s">
        <v>2790</v>
      </c>
      <c r="S676" t="s">
        <v>2606</v>
      </c>
      <c r="T676">
        <v>1</v>
      </c>
      <c r="U676" s="2">
        <v>227.54</v>
      </c>
      <c r="V676" s="3">
        <v>0</v>
      </c>
      <c r="W676" s="2">
        <v>227.54</v>
      </c>
      <c r="X676" s="2">
        <v>33.200000000000003</v>
      </c>
      <c r="Y676" s="3">
        <v>0.14590841170783159</v>
      </c>
      <c r="Z676" t="s">
        <v>1494</v>
      </c>
      <c r="AA676" t="s">
        <v>1499</v>
      </c>
      <c r="AB676" t="s">
        <v>1501</v>
      </c>
      <c r="AC676">
        <v>1</v>
      </c>
      <c r="AD676">
        <v>2025</v>
      </c>
      <c r="AE676" t="s">
        <v>2812</v>
      </c>
      <c r="AF676" t="s">
        <v>2836</v>
      </c>
      <c r="AG676" t="s">
        <v>2845</v>
      </c>
      <c r="AH676" t="s">
        <v>2848</v>
      </c>
      <c r="AI676">
        <v>1</v>
      </c>
    </row>
    <row r="677" spans="1:35" x14ac:dyDescent="0.3">
      <c r="A677" t="s">
        <v>655</v>
      </c>
      <c r="B677">
        <v>1</v>
      </c>
      <c r="C677" s="1">
        <v>45792</v>
      </c>
      <c r="D677" s="1">
        <v>45793</v>
      </c>
      <c r="E677" t="s">
        <v>1082</v>
      </c>
      <c r="F677" t="s">
        <v>1857</v>
      </c>
      <c r="G677" t="s">
        <v>1354</v>
      </c>
      <c r="H677" t="s">
        <v>2652</v>
      </c>
      <c r="I677" t="s">
        <v>2738</v>
      </c>
      <c r="J677" t="s">
        <v>2752</v>
      </c>
      <c r="K677" t="s">
        <v>1479</v>
      </c>
      <c r="L677" t="s">
        <v>2786</v>
      </c>
      <c r="M677" t="s">
        <v>2554</v>
      </c>
      <c r="N677" t="s">
        <v>2577</v>
      </c>
      <c r="O677" t="s">
        <v>2601</v>
      </c>
      <c r="P677" t="s">
        <v>2564</v>
      </c>
      <c r="Q677" t="s">
        <v>2582</v>
      </c>
      <c r="R677" t="s">
        <v>2601</v>
      </c>
      <c r="S677" t="s">
        <v>2606</v>
      </c>
      <c r="T677">
        <v>1</v>
      </c>
      <c r="U677" s="2">
        <v>45654.38</v>
      </c>
      <c r="V677" s="3">
        <v>0</v>
      </c>
      <c r="W677" s="2">
        <v>45654.38</v>
      </c>
      <c r="X677" s="2">
        <v>12954.5</v>
      </c>
      <c r="Y677" s="3">
        <v>0.28375152614053678</v>
      </c>
      <c r="Z677" t="s">
        <v>1496</v>
      </c>
      <c r="AA677" t="s">
        <v>1500</v>
      </c>
      <c r="AB677" t="s">
        <v>1501</v>
      </c>
      <c r="AC677">
        <v>1</v>
      </c>
      <c r="AD677">
        <v>2025</v>
      </c>
      <c r="AE677" t="s">
        <v>2812</v>
      </c>
      <c r="AF677" t="s">
        <v>2836</v>
      </c>
      <c r="AG677" t="s">
        <v>2845</v>
      </c>
      <c r="AH677" t="s">
        <v>2848</v>
      </c>
      <c r="AI677">
        <v>1</v>
      </c>
    </row>
    <row r="678" spans="1:35" x14ac:dyDescent="0.3">
      <c r="A678" t="s">
        <v>656</v>
      </c>
      <c r="B678">
        <v>1</v>
      </c>
      <c r="C678" s="1">
        <v>45792</v>
      </c>
      <c r="D678" s="1">
        <v>45793</v>
      </c>
      <c r="E678" t="s">
        <v>1083</v>
      </c>
      <c r="F678" t="s">
        <v>1719</v>
      </c>
      <c r="G678" t="s">
        <v>1367</v>
      </c>
      <c r="H678" t="s">
        <v>2657</v>
      </c>
      <c r="I678" t="s">
        <v>2738</v>
      </c>
      <c r="J678" t="s">
        <v>2754</v>
      </c>
      <c r="K678" t="s">
        <v>1479</v>
      </c>
      <c r="L678" t="s">
        <v>2786</v>
      </c>
      <c r="M678" t="s">
        <v>2564</v>
      </c>
      <c r="N678" t="s">
        <v>2582</v>
      </c>
      <c r="O678" t="s">
        <v>2601</v>
      </c>
      <c r="P678" t="s">
        <v>2564</v>
      </c>
      <c r="Q678" t="s">
        <v>2582</v>
      </c>
      <c r="R678" t="s">
        <v>2601</v>
      </c>
      <c r="S678" t="s">
        <v>2606</v>
      </c>
      <c r="T678">
        <v>1</v>
      </c>
      <c r="U678" s="2">
        <v>27891.1</v>
      </c>
      <c r="V678" s="3">
        <v>0</v>
      </c>
      <c r="W678" s="2">
        <v>27891.1</v>
      </c>
      <c r="X678" s="2">
        <v>7842.54</v>
      </c>
      <c r="Y678" s="3">
        <v>0.28118432044630731</v>
      </c>
      <c r="Z678" t="s">
        <v>1496</v>
      </c>
      <c r="AA678" t="s">
        <v>1498</v>
      </c>
      <c r="AB678" t="s">
        <v>1501</v>
      </c>
      <c r="AC678">
        <v>1</v>
      </c>
      <c r="AD678">
        <v>2025</v>
      </c>
      <c r="AE678" t="s">
        <v>2812</v>
      </c>
      <c r="AF678" t="s">
        <v>2836</v>
      </c>
      <c r="AG678" t="s">
        <v>2845</v>
      </c>
      <c r="AH678" t="s">
        <v>2848</v>
      </c>
      <c r="AI678">
        <v>1</v>
      </c>
    </row>
    <row r="679" spans="1:35" x14ac:dyDescent="0.3">
      <c r="A679" t="s">
        <v>657</v>
      </c>
      <c r="B679">
        <v>1</v>
      </c>
      <c r="C679" s="1">
        <v>45795</v>
      </c>
      <c r="D679" s="1">
        <v>45796</v>
      </c>
      <c r="E679" t="s">
        <v>1225</v>
      </c>
      <c r="F679" t="s">
        <v>1859</v>
      </c>
      <c r="G679" t="s">
        <v>1340</v>
      </c>
      <c r="H679" t="s">
        <v>2680</v>
      </c>
      <c r="I679" t="s">
        <v>2739</v>
      </c>
      <c r="J679" t="s">
        <v>2758</v>
      </c>
      <c r="K679" t="s">
        <v>1490</v>
      </c>
      <c r="L679" t="s">
        <v>2784</v>
      </c>
      <c r="M679" t="s">
        <v>2565</v>
      </c>
      <c r="N679" t="s">
        <v>2583</v>
      </c>
      <c r="O679" t="s">
        <v>2604</v>
      </c>
      <c r="P679" t="s">
        <v>2567</v>
      </c>
      <c r="Q679" t="s">
        <v>2585</v>
      </c>
      <c r="R679" t="s">
        <v>2604</v>
      </c>
      <c r="S679" t="s">
        <v>2606</v>
      </c>
      <c r="T679">
        <v>2</v>
      </c>
      <c r="U679" s="2">
        <v>5570.6</v>
      </c>
      <c r="V679" s="3">
        <v>0.05</v>
      </c>
      <c r="W679" s="2">
        <v>10584.14</v>
      </c>
      <c r="X679" s="2">
        <v>2449.08</v>
      </c>
      <c r="Y679" s="3">
        <v>0.2313914970890408</v>
      </c>
      <c r="Z679" t="s">
        <v>1494</v>
      </c>
      <c r="AA679" t="s">
        <v>1498</v>
      </c>
      <c r="AB679" t="s">
        <v>1501</v>
      </c>
      <c r="AC679">
        <v>1</v>
      </c>
      <c r="AD679">
        <v>2025</v>
      </c>
      <c r="AE679" t="s">
        <v>2812</v>
      </c>
      <c r="AF679" t="s">
        <v>2836</v>
      </c>
      <c r="AG679" t="s">
        <v>2845</v>
      </c>
      <c r="AH679" t="s">
        <v>2848</v>
      </c>
      <c r="AI679">
        <v>1</v>
      </c>
    </row>
    <row r="680" spans="1:35" x14ac:dyDescent="0.3">
      <c r="A680" t="s">
        <v>658</v>
      </c>
      <c r="B680">
        <v>1</v>
      </c>
      <c r="C680" s="1">
        <v>45798</v>
      </c>
      <c r="D680" s="1">
        <v>45800</v>
      </c>
      <c r="E680" t="s">
        <v>1131</v>
      </c>
      <c r="F680" t="s">
        <v>1943</v>
      </c>
      <c r="G680" t="s">
        <v>1445</v>
      </c>
      <c r="H680" t="s">
        <v>2697</v>
      </c>
      <c r="I680" t="s">
        <v>2740</v>
      </c>
      <c r="J680" t="s">
        <v>2762</v>
      </c>
      <c r="K680" t="s">
        <v>1480</v>
      </c>
      <c r="L680" t="s">
        <v>2789</v>
      </c>
      <c r="M680" t="s">
        <v>2556</v>
      </c>
      <c r="N680" t="s">
        <v>2574</v>
      </c>
      <c r="O680" t="s">
        <v>2602</v>
      </c>
      <c r="R680" t="s">
        <v>2790</v>
      </c>
      <c r="S680" t="s">
        <v>2608</v>
      </c>
      <c r="T680">
        <v>1</v>
      </c>
      <c r="U680" s="2">
        <v>516.78</v>
      </c>
      <c r="V680" s="3">
        <v>0</v>
      </c>
      <c r="W680" s="2">
        <v>516.78</v>
      </c>
      <c r="X680" s="2">
        <v>72.260000000000005</v>
      </c>
      <c r="Y680" s="3">
        <v>0.1398273927009559</v>
      </c>
      <c r="Z680" t="s">
        <v>1495</v>
      </c>
      <c r="AA680" t="s">
        <v>1499</v>
      </c>
      <c r="AB680" t="s">
        <v>1501</v>
      </c>
      <c r="AC680">
        <v>2</v>
      </c>
      <c r="AD680">
        <v>2025</v>
      </c>
      <c r="AE680" t="s">
        <v>2812</v>
      </c>
      <c r="AF680" t="s">
        <v>2836</v>
      </c>
      <c r="AG680" t="s">
        <v>2845</v>
      </c>
      <c r="AH680" t="s">
        <v>2848</v>
      </c>
      <c r="AI680">
        <v>1</v>
      </c>
    </row>
    <row r="681" spans="1:35" x14ac:dyDescent="0.3">
      <c r="A681" t="s">
        <v>659</v>
      </c>
      <c r="B681">
        <v>1</v>
      </c>
      <c r="C681" s="1">
        <v>45799</v>
      </c>
      <c r="D681" s="1">
        <v>45799</v>
      </c>
      <c r="E681" t="s">
        <v>1007</v>
      </c>
      <c r="F681" t="s">
        <v>1733</v>
      </c>
      <c r="G681" t="s">
        <v>1475</v>
      </c>
      <c r="H681" t="s">
        <v>2674</v>
      </c>
      <c r="I681" t="s">
        <v>2739</v>
      </c>
      <c r="J681" t="s">
        <v>2757</v>
      </c>
      <c r="K681" t="s">
        <v>1491</v>
      </c>
      <c r="L681" t="s">
        <v>2779</v>
      </c>
      <c r="M681" t="s">
        <v>2552</v>
      </c>
      <c r="N681" t="s">
        <v>2575</v>
      </c>
      <c r="O681" t="s">
        <v>2603</v>
      </c>
      <c r="P681" t="s">
        <v>2555</v>
      </c>
      <c r="Q681" t="s">
        <v>2578</v>
      </c>
      <c r="R681" t="s">
        <v>2603</v>
      </c>
      <c r="S681" t="s">
        <v>2607</v>
      </c>
      <c r="T681">
        <v>2</v>
      </c>
      <c r="U681" s="2">
        <v>1132.19</v>
      </c>
      <c r="V681" s="3">
        <v>0</v>
      </c>
      <c r="W681" s="2">
        <v>2264.38</v>
      </c>
      <c r="X681" s="2">
        <v>939.56</v>
      </c>
      <c r="Y681" s="3">
        <v>0.41493035621229651</v>
      </c>
      <c r="Z681" t="s">
        <v>1496</v>
      </c>
      <c r="AA681" t="s">
        <v>1499</v>
      </c>
      <c r="AB681" t="s">
        <v>1501</v>
      </c>
      <c r="AC681">
        <v>0</v>
      </c>
      <c r="AD681">
        <v>2025</v>
      </c>
      <c r="AE681" t="s">
        <v>2812</v>
      </c>
      <c r="AF681" t="s">
        <v>2836</v>
      </c>
      <c r="AG681" t="s">
        <v>2845</v>
      </c>
      <c r="AH681" t="s">
        <v>2848</v>
      </c>
      <c r="AI681">
        <v>1</v>
      </c>
    </row>
    <row r="682" spans="1:35" x14ac:dyDescent="0.3">
      <c r="A682" t="s">
        <v>660</v>
      </c>
      <c r="B682">
        <v>1</v>
      </c>
      <c r="C682" s="1">
        <v>45799</v>
      </c>
      <c r="D682" s="1">
        <v>45799</v>
      </c>
      <c r="E682" t="s">
        <v>1279</v>
      </c>
      <c r="F682" t="s">
        <v>1664</v>
      </c>
      <c r="G682" t="s">
        <v>1402</v>
      </c>
      <c r="H682" t="s">
        <v>2690</v>
      </c>
      <c r="I682" t="s">
        <v>2740</v>
      </c>
      <c r="J682" t="s">
        <v>2761</v>
      </c>
      <c r="K682" t="s">
        <v>1478</v>
      </c>
      <c r="L682" t="s">
        <v>2782</v>
      </c>
      <c r="M682" t="s">
        <v>2569</v>
      </c>
      <c r="N682" t="s">
        <v>2587</v>
      </c>
      <c r="O682" t="s">
        <v>2604</v>
      </c>
      <c r="P682" t="s">
        <v>2565</v>
      </c>
      <c r="Q682" t="s">
        <v>2583</v>
      </c>
      <c r="R682" t="s">
        <v>2604</v>
      </c>
      <c r="S682" t="s">
        <v>2606</v>
      </c>
      <c r="T682">
        <v>1</v>
      </c>
      <c r="U682" s="2">
        <v>1419.44</v>
      </c>
      <c r="V682" s="3">
        <v>0</v>
      </c>
      <c r="W682" s="2">
        <v>1419.44</v>
      </c>
      <c r="X682" s="2">
        <v>106.94</v>
      </c>
      <c r="Y682" s="3">
        <v>7.5339570534858818E-2</v>
      </c>
      <c r="Z682" t="s">
        <v>1493</v>
      </c>
      <c r="AA682" t="s">
        <v>1498</v>
      </c>
      <c r="AB682" t="s">
        <v>1501</v>
      </c>
      <c r="AC682">
        <v>0</v>
      </c>
      <c r="AD682">
        <v>2025</v>
      </c>
      <c r="AE682" t="s">
        <v>2812</v>
      </c>
      <c r="AF682" t="s">
        <v>2836</v>
      </c>
      <c r="AG682" t="s">
        <v>2845</v>
      </c>
      <c r="AH682" t="s">
        <v>2848</v>
      </c>
      <c r="AI682">
        <v>1</v>
      </c>
    </row>
    <row r="683" spans="1:35" x14ac:dyDescent="0.3">
      <c r="A683" t="s">
        <v>661</v>
      </c>
      <c r="B683">
        <v>2</v>
      </c>
      <c r="C683" s="1">
        <v>45799</v>
      </c>
      <c r="D683" s="1">
        <v>45799</v>
      </c>
      <c r="E683" t="s">
        <v>993</v>
      </c>
      <c r="F683" t="s">
        <v>1784</v>
      </c>
      <c r="G683" t="s">
        <v>1392</v>
      </c>
      <c r="H683" t="s">
        <v>2655</v>
      </c>
      <c r="I683" t="s">
        <v>2738</v>
      </c>
      <c r="J683" t="s">
        <v>2753</v>
      </c>
      <c r="K683" t="s">
        <v>1478</v>
      </c>
      <c r="L683" t="s">
        <v>2782</v>
      </c>
      <c r="M683" t="s">
        <v>2563</v>
      </c>
      <c r="N683" t="s">
        <v>2595</v>
      </c>
      <c r="O683" t="s">
        <v>2604</v>
      </c>
      <c r="P683" t="s">
        <v>2565</v>
      </c>
      <c r="Q683" t="s">
        <v>2583</v>
      </c>
      <c r="R683" t="s">
        <v>2604</v>
      </c>
      <c r="S683" t="s">
        <v>2606</v>
      </c>
      <c r="T683">
        <v>1</v>
      </c>
      <c r="U683" s="2">
        <v>17688.330000000002</v>
      </c>
      <c r="V683" s="3">
        <v>0</v>
      </c>
      <c r="W683" s="2">
        <v>17688.330000000002</v>
      </c>
      <c r="X683" s="2">
        <v>2903.89</v>
      </c>
      <c r="Y683" s="3">
        <v>0.16416982270231281</v>
      </c>
      <c r="Z683" t="s">
        <v>1496</v>
      </c>
      <c r="AA683" t="s">
        <v>1498</v>
      </c>
      <c r="AB683" t="s">
        <v>1501</v>
      </c>
      <c r="AC683">
        <v>0</v>
      </c>
      <c r="AD683">
        <v>2025</v>
      </c>
      <c r="AE683" t="s">
        <v>2812</v>
      </c>
      <c r="AF683" t="s">
        <v>2836</v>
      </c>
      <c r="AG683" t="s">
        <v>2845</v>
      </c>
      <c r="AH683" t="s">
        <v>2848</v>
      </c>
      <c r="AI683">
        <v>1</v>
      </c>
    </row>
    <row r="684" spans="1:35" x14ac:dyDescent="0.3">
      <c r="A684" t="s">
        <v>662</v>
      </c>
      <c r="B684">
        <v>2</v>
      </c>
      <c r="C684" s="1">
        <v>45799</v>
      </c>
      <c r="D684" s="1">
        <v>45800</v>
      </c>
      <c r="E684" t="s">
        <v>1280</v>
      </c>
      <c r="F684" t="s">
        <v>1917</v>
      </c>
      <c r="G684" t="s">
        <v>1437</v>
      </c>
      <c r="H684" t="s">
        <v>2629</v>
      </c>
      <c r="I684" t="s">
        <v>2737</v>
      </c>
      <c r="J684" t="s">
        <v>2746</v>
      </c>
      <c r="K684" t="s">
        <v>1483</v>
      </c>
      <c r="L684" t="s">
        <v>2781</v>
      </c>
      <c r="M684" t="s">
        <v>2558</v>
      </c>
      <c r="N684" t="s">
        <v>2558</v>
      </c>
      <c r="O684" t="s">
        <v>2603</v>
      </c>
      <c r="P684" t="s">
        <v>2568</v>
      </c>
      <c r="Q684" t="s">
        <v>2586</v>
      </c>
      <c r="R684" t="s">
        <v>2603</v>
      </c>
      <c r="S684" t="s">
        <v>2606</v>
      </c>
      <c r="T684">
        <v>1</v>
      </c>
      <c r="U684" s="2">
        <v>53802.83</v>
      </c>
      <c r="V684" s="3">
        <v>0</v>
      </c>
      <c r="W684" s="2">
        <v>53802.83</v>
      </c>
      <c r="X684" s="2">
        <v>6838.86</v>
      </c>
      <c r="Y684" s="3">
        <v>0.12710967062513251</v>
      </c>
      <c r="Z684" t="s">
        <v>1494</v>
      </c>
      <c r="AA684" t="s">
        <v>1499</v>
      </c>
      <c r="AB684" t="s">
        <v>1501</v>
      </c>
      <c r="AC684">
        <v>1</v>
      </c>
      <c r="AD684">
        <v>2025</v>
      </c>
      <c r="AE684" t="s">
        <v>2812</v>
      </c>
      <c r="AF684" t="s">
        <v>2836</v>
      </c>
      <c r="AG684" t="s">
        <v>2845</v>
      </c>
      <c r="AH684" t="s">
        <v>2848</v>
      </c>
      <c r="AI684">
        <v>1</v>
      </c>
    </row>
    <row r="685" spans="1:35" x14ac:dyDescent="0.3">
      <c r="A685" t="s">
        <v>663</v>
      </c>
      <c r="B685">
        <v>1</v>
      </c>
      <c r="C685" s="1">
        <v>45800</v>
      </c>
      <c r="D685" s="1">
        <v>45800</v>
      </c>
      <c r="E685" t="s">
        <v>1170</v>
      </c>
      <c r="F685" t="s">
        <v>1837</v>
      </c>
      <c r="G685" t="s">
        <v>1353</v>
      </c>
      <c r="H685" t="s">
        <v>2705</v>
      </c>
      <c r="I685" t="s">
        <v>2741</v>
      </c>
      <c r="J685" t="s">
        <v>2765</v>
      </c>
      <c r="K685" t="s">
        <v>1479</v>
      </c>
      <c r="L685" t="s">
        <v>2786</v>
      </c>
      <c r="M685" t="s">
        <v>2561</v>
      </c>
      <c r="N685" t="s">
        <v>2580</v>
      </c>
      <c r="O685" t="s">
        <v>2601</v>
      </c>
      <c r="P685" t="s">
        <v>2564</v>
      </c>
      <c r="Q685" t="s">
        <v>2582</v>
      </c>
      <c r="R685" t="s">
        <v>2601</v>
      </c>
      <c r="S685" t="s">
        <v>2607</v>
      </c>
      <c r="T685">
        <v>1</v>
      </c>
      <c r="U685" s="2">
        <v>370.27</v>
      </c>
      <c r="V685" s="3">
        <v>0</v>
      </c>
      <c r="W685" s="2">
        <v>370.27</v>
      </c>
      <c r="X685" s="2">
        <v>131.58000000000001</v>
      </c>
      <c r="Y685" s="3">
        <v>0.35536230318416301</v>
      </c>
      <c r="Z685" t="s">
        <v>1497</v>
      </c>
      <c r="AA685" t="s">
        <v>1498</v>
      </c>
      <c r="AB685" t="s">
        <v>1501</v>
      </c>
      <c r="AC685">
        <v>0</v>
      </c>
      <c r="AD685">
        <v>2025</v>
      </c>
      <c r="AE685" t="s">
        <v>2812</v>
      </c>
      <c r="AF685" t="s">
        <v>2836</v>
      </c>
      <c r="AG685" t="s">
        <v>2845</v>
      </c>
      <c r="AH685" t="s">
        <v>2848</v>
      </c>
      <c r="AI685">
        <v>1</v>
      </c>
    </row>
    <row r="686" spans="1:35" x14ac:dyDescent="0.3">
      <c r="A686" t="s">
        <v>664</v>
      </c>
      <c r="B686">
        <v>1</v>
      </c>
      <c r="C686" s="1">
        <v>45801</v>
      </c>
      <c r="D686" s="1">
        <v>45803</v>
      </c>
      <c r="E686" t="s">
        <v>1185</v>
      </c>
      <c r="F686" t="s">
        <v>1723</v>
      </c>
      <c r="G686" t="s">
        <v>1429</v>
      </c>
      <c r="H686" t="s">
        <v>2626</v>
      </c>
      <c r="I686" t="s">
        <v>2737</v>
      </c>
      <c r="J686" t="s">
        <v>2745</v>
      </c>
      <c r="K686" t="s">
        <v>1480</v>
      </c>
      <c r="L686" t="s">
        <v>2789</v>
      </c>
      <c r="M686" t="s">
        <v>2556</v>
      </c>
      <c r="N686" t="s">
        <v>2574</v>
      </c>
      <c r="O686" t="s">
        <v>2602</v>
      </c>
      <c r="R686" t="s">
        <v>2790</v>
      </c>
      <c r="S686" t="s">
        <v>2608</v>
      </c>
      <c r="T686">
        <v>2</v>
      </c>
      <c r="U686" s="2">
        <v>63166.03</v>
      </c>
      <c r="V686" s="3">
        <v>0</v>
      </c>
      <c r="W686" s="2">
        <v>126332.06</v>
      </c>
      <c r="X686" s="2">
        <v>18505.759999999998</v>
      </c>
      <c r="Y686" s="3">
        <v>0.14648506483627349</v>
      </c>
      <c r="Z686" t="s">
        <v>1493</v>
      </c>
      <c r="AA686" t="s">
        <v>1499</v>
      </c>
      <c r="AB686" t="s">
        <v>1501</v>
      </c>
      <c r="AC686">
        <v>2</v>
      </c>
      <c r="AD686">
        <v>2025</v>
      </c>
      <c r="AE686" t="s">
        <v>2812</v>
      </c>
      <c r="AF686" t="s">
        <v>2836</v>
      </c>
      <c r="AG686" t="s">
        <v>2845</v>
      </c>
      <c r="AH686" t="s">
        <v>2848</v>
      </c>
      <c r="AI686">
        <v>1</v>
      </c>
    </row>
    <row r="687" spans="1:35" x14ac:dyDescent="0.3">
      <c r="A687" t="s">
        <v>665</v>
      </c>
      <c r="B687">
        <v>1</v>
      </c>
      <c r="C687" s="1">
        <v>45802</v>
      </c>
      <c r="D687" s="1">
        <v>45803</v>
      </c>
      <c r="E687" t="s">
        <v>1143</v>
      </c>
      <c r="F687" t="s">
        <v>2038</v>
      </c>
      <c r="G687" t="s">
        <v>1336</v>
      </c>
      <c r="H687" t="s">
        <v>2721</v>
      </c>
      <c r="I687" t="s">
        <v>2742</v>
      </c>
      <c r="J687" t="s">
        <v>2769</v>
      </c>
      <c r="K687" t="s">
        <v>1485</v>
      </c>
      <c r="L687" t="s">
        <v>2775</v>
      </c>
      <c r="M687" t="s">
        <v>2551</v>
      </c>
      <c r="N687" t="s">
        <v>2574</v>
      </c>
      <c r="O687" t="s">
        <v>2602</v>
      </c>
      <c r="P687" t="s">
        <v>2562</v>
      </c>
      <c r="Q687" t="s">
        <v>2574</v>
      </c>
      <c r="R687" t="s">
        <v>2602</v>
      </c>
      <c r="S687" t="s">
        <v>2606</v>
      </c>
      <c r="T687">
        <v>1</v>
      </c>
      <c r="U687" s="2">
        <v>18469.3</v>
      </c>
      <c r="V687" s="3">
        <v>0</v>
      </c>
      <c r="W687" s="2">
        <v>18469.3</v>
      </c>
      <c r="X687" s="2">
        <v>4898.66</v>
      </c>
      <c r="Y687" s="3">
        <v>0.26523257513820231</v>
      </c>
      <c r="Z687" t="s">
        <v>1495</v>
      </c>
      <c r="AA687" t="s">
        <v>1499</v>
      </c>
      <c r="AB687" t="s">
        <v>1501</v>
      </c>
      <c r="AC687">
        <v>1</v>
      </c>
      <c r="AD687">
        <v>2025</v>
      </c>
      <c r="AE687" t="s">
        <v>2812</v>
      </c>
      <c r="AF687" t="s">
        <v>2836</v>
      </c>
      <c r="AG687" t="s">
        <v>2845</v>
      </c>
      <c r="AH687" t="s">
        <v>2848</v>
      </c>
      <c r="AI687">
        <v>1</v>
      </c>
    </row>
    <row r="688" spans="1:35" x14ac:dyDescent="0.3">
      <c r="A688" t="s">
        <v>666</v>
      </c>
      <c r="B688">
        <v>1</v>
      </c>
      <c r="C688" s="1">
        <v>45803</v>
      </c>
      <c r="D688" s="1">
        <v>45805</v>
      </c>
      <c r="E688" t="s">
        <v>1092</v>
      </c>
      <c r="F688" t="s">
        <v>2003</v>
      </c>
      <c r="G688" t="s">
        <v>1414</v>
      </c>
      <c r="H688" t="s">
        <v>2641</v>
      </c>
      <c r="I688" t="s">
        <v>2738</v>
      </c>
      <c r="J688" t="s">
        <v>2749</v>
      </c>
      <c r="K688" t="s">
        <v>1480</v>
      </c>
      <c r="L688" t="s">
        <v>2789</v>
      </c>
      <c r="M688" t="s">
        <v>2560</v>
      </c>
      <c r="N688" t="s">
        <v>2579</v>
      </c>
      <c r="O688" t="s">
        <v>2604</v>
      </c>
      <c r="R688" t="s">
        <v>2790</v>
      </c>
      <c r="S688" t="s">
        <v>2608</v>
      </c>
      <c r="T688">
        <v>4</v>
      </c>
      <c r="U688" s="2">
        <v>20329.61</v>
      </c>
      <c r="V688" s="3">
        <v>0</v>
      </c>
      <c r="W688" s="2">
        <v>81318.44</v>
      </c>
      <c r="X688" s="2">
        <v>19849.52</v>
      </c>
      <c r="Y688" s="3">
        <v>0.2440961730205351</v>
      </c>
      <c r="Z688" t="s">
        <v>1494</v>
      </c>
      <c r="AA688" t="s">
        <v>1498</v>
      </c>
      <c r="AB688" t="s">
        <v>1501</v>
      </c>
      <c r="AC688">
        <v>2</v>
      </c>
      <c r="AD688">
        <v>2025</v>
      </c>
      <c r="AE688" t="s">
        <v>2812</v>
      </c>
      <c r="AF688" t="s">
        <v>2836</v>
      </c>
      <c r="AG688" t="s">
        <v>2845</v>
      </c>
      <c r="AH688" t="s">
        <v>2848</v>
      </c>
      <c r="AI688">
        <v>1</v>
      </c>
    </row>
    <row r="689" spans="1:35" x14ac:dyDescent="0.3">
      <c r="A689" t="s">
        <v>667</v>
      </c>
      <c r="B689">
        <v>1</v>
      </c>
      <c r="C689" s="1">
        <v>45805</v>
      </c>
      <c r="D689" s="1">
        <v>45808</v>
      </c>
      <c r="E689" t="s">
        <v>1281</v>
      </c>
      <c r="F689" t="s">
        <v>2008</v>
      </c>
      <c r="G689" t="s">
        <v>1411</v>
      </c>
      <c r="H689" t="s">
        <v>2617</v>
      </c>
      <c r="I689" t="s">
        <v>2737</v>
      </c>
      <c r="J689" t="s">
        <v>2744</v>
      </c>
      <c r="K689" t="s">
        <v>1480</v>
      </c>
      <c r="L689" t="s">
        <v>2789</v>
      </c>
      <c r="M689" t="s">
        <v>2557</v>
      </c>
      <c r="N689" t="s">
        <v>2576</v>
      </c>
      <c r="O689" t="s">
        <v>2602</v>
      </c>
      <c r="R689" t="s">
        <v>2790</v>
      </c>
      <c r="S689" t="s">
        <v>2606</v>
      </c>
      <c r="T689">
        <v>1</v>
      </c>
      <c r="U689" s="2">
        <v>65997.17</v>
      </c>
      <c r="V689" s="3">
        <v>0</v>
      </c>
      <c r="W689" s="2">
        <v>65997.17</v>
      </c>
      <c r="X689" s="2">
        <v>8206.18</v>
      </c>
      <c r="Y689" s="3">
        <v>0.1243413922142419</v>
      </c>
      <c r="Z689" t="s">
        <v>1493</v>
      </c>
      <c r="AA689" t="s">
        <v>1500</v>
      </c>
      <c r="AB689" t="s">
        <v>1501</v>
      </c>
      <c r="AC689">
        <v>3</v>
      </c>
      <c r="AD689">
        <v>2025</v>
      </c>
      <c r="AE689" t="s">
        <v>2812</v>
      </c>
      <c r="AF689" t="s">
        <v>2836</v>
      </c>
      <c r="AG689" t="s">
        <v>2845</v>
      </c>
      <c r="AH689" t="s">
        <v>2848</v>
      </c>
      <c r="AI689">
        <v>1</v>
      </c>
    </row>
    <row r="690" spans="1:35" x14ac:dyDescent="0.3">
      <c r="A690" t="s">
        <v>668</v>
      </c>
      <c r="B690">
        <v>1</v>
      </c>
      <c r="C690" s="1">
        <v>45807</v>
      </c>
      <c r="D690" s="1">
        <v>45809</v>
      </c>
      <c r="E690" t="s">
        <v>1017</v>
      </c>
      <c r="F690" t="s">
        <v>1898</v>
      </c>
      <c r="G690" t="s">
        <v>1447</v>
      </c>
      <c r="H690" t="s">
        <v>2728</v>
      </c>
      <c r="I690" t="s">
        <v>2742</v>
      </c>
      <c r="J690" t="s">
        <v>2771</v>
      </c>
      <c r="K690" t="s">
        <v>1480</v>
      </c>
      <c r="L690" t="s">
        <v>2789</v>
      </c>
      <c r="M690" t="s">
        <v>2551</v>
      </c>
      <c r="N690" t="s">
        <v>2574</v>
      </c>
      <c r="O690" t="s">
        <v>2602</v>
      </c>
      <c r="R690" t="s">
        <v>2790</v>
      </c>
      <c r="S690" t="s">
        <v>2606</v>
      </c>
      <c r="T690">
        <v>2</v>
      </c>
      <c r="U690" s="2">
        <v>4260.03</v>
      </c>
      <c r="V690" s="3">
        <v>0</v>
      </c>
      <c r="W690" s="2">
        <v>8520.06</v>
      </c>
      <c r="X690" s="2">
        <v>1461.76</v>
      </c>
      <c r="Y690" s="3">
        <v>0.17156686689999839</v>
      </c>
      <c r="Z690" t="s">
        <v>1496</v>
      </c>
      <c r="AA690" t="s">
        <v>1499</v>
      </c>
      <c r="AB690" t="s">
        <v>1502</v>
      </c>
      <c r="AC690">
        <v>2</v>
      </c>
      <c r="AD690">
        <v>2025</v>
      </c>
      <c r="AE690" t="s">
        <v>2812</v>
      </c>
      <c r="AF690" t="s">
        <v>2836</v>
      </c>
      <c r="AG690" t="s">
        <v>2845</v>
      </c>
      <c r="AH690" t="s">
        <v>2848</v>
      </c>
      <c r="AI690">
        <v>1</v>
      </c>
    </row>
    <row r="691" spans="1:35" x14ac:dyDescent="0.3">
      <c r="A691" t="s">
        <v>669</v>
      </c>
      <c r="B691">
        <v>1</v>
      </c>
      <c r="C691" s="1">
        <v>45809</v>
      </c>
      <c r="D691" s="1">
        <v>45812</v>
      </c>
      <c r="E691" t="s">
        <v>1172</v>
      </c>
      <c r="F691" t="s">
        <v>1778</v>
      </c>
      <c r="G691" t="s">
        <v>1435</v>
      </c>
      <c r="H691" t="s">
        <v>2633</v>
      </c>
      <c r="I691" t="s">
        <v>2737</v>
      </c>
      <c r="J691" t="s">
        <v>2747</v>
      </c>
      <c r="K691" t="s">
        <v>1480</v>
      </c>
      <c r="L691" t="s">
        <v>2789</v>
      </c>
      <c r="M691" t="s">
        <v>2569</v>
      </c>
      <c r="N691" t="s">
        <v>2587</v>
      </c>
      <c r="O691" t="s">
        <v>2604</v>
      </c>
      <c r="R691" t="s">
        <v>2790</v>
      </c>
      <c r="S691" t="s">
        <v>2606</v>
      </c>
      <c r="T691">
        <v>2</v>
      </c>
      <c r="U691" s="2">
        <v>62926.96</v>
      </c>
      <c r="V691" s="3">
        <v>0</v>
      </c>
      <c r="W691" s="2">
        <v>125853.92</v>
      </c>
      <c r="X691" s="2">
        <v>18428.96</v>
      </c>
      <c r="Y691" s="3">
        <v>0.1464313547007515</v>
      </c>
      <c r="Z691" t="s">
        <v>1494</v>
      </c>
      <c r="AA691" t="s">
        <v>1498</v>
      </c>
      <c r="AB691" t="s">
        <v>1501</v>
      </c>
      <c r="AC691">
        <v>3</v>
      </c>
      <c r="AD691">
        <v>2025</v>
      </c>
      <c r="AE691" t="s">
        <v>2813</v>
      </c>
      <c r="AF691" t="s">
        <v>2837</v>
      </c>
      <c r="AG691" t="s">
        <v>2845</v>
      </c>
      <c r="AH691" t="s">
        <v>2848</v>
      </c>
      <c r="AI691">
        <v>1</v>
      </c>
    </row>
    <row r="692" spans="1:35" x14ac:dyDescent="0.3">
      <c r="A692" t="s">
        <v>670</v>
      </c>
      <c r="B692">
        <v>2</v>
      </c>
      <c r="C692" s="1">
        <v>45810</v>
      </c>
      <c r="D692" s="1">
        <v>45811</v>
      </c>
      <c r="E692" t="s">
        <v>1247</v>
      </c>
      <c r="F692" t="s">
        <v>1724</v>
      </c>
      <c r="G692" t="s">
        <v>1441</v>
      </c>
      <c r="H692" t="s">
        <v>2660</v>
      </c>
      <c r="I692" t="s">
        <v>2738</v>
      </c>
      <c r="J692" t="s">
        <v>2754</v>
      </c>
      <c r="K692" t="s">
        <v>1484</v>
      </c>
      <c r="L692" t="s">
        <v>2778</v>
      </c>
      <c r="M692" t="s">
        <v>2558</v>
      </c>
      <c r="N692" t="s">
        <v>2558</v>
      </c>
      <c r="O692" t="s">
        <v>2603</v>
      </c>
      <c r="P692" t="s">
        <v>2559</v>
      </c>
      <c r="Q692" t="s">
        <v>2559</v>
      </c>
      <c r="R692" t="s">
        <v>2603</v>
      </c>
      <c r="S692" t="s">
        <v>2607</v>
      </c>
      <c r="T692">
        <v>1</v>
      </c>
      <c r="U692" s="2">
        <v>6305.83</v>
      </c>
      <c r="V692" s="3">
        <v>0.2</v>
      </c>
      <c r="W692" s="2">
        <v>5044.66</v>
      </c>
      <c r="X692" s="2">
        <v>163.63</v>
      </c>
      <c r="Y692" s="3">
        <v>3.2436279154591192E-2</v>
      </c>
      <c r="Z692" t="s">
        <v>1496</v>
      </c>
      <c r="AA692" t="s">
        <v>1499</v>
      </c>
      <c r="AB692" t="s">
        <v>1501</v>
      </c>
      <c r="AC692">
        <v>1</v>
      </c>
      <c r="AD692">
        <v>2025</v>
      </c>
      <c r="AE692" t="s">
        <v>2813</v>
      </c>
      <c r="AF692" t="s">
        <v>2837</v>
      </c>
      <c r="AG692" t="s">
        <v>2845</v>
      </c>
      <c r="AH692" t="s">
        <v>2848</v>
      </c>
      <c r="AI692">
        <v>1</v>
      </c>
    </row>
    <row r="693" spans="1:35" x14ac:dyDescent="0.3">
      <c r="A693" t="s">
        <v>671</v>
      </c>
      <c r="B693">
        <v>1</v>
      </c>
      <c r="C693" s="1">
        <v>45810</v>
      </c>
      <c r="D693" s="1">
        <v>45813</v>
      </c>
      <c r="E693" t="s">
        <v>1127</v>
      </c>
      <c r="F693" t="s">
        <v>1689</v>
      </c>
      <c r="G693" t="s">
        <v>1363</v>
      </c>
      <c r="H693" t="s">
        <v>2722</v>
      </c>
      <c r="I693" t="s">
        <v>2742</v>
      </c>
      <c r="J693" t="s">
        <v>2769</v>
      </c>
      <c r="K693" t="s">
        <v>1480</v>
      </c>
      <c r="L693" t="s">
        <v>2789</v>
      </c>
      <c r="M693" t="s">
        <v>2565</v>
      </c>
      <c r="N693" t="s">
        <v>2589</v>
      </c>
      <c r="O693" t="s">
        <v>2604</v>
      </c>
      <c r="R693" t="s">
        <v>2790</v>
      </c>
      <c r="S693" t="s">
        <v>2606</v>
      </c>
      <c r="T693">
        <v>1</v>
      </c>
      <c r="U693" s="2">
        <v>23041.22</v>
      </c>
      <c r="V693" s="3">
        <v>0.15</v>
      </c>
      <c r="W693" s="2">
        <v>19585.04</v>
      </c>
      <c r="X693" s="2">
        <v>1508.56</v>
      </c>
      <c r="Y693" s="3">
        <v>7.7026138317818085E-2</v>
      </c>
      <c r="Z693" t="s">
        <v>1494</v>
      </c>
      <c r="AA693" t="s">
        <v>1498</v>
      </c>
      <c r="AB693" t="s">
        <v>1502</v>
      </c>
      <c r="AC693">
        <v>3</v>
      </c>
      <c r="AD693">
        <v>2025</v>
      </c>
      <c r="AE693" t="s">
        <v>2813</v>
      </c>
      <c r="AF693" t="s">
        <v>2837</v>
      </c>
      <c r="AG693" t="s">
        <v>2845</v>
      </c>
      <c r="AH693" t="s">
        <v>2848</v>
      </c>
      <c r="AI693">
        <v>1</v>
      </c>
    </row>
    <row r="694" spans="1:35" x14ac:dyDescent="0.3">
      <c r="A694" t="s">
        <v>672</v>
      </c>
      <c r="B694">
        <v>1</v>
      </c>
      <c r="C694" s="1">
        <v>45813</v>
      </c>
      <c r="D694" s="1">
        <v>45815</v>
      </c>
      <c r="E694" t="s">
        <v>1222</v>
      </c>
      <c r="F694" t="s">
        <v>1892</v>
      </c>
      <c r="G694" t="s">
        <v>1432</v>
      </c>
      <c r="H694" t="s">
        <v>2651</v>
      </c>
      <c r="I694" t="s">
        <v>2738</v>
      </c>
      <c r="J694" t="s">
        <v>2751</v>
      </c>
      <c r="K694" t="s">
        <v>1480</v>
      </c>
      <c r="L694" t="s">
        <v>2789</v>
      </c>
      <c r="M694" t="s">
        <v>2562</v>
      </c>
      <c r="N694" t="s">
        <v>2574</v>
      </c>
      <c r="O694" t="s">
        <v>2602</v>
      </c>
      <c r="R694" t="s">
        <v>2790</v>
      </c>
      <c r="S694" t="s">
        <v>2606</v>
      </c>
      <c r="T694">
        <v>2</v>
      </c>
      <c r="U694" s="2">
        <v>2490.0500000000002</v>
      </c>
      <c r="V694" s="3">
        <v>0.2</v>
      </c>
      <c r="W694" s="2">
        <v>3984.08</v>
      </c>
      <c r="X694" s="2">
        <v>165.48</v>
      </c>
      <c r="Y694" s="3">
        <v>4.1535310535933012E-2</v>
      </c>
      <c r="Z694" t="s">
        <v>1496</v>
      </c>
      <c r="AA694" t="s">
        <v>1499</v>
      </c>
      <c r="AB694" t="s">
        <v>1501</v>
      </c>
      <c r="AC694">
        <v>2</v>
      </c>
      <c r="AD694">
        <v>2025</v>
      </c>
      <c r="AE694" t="s">
        <v>2813</v>
      </c>
      <c r="AF694" t="s">
        <v>2837</v>
      </c>
      <c r="AG694" t="s">
        <v>2845</v>
      </c>
      <c r="AH694" t="s">
        <v>2848</v>
      </c>
      <c r="AI694">
        <v>1</v>
      </c>
    </row>
    <row r="695" spans="1:35" x14ac:dyDescent="0.3">
      <c r="A695" t="s">
        <v>673</v>
      </c>
      <c r="B695">
        <v>1</v>
      </c>
      <c r="C695" s="1">
        <v>45813</v>
      </c>
      <c r="D695" s="1">
        <v>45814</v>
      </c>
      <c r="E695" t="s">
        <v>1282</v>
      </c>
      <c r="F695" t="s">
        <v>1825</v>
      </c>
      <c r="G695" t="s">
        <v>1463</v>
      </c>
      <c r="H695" t="s">
        <v>2684</v>
      </c>
      <c r="I695" t="s">
        <v>2739</v>
      </c>
      <c r="J695" t="s">
        <v>2759</v>
      </c>
      <c r="K695" t="s">
        <v>1480</v>
      </c>
      <c r="L695" t="s">
        <v>2789</v>
      </c>
      <c r="M695" t="s">
        <v>2566</v>
      </c>
      <c r="N695" t="s">
        <v>2584</v>
      </c>
      <c r="O695" t="s">
        <v>2601</v>
      </c>
      <c r="R695" t="s">
        <v>2790</v>
      </c>
      <c r="S695" t="s">
        <v>2606</v>
      </c>
      <c r="T695">
        <v>1</v>
      </c>
      <c r="U695" s="2">
        <v>2936.96</v>
      </c>
      <c r="V695" s="3">
        <v>0.1</v>
      </c>
      <c r="W695" s="2">
        <v>2643.26</v>
      </c>
      <c r="X695" s="2">
        <v>666.74</v>
      </c>
      <c r="Y695" s="3">
        <v>0.25224155020694139</v>
      </c>
      <c r="Z695" t="s">
        <v>1496</v>
      </c>
      <c r="AA695" t="s">
        <v>1498</v>
      </c>
      <c r="AB695" t="s">
        <v>1501</v>
      </c>
      <c r="AC695">
        <v>1</v>
      </c>
      <c r="AD695">
        <v>2025</v>
      </c>
      <c r="AE695" t="s">
        <v>2813</v>
      </c>
      <c r="AF695" t="s">
        <v>2837</v>
      </c>
      <c r="AG695" t="s">
        <v>2845</v>
      </c>
      <c r="AH695" t="s">
        <v>2848</v>
      </c>
      <c r="AI695">
        <v>1</v>
      </c>
    </row>
    <row r="696" spans="1:35" x14ac:dyDescent="0.3">
      <c r="A696" t="s">
        <v>674</v>
      </c>
      <c r="B696">
        <v>3</v>
      </c>
      <c r="C696" s="1">
        <v>45814</v>
      </c>
      <c r="D696" s="1">
        <v>45814</v>
      </c>
      <c r="E696" t="s">
        <v>969</v>
      </c>
      <c r="F696" t="s">
        <v>1703</v>
      </c>
      <c r="G696" t="s">
        <v>1362</v>
      </c>
      <c r="H696" t="s">
        <v>2714</v>
      </c>
      <c r="I696" t="s">
        <v>2741</v>
      </c>
      <c r="J696" t="s">
        <v>2767</v>
      </c>
      <c r="K696" t="s">
        <v>1481</v>
      </c>
      <c r="L696" t="s">
        <v>2777</v>
      </c>
      <c r="M696" t="s">
        <v>2553</v>
      </c>
      <c r="N696" t="s">
        <v>2576</v>
      </c>
      <c r="O696" t="s">
        <v>2602</v>
      </c>
      <c r="P696" t="s">
        <v>2557</v>
      </c>
      <c r="Q696" t="s">
        <v>2576</v>
      </c>
      <c r="R696" t="s">
        <v>2602</v>
      </c>
      <c r="S696" t="s">
        <v>2607</v>
      </c>
      <c r="T696">
        <v>3</v>
      </c>
      <c r="U696" s="2">
        <v>375.5</v>
      </c>
      <c r="V696" s="3">
        <v>0</v>
      </c>
      <c r="W696" s="2">
        <v>1126.5</v>
      </c>
      <c r="X696" s="2">
        <v>438.45</v>
      </c>
      <c r="Y696" s="3">
        <v>0.38921438082556592</v>
      </c>
      <c r="Z696" t="s">
        <v>2807</v>
      </c>
      <c r="AA696" t="s">
        <v>1498</v>
      </c>
      <c r="AB696" t="s">
        <v>1501</v>
      </c>
      <c r="AC696">
        <v>0</v>
      </c>
      <c r="AD696">
        <v>2025</v>
      </c>
      <c r="AE696" t="s">
        <v>2813</v>
      </c>
      <c r="AF696" t="s">
        <v>2837</v>
      </c>
      <c r="AG696" t="s">
        <v>2845</v>
      </c>
      <c r="AH696" t="s">
        <v>2848</v>
      </c>
      <c r="AI696">
        <v>1</v>
      </c>
    </row>
    <row r="697" spans="1:35" x14ac:dyDescent="0.3">
      <c r="A697" t="s">
        <v>675</v>
      </c>
      <c r="B697">
        <v>1</v>
      </c>
      <c r="C697" s="1">
        <v>45814</v>
      </c>
      <c r="D697" s="1">
        <v>45817</v>
      </c>
      <c r="E697" t="s">
        <v>1246</v>
      </c>
      <c r="F697" t="s">
        <v>1720</v>
      </c>
      <c r="G697" t="s">
        <v>1476</v>
      </c>
      <c r="H697" t="s">
        <v>2710</v>
      </c>
      <c r="I697" t="s">
        <v>2741</v>
      </c>
      <c r="J697" t="s">
        <v>2766</v>
      </c>
      <c r="K697" t="s">
        <v>1480</v>
      </c>
      <c r="L697" t="s">
        <v>2789</v>
      </c>
      <c r="M697" t="s">
        <v>2570</v>
      </c>
      <c r="N697" t="s">
        <v>2590</v>
      </c>
      <c r="O697" t="s">
        <v>2605</v>
      </c>
      <c r="R697" t="s">
        <v>2790</v>
      </c>
      <c r="S697" t="s">
        <v>2607</v>
      </c>
      <c r="T697">
        <v>1</v>
      </c>
      <c r="U697" s="2">
        <v>114.74</v>
      </c>
      <c r="V697" s="3">
        <v>0</v>
      </c>
      <c r="W697" s="2">
        <v>114.74</v>
      </c>
      <c r="X697" s="2">
        <v>27.58</v>
      </c>
      <c r="Y697" s="3">
        <v>0.24036953111382259</v>
      </c>
      <c r="Z697" t="s">
        <v>1493</v>
      </c>
      <c r="AA697" t="s">
        <v>1498</v>
      </c>
      <c r="AB697" t="s">
        <v>1501</v>
      </c>
      <c r="AC697">
        <v>3</v>
      </c>
      <c r="AD697">
        <v>2025</v>
      </c>
      <c r="AE697" t="s">
        <v>2813</v>
      </c>
      <c r="AF697" t="s">
        <v>2837</v>
      </c>
      <c r="AG697" t="s">
        <v>2845</v>
      </c>
      <c r="AH697" t="s">
        <v>2848</v>
      </c>
      <c r="AI697">
        <v>1</v>
      </c>
    </row>
    <row r="698" spans="1:35" x14ac:dyDescent="0.3">
      <c r="A698" t="s">
        <v>675</v>
      </c>
      <c r="B698">
        <v>1</v>
      </c>
      <c r="C698" s="1">
        <v>45814</v>
      </c>
      <c r="D698" s="1">
        <v>45817</v>
      </c>
      <c r="E698" t="s">
        <v>1246</v>
      </c>
      <c r="F698" t="s">
        <v>1720</v>
      </c>
      <c r="G698" t="s">
        <v>1476</v>
      </c>
      <c r="H698" t="s">
        <v>2710</v>
      </c>
      <c r="I698" t="s">
        <v>2741</v>
      </c>
      <c r="J698" t="s">
        <v>2766</v>
      </c>
      <c r="K698" t="s">
        <v>1480</v>
      </c>
      <c r="L698" t="s">
        <v>2789</v>
      </c>
      <c r="M698" t="s">
        <v>2570</v>
      </c>
      <c r="N698" t="s">
        <v>2590</v>
      </c>
      <c r="O698" t="s">
        <v>2605</v>
      </c>
      <c r="R698" t="s">
        <v>2790</v>
      </c>
      <c r="S698" t="s">
        <v>2607</v>
      </c>
      <c r="T698">
        <v>1</v>
      </c>
      <c r="U698" s="2">
        <v>114.74</v>
      </c>
      <c r="V698" s="3">
        <v>0</v>
      </c>
      <c r="W698" s="2">
        <v>114.74</v>
      </c>
      <c r="X698" s="2">
        <v>27.58</v>
      </c>
      <c r="Y698" s="3">
        <v>0.24036953111382259</v>
      </c>
      <c r="Z698" t="s">
        <v>1493</v>
      </c>
      <c r="AA698" t="s">
        <v>1498</v>
      </c>
      <c r="AB698" t="s">
        <v>1501</v>
      </c>
      <c r="AC698">
        <v>3</v>
      </c>
      <c r="AD698">
        <v>2025</v>
      </c>
      <c r="AE698" t="s">
        <v>2813</v>
      </c>
      <c r="AF698" t="s">
        <v>2837</v>
      </c>
      <c r="AG698" t="s">
        <v>2845</v>
      </c>
      <c r="AH698" t="s">
        <v>2848</v>
      </c>
      <c r="AI698">
        <v>0</v>
      </c>
    </row>
    <row r="699" spans="1:35" x14ac:dyDescent="0.3">
      <c r="A699" t="s">
        <v>676</v>
      </c>
      <c r="B699">
        <v>1</v>
      </c>
      <c r="C699" s="1">
        <v>45814</v>
      </c>
      <c r="D699" s="1">
        <v>45816</v>
      </c>
      <c r="E699" t="s">
        <v>1283</v>
      </c>
      <c r="F699" t="s">
        <v>1971</v>
      </c>
      <c r="G699" t="s">
        <v>1351</v>
      </c>
      <c r="H699" t="s">
        <v>2677</v>
      </c>
      <c r="I699" t="s">
        <v>2739</v>
      </c>
      <c r="J699" t="s">
        <v>2758</v>
      </c>
      <c r="K699" t="s">
        <v>1480</v>
      </c>
      <c r="L699" t="s">
        <v>2789</v>
      </c>
      <c r="M699" t="s">
        <v>2560</v>
      </c>
      <c r="N699" t="s">
        <v>2579</v>
      </c>
      <c r="O699" t="s">
        <v>2604</v>
      </c>
      <c r="R699" t="s">
        <v>2790</v>
      </c>
      <c r="S699" t="s">
        <v>2606</v>
      </c>
      <c r="T699">
        <v>1</v>
      </c>
      <c r="U699" s="2">
        <v>5049.71</v>
      </c>
      <c r="V699" s="3">
        <v>0.15</v>
      </c>
      <c r="W699" s="2">
        <v>4292.25</v>
      </c>
      <c r="X699" s="2">
        <v>557.45000000000005</v>
      </c>
      <c r="Y699" s="3">
        <v>0.12987360941231291</v>
      </c>
      <c r="Z699" t="s">
        <v>1493</v>
      </c>
      <c r="AA699" t="s">
        <v>1500</v>
      </c>
      <c r="AB699" t="s">
        <v>1502</v>
      </c>
      <c r="AC699">
        <v>2</v>
      </c>
      <c r="AD699">
        <v>2025</v>
      </c>
      <c r="AE699" t="s">
        <v>2813</v>
      </c>
      <c r="AF699" t="s">
        <v>2837</v>
      </c>
      <c r="AG699" t="s">
        <v>2845</v>
      </c>
      <c r="AH699" t="s">
        <v>2848</v>
      </c>
      <c r="AI699">
        <v>1</v>
      </c>
    </row>
    <row r="700" spans="1:35" x14ac:dyDescent="0.3">
      <c r="A700" t="s">
        <v>677</v>
      </c>
      <c r="B700">
        <v>1</v>
      </c>
      <c r="C700" s="1">
        <v>45815</v>
      </c>
      <c r="D700" s="1">
        <v>45816</v>
      </c>
      <c r="E700" t="s">
        <v>1211</v>
      </c>
      <c r="F700" t="s">
        <v>1815</v>
      </c>
      <c r="G700" t="s">
        <v>1400</v>
      </c>
      <c r="H700" t="s">
        <v>2642</v>
      </c>
      <c r="I700" t="s">
        <v>2738</v>
      </c>
      <c r="J700" t="s">
        <v>2750</v>
      </c>
      <c r="K700" t="s">
        <v>1489</v>
      </c>
      <c r="L700" t="s">
        <v>2787</v>
      </c>
      <c r="M700" t="s">
        <v>2550</v>
      </c>
      <c r="N700" t="s">
        <v>2573</v>
      </c>
      <c r="O700" t="s">
        <v>2601</v>
      </c>
      <c r="P700" t="s">
        <v>2566</v>
      </c>
      <c r="Q700" t="s">
        <v>2584</v>
      </c>
      <c r="R700" t="s">
        <v>2601</v>
      </c>
      <c r="S700" t="s">
        <v>2606</v>
      </c>
      <c r="T700">
        <v>1</v>
      </c>
      <c r="U700" s="2">
        <v>36178.629999999997</v>
      </c>
      <c r="V700" s="3">
        <v>0</v>
      </c>
      <c r="W700" s="2">
        <v>36178.629999999997</v>
      </c>
      <c r="X700" s="2">
        <v>5875.75</v>
      </c>
      <c r="Y700" s="3">
        <v>0.1624094113016441</v>
      </c>
      <c r="Z700" t="s">
        <v>1496</v>
      </c>
      <c r="AA700" t="s">
        <v>1499</v>
      </c>
      <c r="AB700" t="s">
        <v>1501</v>
      </c>
      <c r="AC700">
        <v>1</v>
      </c>
      <c r="AD700">
        <v>2025</v>
      </c>
      <c r="AE700" t="s">
        <v>2813</v>
      </c>
      <c r="AF700" t="s">
        <v>2837</v>
      </c>
      <c r="AG700" t="s">
        <v>2845</v>
      </c>
      <c r="AH700" t="s">
        <v>2848</v>
      </c>
      <c r="AI700">
        <v>1</v>
      </c>
    </row>
    <row r="701" spans="1:35" x14ac:dyDescent="0.3">
      <c r="A701" t="s">
        <v>678</v>
      </c>
      <c r="B701">
        <v>1</v>
      </c>
      <c r="C701" s="1">
        <v>45815</v>
      </c>
      <c r="D701" s="1">
        <v>45816</v>
      </c>
      <c r="E701" t="s">
        <v>1044</v>
      </c>
      <c r="F701" t="s">
        <v>1816</v>
      </c>
      <c r="G701" t="s">
        <v>1332</v>
      </c>
      <c r="H701" t="s">
        <v>2630</v>
      </c>
      <c r="I701" t="s">
        <v>2737</v>
      </c>
      <c r="J701" t="s">
        <v>2746</v>
      </c>
      <c r="K701" t="s">
        <v>1489</v>
      </c>
      <c r="L701" t="s">
        <v>2787</v>
      </c>
      <c r="M701" t="s">
        <v>2550</v>
      </c>
      <c r="N701" t="s">
        <v>2573</v>
      </c>
      <c r="O701" t="s">
        <v>2601</v>
      </c>
      <c r="P701" t="s">
        <v>2566</v>
      </c>
      <c r="Q701" t="s">
        <v>2584</v>
      </c>
      <c r="R701" t="s">
        <v>2601</v>
      </c>
      <c r="S701" t="s">
        <v>2608</v>
      </c>
      <c r="T701">
        <v>1</v>
      </c>
      <c r="U701" s="2">
        <v>45652.65</v>
      </c>
      <c r="V701" s="3">
        <v>0.2</v>
      </c>
      <c r="W701" s="2">
        <v>36522.120000000003</v>
      </c>
      <c r="X701" s="2">
        <v>-1985.9</v>
      </c>
      <c r="Y701" s="3">
        <v>-5.4375266276985017E-2</v>
      </c>
      <c r="Z701" t="s">
        <v>1496</v>
      </c>
      <c r="AA701" t="s">
        <v>1498</v>
      </c>
      <c r="AB701" t="s">
        <v>1501</v>
      </c>
      <c r="AC701">
        <v>1</v>
      </c>
      <c r="AD701">
        <v>2025</v>
      </c>
      <c r="AE701" t="s">
        <v>2813</v>
      </c>
      <c r="AF701" t="s">
        <v>2837</v>
      </c>
      <c r="AG701" t="s">
        <v>2845</v>
      </c>
      <c r="AH701" t="s">
        <v>2848</v>
      </c>
      <c r="AI701">
        <v>1</v>
      </c>
    </row>
    <row r="702" spans="1:35" x14ac:dyDescent="0.3">
      <c r="A702" t="s">
        <v>679</v>
      </c>
      <c r="B702">
        <v>1</v>
      </c>
      <c r="C702" s="1">
        <v>45815</v>
      </c>
      <c r="D702" s="1">
        <v>45816</v>
      </c>
      <c r="E702" t="s">
        <v>1277</v>
      </c>
      <c r="F702" t="s">
        <v>1871</v>
      </c>
      <c r="G702" t="s">
        <v>1347</v>
      </c>
      <c r="H702" t="s">
        <v>2627</v>
      </c>
      <c r="I702" t="s">
        <v>2737</v>
      </c>
      <c r="J702" t="s">
        <v>2745</v>
      </c>
      <c r="K702" t="s">
        <v>1491</v>
      </c>
      <c r="L702" t="s">
        <v>2779</v>
      </c>
      <c r="M702" t="s">
        <v>2552</v>
      </c>
      <c r="N702" t="s">
        <v>2575</v>
      </c>
      <c r="O702" t="s">
        <v>2603</v>
      </c>
      <c r="P702" t="s">
        <v>2555</v>
      </c>
      <c r="Q702" t="s">
        <v>2578</v>
      </c>
      <c r="R702" t="s">
        <v>2603</v>
      </c>
      <c r="S702" t="s">
        <v>2606</v>
      </c>
      <c r="T702">
        <v>2</v>
      </c>
      <c r="U702" s="2">
        <v>56707.06</v>
      </c>
      <c r="V702" s="3">
        <v>0</v>
      </c>
      <c r="W702" s="2">
        <v>113414.12</v>
      </c>
      <c r="X702" s="2">
        <v>17927.7</v>
      </c>
      <c r="Y702" s="3">
        <v>0.15807291014557981</v>
      </c>
      <c r="Z702" t="s">
        <v>1496</v>
      </c>
      <c r="AA702" t="s">
        <v>1498</v>
      </c>
      <c r="AB702" t="s">
        <v>1501</v>
      </c>
      <c r="AC702">
        <v>1</v>
      </c>
      <c r="AD702">
        <v>2025</v>
      </c>
      <c r="AE702" t="s">
        <v>2813</v>
      </c>
      <c r="AF702" t="s">
        <v>2837</v>
      </c>
      <c r="AG702" t="s">
        <v>2845</v>
      </c>
      <c r="AH702" t="s">
        <v>2848</v>
      </c>
      <c r="AI702">
        <v>1</v>
      </c>
    </row>
    <row r="703" spans="1:35" x14ac:dyDescent="0.3">
      <c r="A703" t="s">
        <v>679</v>
      </c>
      <c r="B703">
        <v>2</v>
      </c>
      <c r="C703" s="1">
        <v>45815</v>
      </c>
      <c r="D703" s="1">
        <v>45816</v>
      </c>
      <c r="E703" t="s">
        <v>1277</v>
      </c>
      <c r="F703" t="s">
        <v>1871</v>
      </c>
      <c r="G703" t="s">
        <v>1371</v>
      </c>
      <c r="H703" t="s">
        <v>2671</v>
      </c>
      <c r="I703" t="s">
        <v>2739</v>
      </c>
      <c r="J703" t="s">
        <v>2756</v>
      </c>
      <c r="K703" t="s">
        <v>1491</v>
      </c>
      <c r="L703" t="s">
        <v>2779</v>
      </c>
      <c r="M703" t="s">
        <v>2552</v>
      </c>
      <c r="N703" t="s">
        <v>2575</v>
      </c>
      <c r="O703" t="s">
        <v>2603</v>
      </c>
      <c r="P703" t="s">
        <v>2555</v>
      </c>
      <c r="Q703" t="s">
        <v>2578</v>
      </c>
      <c r="R703" t="s">
        <v>2603</v>
      </c>
      <c r="S703" t="s">
        <v>2606</v>
      </c>
      <c r="T703">
        <v>1</v>
      </c>
      <c r="U703" s="2">
        <v>5245.11</v>
      </c>
      <c r="V703" s="3">
        <v>0.05</v>
      </c>
      <c r="W703" s="2">
        <v>4982.8500000000004</v>
      </c>
      <c r="X703" s="2">
        <v>1681.69</v>
      </c>
      <c r="Y703" s="3">
        <v>0.33749560994210143</v>
      </c>
      <c r="Z703" t="s">
        <v>1496</v>
      </c>
      <c r="AA703" t="s">
        <v>1498</v>
      </c>
      <c r="AB703" t="s">
        <v>1501</v>
      </c>
      <c r="AC703">
        <v>1</v>
      </c>
      <c r="AD703">
        <v>2025</v>
      </c>
      <c r="AE703" t="s">
        <v>2813</v>
      </c>
      <c r="AF703" t="s">
        <v>2837</v>
      </c>
      <c r="AG703" t="s">
        <v>2845</v>
      </c>
      <c r="AH703" t="s">
        <v>2848</v>
      </c>
      <c r="AI703">
        <v>0</v>
      </c>
    </row>
    <row r="704" spans="1:35" x14ac:dyDescent="0.3">
      <c r="A704" t="s">
        <v>680</v>
      </c>
      <c r="B704">
        <v>1</v>
      </c>
      <c r="C704" s="1">
        <v>45815</v>
      </c>
      <c r="D704" s="1">
        <v>45818</v>
      </c>
      <c r="E704" t="s">
        <v>1067</v>
      </c>
      <c r="F704" t="s">
        <v>1734</v>
      </c>
      <c r="G704" t="s">
        <v>1378</v>
      </c>
      <c r="H704" t="s">
        <v>2704</v>
      </c>
      <c r="I704" t="s">
        <v>2740</v>
      </c>
      <c r="J704" t="s">
        <v>2764</v>
      </c>
      <c r="K704" t="s">
        <v>1480</v>
      </c>
      <c r="L704" t="s">
        <v>2789</v>
      </c>
      <c r="M704" t="s">
        <v>2570</v>
      </c>
      <c r="N704" t="s">
        <v>2590</v>
      </c>
      <c r="O704" t="s">
        <v>2605</v>
      </c>
      <c r="R704" t="s">
        <v>2790</v>
      </c>
      <c r="S704" t="s">
        <v>2606</v>
      </c>
      <c r="T704">
        <v>1</v>
      </c>
      <c r="U704" s="2">
        <v>1378.78</v>
      </c>
      <c r="V704" s="3">
        <v>0.15</v>
      </c>
      <c r="W704" s="2">
        <v>1171.96</v>
      </c>
      <c r="X704" s="2">
        <v>-30.16</v>
      </c>
      <c r="Y704" s="3">
        <v>-2.5734666712174479E-2</v>
      </c>
      <c r="Z704" t="s">
        <v>1496</v>
      </c>
      <c r="AA704" t="s">
        <v>1498</v>
      </c>
      <c r="AB704" t="s">
        <v>1501</v>
      </c>
      <c r="AC704">
        <v>3</v>
      </c>
      <c r="AD704">
        <v>2025</v>
      </c>
      <c r="AE704" t="s">
        <v>2813</v>
      </c>
      <c r="AF704" t="s">
        <v>2837</v>
      </c>
      <c r="AG704" t="s">
        <v>2845</v>
      </c>
      <c r="AH704" t="s">
        <v>2848</v>
      </c>
      <c r="AI704">
        <v>1</v>
      </c>
    </row>
    <row r="705" spans="1:35" x14ac:dyDescent="0.3">
      <c r="A705" t="s">
        <v>681</v>
      </c>
      <c r="B705">
        <v>3</v>
      </c>
      <c r="C705" s="1">
        <v>45815</v>
      </c>
      <c r="D705" s="1">
        <v>45818</v>
      </c>
      <c r="E705" t="s">
        <v>1284</v>
      </c>
      <c r="F705" t="s">
        <v>2020</v>
      </c>
      <c r="G705" t="s">
        <v>1339</v>
      </c>
      <c r="H705" t="s">
        <v>2715</v>
      </c>
      <c r="I705" t="s">
        <v>2741</v>
      </c>
      <c r="J705" t="s">
        <v>2767</v>
      </c>
      <c r="K705" t="s">
        <v>1480</v>
      </c>
      <c r="L705" t="s">
        <v>2789</v>
      </c>
      <c r="M705" t="s">
        <v>2562</v>
      </c>
      <c r="N705" t="s">
        <v>2574</v>
      </c>
      <c r="O705" t="s">
        <v>2602</v>
      </c>
      <c r="R705" t="s">
        <v>2790</v>
      </c>
      <c r="S705" t="s">
        <v>2608</v>
      </c>
      <c r="T705">
        <v>1</v>
      </c>
      <c r="U705" s="2">
        <v>763.54</v>
      </c>
      <c r="V705" s="3">
        <v>0</v>
      </c>
      <c r="W705" s="2">
        <v>763.54</v>
      </c>
      <c r="X705" s="2">
        <v>240.98</v>
      </c>
      <c r="Y705" s="3">
        <v>0.31560887445320479</v>
      </c>
      <c r="Z705" t="s">
        <v>1497</v>
      </c>
      <c r="AA705" t="s">
        <v>1498</v>
      </c>
      <c r="AB705" t="s">
        <v>1501</v>
      </c>
      <c r="AC705">
        <v>3</v>
      </c>
      <c r="AD705">
        <v>2025</v>
      </c>
      <c r="AE705" t="s">
        <v>2813</v>
      </c>
      <c r="AF705" t="s">
        <v>2837</v>
      </c>
      <c r="AG705" t="s">
        <v>2845</v>
      </c>
      <c r="AH705" t="s">
        <v>2848</v>
      </c>
      <c r="AI705">
        <v>1</v>
      </c>
    </row>
    <row r="706" spans="1:35" x14ac:dyDescent="0.3">
      <c r="A706" t="s">
        <v>682</v>
      </c>
      <c r="B706">
        <v>1</v>
      </c>
      <c r="C706" s="1">
        <v>45816</v>
      </c>
      <c r="D706" s="1">
        <v>45816</v>
      </c>
      <c r="E706" t="s">
        <v>1046</v>
      </c>
      <c r="F706" t="s">
        <v>1843</v>
      </c>
      <c r="G706" t="s">
        <v>1348</v>
      </c>
      <c r="H706" t="s">
        <v>2669</v>
      </c>
      <c r="I706" t="s">
        <v>2739</v>
      </c>
      <c r="J706" t="s">
        <v>2756</v>
      </c>
      <c r="K706" t="s">
        <v>1488</v>
      </c>
      <c r="L706" t="s">
        <v>2780</v>
      </c>
      <c r="M706" t="s">
        <v>2555</v>
      </c>
      <c r="N706" t="s">
        <v>2578</v>
      </c>
      <c r="O706" t="s">
        <v>2603</v>
      </c>
      <c r="P706" t="s">
        <v>2552</v>
      </c>
      <c r="Q706" t="s">
        <v>2575</v>
      </c>
      <c r="R706" t="s">
        <v>2603</v>
      </c>
      <c r="S706" t="s">
        <v>2606</v>
      </c>
      <c r="T706">
        <v>3</v>
      </c>
      <c r="U706" s="2">
        <v>921.12</v>
      </c>
      <c r="V706" s="3">
        <v>0.15</v>
      </c>
      <c r="W706" s="2">
        <v>2348.86</v>
      </c>
      <c r="X706" s="2">
        <v>734.74</v>
      </c>
      <c r="Y706" s="3">
        <v>0.31280706385225171</v>
      </c>
      <c r="Z706" t="s">
        <v>1496</v>
      </c>
      <c r="AA706" t="s">
        <v>1498</v>
      </c>
      <c r="AB706" t="s">
        <v>1501</v>
      </c>
      <c r="AC706">
        <v>0</v>
      </c>
      <c r="AD706">
        <v>2025</v>
      </c>
      <c r="AE706" t="s">
        <v>2813</v>
      </c>
      <c r="AF706" t="s">
        <v>2837</v>
      </c>
      <c r="AG706" t="s">
        <v>2845</v>
      </c>
      <c r="AH706" t="s">
        <v>2848</v>
      </c>
      <c r="AI706">
        <v>1</v>
      </c>
    </row>
    <row r="707" spans="1:35" x14ac:dyDescent="0.3">
      <c r="A707" t="s">
        <v>683</v>
      </c>
      <c r="B707">
        <v>1</v>
      </c>
      <c r="C707" s="1">
        <v>45817</v>
      </c>
      <c r="D707" s="1">
        <v>45818</v>
      </c>
      <c r="E707" t="s">
        <v>1043</v>
      </c>
      <c r="F707" t="s">
        <v>1940</v>
      </c>
      <c r="G707" t="s">
        <v>1423</v>
      </c>
      <c r="H707" t="s">
        <v>2708</v>
      </c>
      <c r="I707" t="s">
        <v>2741</v>
      </c>
      <c r="J707" t="s">
        <v>2765</v>
      </c>
      <c r="K707" t="s">
        <v>1480</v>
      </c>
      <c r="L707" t="s">
        <v>2789</v>
      </c>
      <c r="M707" t="s">
        <v>2566</v>
      </c>
      <c r="N707" t="s">
        <v>2584</v>
      </c>
      <c r="O707" t="s">
        <v>2601</v>
      </c>
      <c r="R707" t="s">
        <v>2790</v>
      </c>
      <c r="S707" t="s">
        <v>2606</v>
      </c>
      <c r="T707">
        <v>1</v>
      </c>
      <c r="U707" s="2">
        <v>2319.64</v>
      </c>
      <c r="V707" s="3">
        <v>0</v>
      </c>
      <c r="W707" s="2">
        <v>2319.64</v>
      </c>
      <c r="X707" s="2">
        <v>822.13</v>
      </c>
      <c r="Y707" s="3">
        <v>0.35442137573071691</v>
      </c>
      <c r="Z707" t="s">
        <v>1497</v>
      </c>
      <c r="AA707" t="s">
        <v>1499</v>
      </c>
      <c r="AB707" t="s">
        <v>1501</v>
      </c>
      <c r="AC707">
        <v>1</v>
      </c>
      <c r="AD707">
        <v>2025</v>
      </c>
      <c r="AE707" t="s">
        <v>2813</v>
      </c>
      <c r="AF707" t="s">
        <v>2837</v>
      </c>
      <c r="AG707" t="s">
        <v>2845</v>
      </c>
      <c r="AH707" t="s">
        <v>2848</v>
      </c>
      <c r="AI707">
        <v>1</v>
      </c>
    </row>
    <row r="708" spans="1:35" x14ac:dyDescent="0.3">
      <c r="A708" t="s">
        <v>684</v>
      </c>
      <c r="B708">
        <v>1</v>
      </c>
      <c r="C708" s="1">
        <v>45817</v>
      </c>
      <c r="D708" s="1">
        <v>45817</v>
      </c>
      <c r="E708" t="s">
        <v>1050</v>
      </c>
      <c r="F708" t="s">
        <v>1753</v>
      </c>
      <c r="G708" t="s">
        <v>1408</v>
      </c>
      <c r="H708" t="s">
        <v>2680</v>
      </c>
      <c r="I708" t="s">
        <v>2739</v>
      </c>
      <c r="J708" t="s">
        <v>2758</v>
      </c>
      <c r="K708" t="s">
        <v>1485</v>
      </c>
      <c r="L708" t="s">
        <v>2775</v>
      </c>
      <c r="M708" t="s">
        <v>2556</v>
      </c>
      <c r="N708" t="s">
        <v>2574</v>
      </c>
      <c r="O708" t="s">
        <v>2602</v>
      </c>
      <c r="P708" t="s">
        <v>2562</v>
      </c>
      <c r="Q708" t="s">
        <v>2574</v>
      </c>
      <c r="R708" t="s">
        <v>2602</v>
      </c>
      <c r="S708" t="s">
        <v>2608</v>
      </c>
      <c r="T708">
        <v>1</v>
      </c>
      <c r="U708" s="2">
        <v>3284.39</v>
      </c>
      <c r="V708" s="3">
        <v>0.05</v>
      </c>
      <c r="W708" s="2">
        <v>3120.17</v>
      </c>
      <c r="X708" s="2">
        <v>723.66</v>
      </c>
      <c r="Y708" s="3">
        <v>0.23192967049872279</v>
      </c>
      <c r="Z708" t="s">
        <v>1497</v>
      </c>
      <c r="AA708" t="s">
        <v>1498</v>
      </c>
      <c r="AB708" t="s">
        <v>1501</v>
      </c>
      <c r="AC708">
        <v>0</v>
      </c>
      <c r="AD708">
        <v>2025</v>
      </c>
      <c r="AE708" t="s">
        <v>2813</v>
      </c>
      <c r="AF708" t="s">
        <v>2837</v>
      </c>
      <c r="AG708" t="s">
        <v>2845</v>
      </c>
      <c r="AH708" t="s">
        <v>2848</v>
      </c>
      <c r="AI708">
        <v>1</v>
      </c>
    </row>
    <row r="709" spans="1:35" x14ac:dyDescent="0.3">
      <c r="A709" t="s">
        <v>685</v>
      </c>
      <c r="B709">
        <v>1</v>
      </c>
      <c r="C709" s="1">
        <v>45818</v>
      </c>
      <c r="D709" s="1">
        <v>45820</v>
      </c>
      <c r="E709" t="s">
        <v>1172</v>
      </c>
      <c r="F709" t="s">
        <v>1778</v>
      </c>
      <c r="G709" t="s">
        <v>1341</v>
      </c>
      <c r="H709" t="s">
        <v>2678</v>
      </c>
      <c r="I709" t="s">
        <v>2739</v>
      </c>
      <c r="J709" t="s">
        <v>2758</v>
      </c>
      <c r="K709" t="s">
        <v>1480</v>
      </c>
      <c r="L709" t="s">
        <v>2789</v>
      </c>
      <c r="M709" t="s">
        <v>2569</v>
      </c>
      <c r="N709" t="s">
        <v>2587</v>
      </c>
      <c r="O709" t="s">
        <v>2604</v>
      </c>
      <c r="R709" t="s">
        <v>2790</v>
      </c>
      <c r="S709" t="s">
        <v>2606</v>
      </c>
      <c r="T709">
        <v>1</v>
      </c>
      <c r="U709" s="2">
        <v>1648.45</v>
      </c>
      <c r="V709" s="3">
        <v>0.25</v>
      </c>
      <c r="W709" s="2">
        <v>1236.3399999999999</v>
      </c>
      <c r="X709" s="2">
        <v>82.22</v>
      </c>
      <c r="Y709" s="3">
        <v>6.6502741964184611E-2</v>
      </c>
      <c r="Z709" t="s">
        <v>1496</v>
      </c>
      <c r="AA709" t="s">
        <v>1500</v>
      </c>
      <c r="AB709" t="s">
        <v>1501</v>
      </c>
      <c r="AC709">
        <v>2</v>
      </c>
      <c r="AD709">
        <v>2025</v>
      </c>
      <c r="AE709" t="s">
        <v>2813</v>
      </c>
      <c r="AF709" t="s">
        <v>2837</v>
      </c>
      <c r="AG709" t="s">
        <v>2845</v>
      </c>
      <c r="AH709" t="s">
        <v>2848</v>
      </c>
      <c r="AI709">
        <v>1</v>
      </c>
    </row>
    <row r="710" spans="1:35" x14ac:dyDescent="0.3">
      <c r="A710" t="s">
        <v>686</v>
      </c>
      <c r="B710">
        <v>1</v>
      </c>
      <c r="C710" s="1">
        <v>45818</v>
      </c>
      <c r="D710" s="1">
        <v>45818</v>
      </c>
      <c r="E710" t="s">
        <v>1033</v>
      </c>
      <c r="F710" t="s">
        <v>2040</v>
      </c>
      <c r="G710" t="s">
        <v>1337</v>
      </c>
      <c r="H710" t="s">
        <v>2628</v>
      </c>
      <c r="I710" t="s">
        <v>2737</v>
      </c>
      <c r="J710" t="s">
        <v>2746</v>
      </c>
      <c r="K710" t="s">
        <v>1482</v>
      </c>
      <c r="L710" t="s">
        <v>2783</v>
      </c>
      <c r="M710" t="s">
        <v>2563</v>
      </c>
      <c r="N710" t="s">
        <v>2581</v>
      </c>
      <c r="O710" t="s">
        <v>2604</v>
      </c>
      <c r="P710" t="s">
        <v>2560</v>
      </c>
      <c r="Q710" t="s">
        <v>2579</v>
      </c>
      <c r="R710" t="s">
        <v>2604</v>
      </c>
      <c r="S710" t="s">
        <v>2608</v>
      </c>
      <c r="T710">
        <v>3</v>
      </c>
      <c r="U710" s="2">
        <v>12042.96</v>
      </c>
      <c r="V710" s="3">
        <v>0</v>
      </c>
      <c r="W710" s="2">
        <v>36128.879999999997</v>
      </c>
      <c r="X710" s="2">
        <v>3304.08</v>
      </c>
      <c r="Y710" s="3">
        <v>9.1452599693098713E-2</v>
      </c>
      <c r="Z710" t="s">
        <v>1496</v>
      </c>
      <c r="AA710" t="s">
        <v>1498</v>
      </c>
      <c r="AB710" t="s">
        <v>1501</v>
      </c>
      <c r="AC710">
        <v>0</v>
      </c>
      <c r="AD710">
        <v>2025</v>
      </c>
      <c r="AE710" t="s">
        <v>2813</v>
      </c>
      <c r="AF710" t="s">
        <v>2837</v>
      </c>
      <c r="AG710" t="s">
        <v>2845</v>
      </c>
      <c r="AH710" t="s">
        <v>2848</v>
      </c>
      <c r="AI710">
        <v>1</v>
      </c>
    </row>
    <row r="711" spans="1:35" x14ac:dyDescent="0.3">
      <c r="A711" t="s">
        <v>687</v>
      </c>
      <c r="B711">
        <v>1</v>
      </c>
      <c r="C711" s="1">
        <v>45819</v>
      </c>
      <c r="D711" s="1">
        <v>45820</v>
      </c>
      <c r="E711" t="s">
        <v>1253</v>
      </c>
      <c r="F711" t="s">
        <v>1691</v>
      </c>
      <c r="G711" t="s">
        <v>1344</v>
      </c>
      <c r="H711" t="s">
        <v>2717</v>
      </c>
      <c r="I711" t="s">
        <v>2741</v>
      </c>
      <c r="J711" t="s">
        <v>2768</v>
      </c>
      <c r="K711" t="s">
        <v>1480</v>
      </c>
      <c r="L711" t="s">
        <v>2789</v>
      </c>
      <c r="M711" t="s">
        <v>2563</v>
      </c>
      <c r="N711" t="s">
        <v>2581</v>
      </c>
      <c r="O711" t="s">
        <v>2604</v>
      </c>
      <c r="R711" t="s">
        <v>2790</v>
      </c>
      <c r="S711" t="s">
        <v>2606</v>
      </c>
      <c r="T711">
        <v>1</v>
      </c>
      <c r="U711" s="2">
        <v>555.59</v>
      </c>
      <c r="V711" s="3">
        <v>0</v>
      </c>
      <c r="W711" s="2">
        <v>555.59</v>
      </c>
      <c r="X711" s="2">
        <v>176.49</v>
      </c>
      <c r="Y711" s="3">
        <v>0.31766230493709391</v>
      </c>
      <c r="Z711" t="s">
        <v>1496</v>
      </c>
      <c r="AA711" t="s">
        <v>1498</v>
      </c>
      <c r="AB711" t="s">
        <v>1501</v>
      </c>
      <c r="AC711">
        <v>1</v>
      </c>
      <c r="AD711">
        <v>2025</v>
      </c>
      <c r="AE711" t="s">
        <v>2813</v>
      </c>
      <c r="AF711" t="s">
        <v>2837</v>
      </c>
      <c r="AG711" t="s">
        <v>2845</v>
      </c>
      <c r="AH711" t="s">
        <v>2848</v>
      </c>
      <c r="AI711">
        <v>1</v>
      </c>
    </row>
    <row r="712" spans="1:35" x14ac:dyDescent="0.3">
      <c r="A712" t="s">
        <v>688</v>
      </c>
      <c r="B712">
        <v>1</v>
      </c>
      <c r="C712" s="1">
        <v>45819</v>
      </c>
      <c r="D712" s="1">
        <v>45820</v>
      </c>
      <c r="E712" t="s">
        <v>1009</v>
      </c>
      <c r="F712" t="s">
        <v>1819</v>
      </c>
      <c r="G712" t="s">
        <v>1410</v>
      </c>
      <c r="H712" t="s">
        <v>2715</v>
      </c>
      <c r="I712" t="s">
        <v>2741</v>
      </c>
      <c r="J712" t="s">
        <v>2767</v>
      </c>
      <c r="K712" t="s">
        <v>1486</v>
      </c>
      <c r="L712" t="s">
        <v>2776</v>
      </c>
      <c r="M712" t="s">
        <v>2556</v>
      </c>
      <c r="N712" t="s">
        <v>2574</v>
      </c>
      <c r="O712" t="s">
        <v>2602</v>
      </c>
      <c r="P712" t="s">
        <v>2551</v>
      </c>
      <c r="Q712" t="s">
        <v>2574</v>
      </c>
      <c r="R712" t="s">
        <v>2602</v>
      </c>
      <c r="S712" t="s">
        <v>2608</v>
      </c>
      <c r="T712">
        <v>2</v>
      </c>
      <c r="U712" s="2">
        <v>1753.24</v>
      </c>
      <c r="V712" s="3">
        <v>0</v>
      </c>
      <c r="W712" s="2">
        <v>3506.48</v>
      </c>
      <c r="X712" s="2">
        <v>1156.5999999999999</v>
      </c>
      <c r="Y712" s="3">
        <v>0.32984645570486643</v>
      </c>
      <c r="Z712" t="s">
        <v>1496</v>
      </c>
      <c r="AA712" t="s">
        <v>1499</v>
      </c>
      <c r="AB712" t="s">
        <v>1501</v>
      </c>
      <c r="AC712">
        <v>1</v>
      </c>
      <c r="AD712">
        <v>2025</v>
      </c>
      <c r="AE712" t="s">
        <v>2813</v>
      </c>
      <c r="AF712" t="s">
        <v>2837</v>
      </c>
      <c r="AG712" t="s">
        <v>2845</v>
      </c>
      <c r="AH712" t="s">
        <v>2848</v>
      </c>
      <c r="AI712">
        <v>1</v>
      </c>
    </row>
    <row r="713" spans="1:35" x14ac:dyDescent="0.3">
      <c r="A713" t="s">
        <v>689</v>
      </c>
      <c r="B713">
        <v>2</v>
      </c>
      <c r="C713" s="1">
        <v>45820</v>
      </c>
      <c r="D713" s="1">
        <v>45823</v>
      </c>
      <c r="E713" t="s">
        <v>1285</v>
      </c>
      <c r="F713" t="s">
        <v>1964</v>
      </c>
      <c r="G713" t="s">
        <v>1402</v>
      </c>
      <c r="H713" t="s">
        <v>2690</v>
      </c>
      <c r="I713" t="s">
        <v>2740</v>
      </c>
      <c r="J713" t="s">
        <v>2761</v>
      </c>
      <c r="K713" t="s">
        <v>1480</v>
      </c>
      <c r="L713" t="s">
        <v>2789</v>
      </c>
      <c r="M713" t="s">
        <v>2563</v>
      </c>
      <c r="N713" t="s">
        <v>2581</v>
      </c>
      <c r="O713" t="s">
        <v>2604</v>
      </c>
      <c r="R713" t="s">
        <v>2790</v>
      </c>
      <c r="S713" t="s">
        <v>2606</v>
      </c>
      <c r="T713">
        <v>1</v>
      </c>
      <c r="U713" s="2">
        <v>1419.44</v>
      </c>
      <c r="V713" s="3">
        <v>0</v>
      </c>
      <c r="W713" s="2">
        <v>1419.44</v>
      </c>
      <c r="X713" s="2">
        <v>106.94</v>
      </c>
      <c r="Y713" s="3">
        <v>7.5339570534858818E-2</v>
      </c>
      <c r="Z713" t="s">
        <v>1496</v>
      </c>
      <c r="AA713" t="s">
        <v>1498</v>
      </c>
      <c r="AB713" t="s">
        <v>1501</v>
      </c>
      <c r="AC713">
        <v>3</v>
      </c>
      <c r="AD713">
        <v>2025</v>
      </c>
      <c r="AE713" t="s">
        <v>2813</v>
      </c>
      <c r="AF713" t="s">
        <v>2837</v>
      </c>
      <c r="AG713" t="s">
        <v>2845</v>
      </c>
      <c r="AH713" t="s">
        <v>2848</v>
      </c>
      <c r="AI713">
        <v>1</v>
      </c>
    </row>
    <row r="714" spans="1:35" x14ac:dyDescent="0.3">
      <c r="A714" t="s">
        <v>690</v>
      </c>
      <c r="B714">
        <v>1</v>
      </c>
      <c r="C714" s="1">
        <v>45820</v>
      </c>
      <c r="D714" s="1">
        <v>45821</v>
      </c>
      <c r="E714" t="s">
        <v>1046</v>
      </c>
      <c r="F714" t="s">
        <v>1843</v>
      </c>
      <c r="G714" t="s">
        <v>1415</v>
      </c>
      <c r="H714" t="s">
        <v>2668</v>
      </c>
      <c r="I714" t="s">
        <v>2739</v>
      </c>
      <c r="J714" t="s">
        <v>2756</v>
      </c>
      <c r="K714" t="s">
        <v>1480</v>
      </c>
      <c r="L714" t="s">
        <v>2789</v>
      </c>
      <c r="M714" t="s">
        <v>2555</v>
      </c>
      <c r="N714" t="s">
        <v>2578</v>
      </c>
      <c r="O714" t="s">
        <v>2603</v>
      </c>
      <c r="R714" t="s">
        <v>2790</v>
      </c>
      <c r="S714" t="s">
        <v>2606</v>
      </c>
      <c r="T714">
        <v>1</v>
      </c>
      <c r="U714" s="2">
        <v>4772.1499999999996</v>
      </c>
      <c r="V714" s="3">
        <v>0</v>
      </c>
      <c r="W714" s="2">
        <v>4772.1499999999996</v>
      </c>
      <c r="X714" s="2">
        <v>1210.06</v>
      </c>
      <c r="Y714" s="3">
        <v>0.25356705049086892</v>
      </c>
      <c r="Z714" t="s">
        <v>1496</v>
      </c>
      <c r="AA714" t="s">
        <v>1499</v>
      </c>
      <c r="AB714" t="s">
        <v>1502</v>
      </c>
      <c r="AC714">
        <v>1</v>
      </c>
      <c r="AD714">
        <v>2025</v>
      </c>
      <c r="AE714" t="s">
        <v>2813</v>
      </c>
      <c r="AF714" t="s">
        <v>2837</v>
      </c>
      <c r="AG714" t="s">
        <v>2845</v>
      </c>
      <c r="AH714" t="s">
        <v>2848</v>
      </c>
      <c r="AI714">
        <v>1</v>
      </c>
    </row>
    <row r="715" spans="1:35" x14ac:dyDescent="0.3">
      <c r="A715" t="s">
        <v>691</v>
      </c>
      <c r="B715">
        <v>1</v>
      </c>
      <c r="C715" s="1">
        <v>45821</v>
      </c>
      <c r="E715" t="s">
        <v>1280</v>
      </c>
      <c r="F715" t="s">
        <v>1917</v>
      </c>
      <c r="G715" t="s">
        <v>1363</v>
      </c>
      <c r="H715" t="s">
        <v>2722</v>
      </c>
      <c r="I715" t="s">
        <v>2742</v>
      </c>
      <c r="J715" t="s">
        <v>2769</v>
      </c>
      <c r="K715" t="s">
        <v>1488</v>
      </c>
      <c r="L715" t="s">
        <v>2780</v>
      </c>
      <c r="M715" t="s">
        <v>2558</v>
      </c>
      <c r="N715" t="s">
        <v>2558</v>
      </c>
      <c r="O715" t="s">
        <v>2603</v>
      </c>
      <c r="P715" t="s">
        <v>2552</v>
      </c>
      <c r="Q715" t="s">
        <v>2575</v>
      </c>
      <c r="R715" t="s">
        <v>2603</v>
      </c>
      <c r="S715" t="s">
        <v>2606</v>
      </c>
      <c r="T715">
        <v>1</v>
      </c>
      <c r="U715" s="2">
        <v>23041.22</v>
      </c>
      <c r="V715" s="3">
        <v>0</v>
      </c>
      <c r="W715" s="2">
        <v>23041.22</v>
      </c>
      <c r="X715" s="2">
        <v>4964.74</v>
      </c>
      <c r="Y715" s="3">
        <v>0.21547209739762041</v>
      </c>
      <c r="Z715" t="s">
        <v>1496</v>
      </c>
      <c r="AA715" t="s">
        <v>1499</v>
      </c>
      <c r="AB715" t="s">
        <v>1503</v>
      </c>
      <c r="AD715">
        <v>2025</v>
      </c>
      <c r="AE715" t="s">
        <v>2813</v>
      </c>
      <c r="AF715" t="s">
        <v>2837</v>
      </c>
      <c r="AG715" t="s">
        <v>2845</v>
      </c>
      <c r="AH715" t="s">
        <v>2848</v>
      </c>
      <c r="AI715">
        <v>1</v>
      </c>
    </row>
    <row r="716" spans="1:35" x14ac:dyDescent="0.3">
      <c r="A716" t="s">
        <v>692</v>
      </c>
      <c r="B716">
        <v>1</v>
      </c>
      <c r="C716" s="1">
        <v>45822</v>
      </c>
      <c r="D716" s="1">
        <v>45822</v>
      </c>
      <c r="E716" t="s">
        <v>1251</v>
      </c>
      <c r="F716" t="s">
        <v>1979</v>
      </c>
      <c r="G716" t="s">
        <v>1369</v>
      </c>
      <c r="H716" t="s">
        <v>2725</v>
      </c>
      <c r="I716" t="s">
        <v>2742</v>
      </c>
      <c r="J716" t="s">
        <v>2770</v>
      </c>
      <c r="K716" t="s">
        <v>1492</v>
      </c>
      <c r="L716" t="s">
        <v>2788</v>
      </c>
      <c r="M716" t="s">
        <v>2554</v>
      </c>
      <c r="N716" t="s">
        <v>2577</v>
      </c>
      <c r="O716" t="s">
        <v>2601</v>
      </c>
      <c r="P716" t="s">
        <v>2554</v>
      </c>
      <c r="Q716" t="s">
        <v>2577</v>
      </c>
      <c r="R716" t="s">
        <v>2601</v>
      </c>
      <c r="S716" t="s">
        <v>2606</v>
      </c>
      <c r="T716">
        <v>2</v>
      </c>
      <c r="U716" s="2">
        <v>23968.04</v>
      </c>
      <c r="V716" s="3">
        <v>0.05</v>
      </c>
      <c r="W716" s="2">
        <v>45539.28</v>
      </c>
      <c r="X716" s="2">
        <v>10997.04</v>
      </c>
      <c r="Y716" s="3">
        <v>0.2414847138558186</v>
      </c>
      <c r="Z716" t="s">
        <v>1496</v>
      </c>
      <c r="AA716" t="s">
        <v>1498</v>
      </c>
      <c r="AB716" t="s">
        <v>1501</v>
      </c>
      <c r="AC716">
        <v>0</v>
      </c>
      <c r="AD716">
        <v>2025</v>
      </c>
      <c r="AE716" t="s">
        <v>2813</v>
      </c>
      <c r="AF716" t="s">
        <v>2837</v>
      </c>
      <c r="AG716" t="s">
        <v>2845</v>
      </c>
      <c r="AH716" t="s">
        <v>2848</v>
      </c>
      <c r="AI716">
        <v>1</v>
      </c>
    </row>
    <row r="717" spans="1:35" x14ac:dyDescent="0.3">
      <c r="A717" t="s">
        <v>692</v>
      </c>
      <c r="B717">
        <v>2</v>
      </c>
      <c r="C717" s="1">
        <v>45822</v>
      </c>
      <c r="D717" s="1">
        <v>45822</v>
      </c>
      <c r="E717" t="s">
        <v>1251</v>
      </c>
      <c r="F717" t="s">
        <v>1979</v>
      </c>
      <c r="G717" t="s">
        <v>1365</v>
      </c>
      <c r="H717" t="s">
        <v>2709</v>
      </c>
      <c r="I717" t="s">
        <v>2741</v>
      </c>
      <c r="J717" t="s">
        <v>2765</v>
      </c>
      <c r="K717" t="s">
        <v>1492</v>
      </c>
      <c r="L717" t="s">
        <v>2788</v>
      </c>
      <c r="M717" t="s">
        <v>2554</v>
      </c>
      <c r="N717" t="s">
        <v>2577</v>
      </c>
      <c r="O717" t="s">
        <v>2601</v>
      </c>
      <c r="P717" t="s">
        <v>2554</v>
      </c>
      <c r="Q717" t="s">
        <v>2577</v>
      </c>
      <c r="R717" t="s">
        <v>2601</v>
      </c>
      <c r="S717" t="s">
        <v>2606</v>
      </c>
      <c r="T717">
        <v>2</v>
      </c>
      <c r="U717" s="2">
        <v>1749.13</v>
      </c>
      <c r="V717" s="3">
        <v>0</v>
      </c>
      <c r="W717" s="2">
        <v>3498.26</v>
      </c>
      <c r="X717" s="2">
        <v>1285.94</v>
      </c>
      <c r="Y717" s="3">
        <v>0.36759417539005113</v>
      </c>
      <c r="Z717" t="s">
        <v>1496</v>
      </c>
      <c r="AA717" t="s">
        <v>1498</v>
      </c>
      <c r="AB717" t="s">
        <v>1501</v>
      </c>
      <c r="AC717">
        <v>0</v>
      </c>
      <c r="AD717">
        <v>2025</v>
      </c>
      <c r="AE717" t="s">
        <v>2813</v>
      </c>
      <c r="AF717" t="s">
        <v>2837</v>
      </c>
      <c r="AG717" t="s">
        <v>2845</v>
      </c>
      <c r="AH717" t="s">
        <v>2848</v>
      </c>
      <c r="AI717">
        <v>0</v>
      </c>
    </row>
    <row r="718" spans="1:35" x14ac:dyDescent="0.3">
      <c r="A718" t="s">
        <v>693</v>
      </c>
      <c r="B718">
        <v>1</v>
      </c>
      <c r="C718" s="1">
        <v>45822</v>
      </c>
      <c r="D718" s="1">
        <v>45823</v>
      </c>
      <c r="E718" t="s">
        <v>1233</v>
      </c>
      <c r="F718" t="s">
        <v>2004</v>
      </c>
      <c r="G718" t="s">
        <v>1394</v>
      </c>
      <c r="H718" t="s">
        <v>2664</v>
      </c>
      <c r="I718" t="s">
        <v>2739</v>
      </c>
      <c r="J718" t="s">
        <v>2755</v>
      </c>
      <c r="K718" t="s">
        <v>1487</v>
      </c>
      <c r="L718" t="s">
        <v>2785</v>
      </c>
      <c r="M718" t="s">
        <v>2554</v>
      </c>
      <c r="N718" t="s">
        <v>2577</v>
      </c>
      <c r="O718" t="s">
        <v>2601</v>
      </c>
      <c r="P718" t="s">
        <v>2550</v>
      </c>
      <c r="Q718" t="s">
        <v>2573</v>
      </c>
      <c r="R718" t="s">
        <v>2601</v>
      </c>
      <c r="S718" t="s">
        <v>2606</v>
      </c>
      <c r="T718">
        <v>3</v>
      </c>
      <c r="U718" s="2">
        <v>902.62</v>
      </c>
      <c r="V718" s="3">
        <v>0</v>
      </c>
      <c r="W718" s="2">
        <v>2707.86</v>
      </c>
      <c r="X718" s="2">
        <v>752.97</v>
      </c>
      <c r="Y718" s="3">
        <v>0.27806829008885242</v>
      </c>
      <c r="Z718" t="s">
        <v>1495</v>
      </c>
      <c r="AA718" t="s">
        <v>1498</v>
      </c>
      <c r="AB718" t="s">
        <v>1501</v>
      </c>
      <c r="AC718">
        <v>1</v>
      </c>
      <c r="AD718">
        <v>2025</v>
      </c>
      <c r="AE718" t="s">
        <v>2813</v>
      </c>
      <c r="AF718" t="s">
        <v>2837</v>
      </c>
      <c r="AG718" t="s">
        <v>2845</v>
      </c>
      <c r="AH718" t="s">
        <v>2848</v>
      </c>
      <c r="AI718">
        <v>1</v>
      </c>
    </row>
    <row r="719" spans="1:35" x14ac:dyDescent="0.3">
      <c r="A719" t="s">
        <v>694</v>
      </c>
      <c r="B719">
        <v>1</v>
      </c>
      <c r="C719" s="1">
        <v>45829</v>
      </c>
      <c r="D719" s="1">
        <v>45830</v>
      </c>
      <c r="E719" t="s">
        <v>1286</v>
      </c>
      <c r="F719" t="s">
        <v>1692</v>
      </c>
      <c r="G719" t="s">
        <v>1349</v>
      </c>
      <c r="H719" t="s">
        <v>2668</v>
      </c>
      <c r="I719" t="s">
        <v>2739</v>
      </c>
      <c r="J719" t="s">
        <v>2756</v>
      </c>
      <c r="K719" t="s">
        <v>1478</v>
      </c>
      <c r="L719" t="s">
        <v>2782</v>
      </c>
      <c r="M719" t="s">
        <v>2567</v>
      </c>
      <c r="N719" t="s">
        <v>2585</v>
      </c>
      <c r="O719" t="s">
        <v>2604</v>
      </c>
      <c r="P719" t="s">
        <v>2565</v>
      </c>
      <c r="Q719" t="s">
        <v>2583</v>
      </c>
      <c r="R719" t="s">
        <v>2604</v>
      </c>
      <c r="S719" t="s">
        <v>2608</v>
      </c>
      <c r="T719">
        <v>1</v>
      </c>
      <c r="U719" s="2">
        <v>2650.66</v>
      </c>
      <c r="V719" s="3">
        <v>0</v>
      </c>
      <c r="W719" s="2">
        <v>2650.66</v>
      </c>
      <c r="X719" s="2">
        <v>861.03</v>
      </c>
      <c r="Y719" s="3">
        <v>0.32483607856156582</v>
      </c>
      <c r="Z719" t="s">
        <v>1497</v>
      </c>
      <c r="AA719" t="s">
        <v>1499</v>
      </c>
      <c r="AB719" t="s">
        <v>1501</v>
      </c>
      <c r="AC719">
        <v>1</v>
      </c>
      <c r="AD719">
        <v>2025</v>
      </c>
      <c r="AE719" t="s">
        <v>2813</v>
      </c>
      <c r="AF719" t="s">
        <v>2837</v>
      </c>
      <c r="AG719" t="s">
        <v>2845</v>
      </c>
      <c r="AH719" t="s">
        <v>2848</v>
      </c>
      <c r="AI719">
        <v>1</v>
      </c>
    </row>
    <row r="720" spans="1:35" x14ac:dyDescent="0.3">
      <c r="A720" t="s">
        <v>695</v>
      </c>
      <c r="B720">
        <v>1</v>
      </c>
      <c r="C720" s="1">
        <v>45829</v>
      </c>
      <c r="D720" s="1">
        <v>45830</v>
      </c>
      <c r="E720" t="s">
        <v>1265</v>
      </c>
      <c r="F720" t="s">
        <v>1988</v>
      </c>
      <c r="G720" t="s">
        <v>1423</v>
      </c>
      <c r="H720" t="s">
        <v>2708</v>
      </c>
      <c r="I720" t="s">
        <v>2741</v>
      </c>
      <c r="J720" t="s">
        <v>2765</v>
      </c>
      <c r="K720" t="s">
        <v>1482</v>
      </c>
      <c r="L720" t="s">
        <v>2783</v>
      </c>
      <c r="M720" t="s">
        <v>2565</v>
      </c>
      <c r="N720" t="s">
        <v>2583</v>
      </c>
      <c r="O720" t="s">
        <v>2604</v>
      </c>
      <c r="P720" t="s">
        <v>2560</v>
      </c>
      <c r="Q720" t="s">
        <v>2579</v>
      </c>
      <c r="R720" t="s">
        <v>2604</v>
      </c>
      <c r="S720" t="s">
        <v>2606</v>
      </c>
      <c r="T720">
        <v>2</v>
      </c>
      <c r="U720" s="2">
        <v>2319.64</v>
      </c>
      <c r="V720" s="3">
        <v>0.15</v>
      </c>
      <c r="W720" s="2">
        <v>3943.39</v>
      </c>
      <c r="X720" s="2">
        <v>948.37</v>
      </c>
      <c r="Y720" s="3">
        <v>0.24049612135751219</v>
      </c>
      <c r="Z720" t="s">
        <v>1494</v>
      </c>
      <c r="AA720" t="s">
        <v>1500</v>
      </c>
      <c r="AB720" t="s">
        <v>1501</v>
      </c>
      <c r="AC720">
        <v>1</v>
      </c>
      <c r="AD720">
        <v>2025</v>
      </c>
      <c r="AE720" t="s">
        <v>2813</v>
      </c>
      <c r="AF720" t="s">
        <v>2837</v>
      </c>
      <c r="AG720" t="s">
        <v>2845</v>
      </c>
      <c r="AH720" t="s">
        <v>2848</v>
      </c>
      <c r="AI720">
        <v>1</v>
      </c>
    </row>
    <row r="721" spans="1:35" x14ac:dyDescent="0.3">
      <c r="A721" t="s">
        <v>696</v>
      </c>
      <c r="B721">
        <v>1</v>
      </c>
      <c r="C721" s="1">
        <v>45833</v>
      </c>
      <c r="D721" s="1">
        <v>45836</v>
      </c>
      <c r="E721" t="s">
        <v>998</v>
      </c>
      <c r="F721" t="s">
        <v>1999</v>
      </c>
      <c r="G721" t="s">
        <v>1421</v>
      </c>
      <c r="H721" t="s">
        <v>2690</v>
      </c>
      <c r="I721" t="s">
        <v>2740</v>
      </c>
      <c r="J721" t="s">
        <v>2761</v>
      </c>
      <c r="K721" t="s">
        <v>1480</v>
      </c>
      <c r="L721" t="s">
        <v>2789</v>
      </c>
      <c r="M721" t="s">
        <v>2555</v>
      </c>
      <c r="N721" t="s">
        <v>2578</v>
      </c>
      <c r="O721" t="s">
        <v>2603</v>
      </c>
      <c r="R721" t="s">
        <v>2790</v>
      </c>
      <c r="S721" t="s">
        <v>2606</v>
      </c>
      <c r="T721">
        <v>2</v>
      </c>
      <c r="U721" s="2">
        <v>227.54</v>
      </c>
      <c r="V721" s="3">
        <v>0.15</v>
      </c>
      <c r="W721" s="2">
        <v>386.82</v>
      </c>
      <c r="X721" s="2">
        <v>-1.86</v>
      </c>
      <c r="Y721" s="3">
        <v>-4.8084380331937342E-3</v>
      </c>
      <c r="Z721" t="s">
        <v>1497</v>
      </c>
      <c r="AA721" t="s">
        <v>1498</v>
      </c>
      <c r="AB721" t="s">
        <v>1501</v>
      </c>
      <c r="AC721">
        <v>3</v>
      </c>
      <c r="AD721">
        <v>2025</v>
      </c>
      <c r="AE721" t="s">
        <v>2813</v>
      </c>
      <c r="AF721" t="s">
        <v>2837</v>
      </c>
      <c r="AG721" t="s">
        <v>2845</v>
      </c>
      <c r="AH721" t="s">
        <v>2848</v>
      </c>
      <c r="AI721">
        <v>1</v>
      </c>
    </row>
    <row r="722" spans="1:35" x14ac:dyDescent="0.3">
      <c r="A722" t="s">
        <v>697</v>
      </c>
      <c r="B722">
        <v>1</v>
      </c>
      <c r="C722" s="1">
        <v>45833</v>
      </c>
      <c r="D722" s="1">
        <v>45834</v>
      </c>
      <c r="E722" t="s">
        <v>1287</v>
      </c>
      <c r="F722" t="s">
        <v>1935</v>
      </c>
      <c r="G722" t="s">
        <v>1352</v>
      </c>
      <c r="H722" t="s">
        <v>2666</v>
      </c>
      <c r="I722" t="s">
        <v>2739</v>
      </c>
      <c r="J722" t="s">
        <v>2755</v>
      </c>
      <c r="K722" t="s">
        <v>1480</v>
      </c>
      <c r="L722" t="s">
        <v>2789</v>
      </c>
      <c r="M722" t="s">
        <v>2566</v>
      </c>
      <c r="N722" t="s">
        <v>2584</v>
      </c>
      <c r="O722" t="s">
        <v>2601</v>
      </c>
      <c r="R722" t="s">
        <v>2790</v>
      </c>
      <c r="S722" t="s">
        <v>2608</v>
      </c>
      <c r="T722">
        <v>1</v>
      </c>
      <c r="U722" s="2">
        <v>3696.44</v>
      </c>
      <c r="V722" s="3">
        <v>0</v>
      </c>
      <c r="W722" s="2">
        <v>3696.44</v>
      </c>
      <c r="X722" s="2">
        <v>1613.88</v>
      </c>
      <c r="Y722" s="3">
        <v>0.43660386750495073</v>
      </c>
      <c r="Z722" t="s">
        <v>1496</v>
      </c>
      <c r="AA722" t="s">
        <v>1500</v>
      </c>
      <c r="AB722" t="s">
        <v>1501</v>
      </c>
      <c r="AC722">
        <v>1</v>
      </c>
      <c r="AD722">
        <v>2025</v>
      </c>
      <c r="AE722" t="s">
        <v>2813</v>
      </c>
      <c r="AF722" t="s">
        <v>2837</v>
      </c>
      <c r="AG722" t="s">
        <v>2845</v>
      </c>
      <c r="AH722" t="s">
        <v>2848</v>
      </c>
      <c r="AI722">
        <v>1</v>
      </c>
    </row>
    <row r="723" spans="1:35" x14ac:dyDescent="0.3">
      <c r="A723" t="s">
        <v>698</v>
      </c>
      <c r="B723">
        <v>1</v>
      </c>
      <c r="C723" s="1">
        <v>45833</v>
      </c>
      <c r="D723" s="1">
        <v>45833</v>
      </c>
      <c r="E723" t="s">
        <v>1177</v>
      </c>
      <c r="F723" t="s">
        <v>1950</v>
      </c>
      <c r="G723" t="s">
        <v>1343</v>
      </c>
      <c r="H723" t="s">
        <v>2646</v>
      </c>
      <c r="I723" t="s">
        <v>2738</v>
      </c>
      <c r="J723" t="s">
        <v>2750</v>
      </c>
      <c r="K723" t="s">
        <v>1479</v>
      </c>
      <c r="L723" t="s">
        <v>2786</v>
      </c>
      <c r="M723" t="s">
        <v>2564</v>
      </c>
      <c r="N723" t="s">
        <v>2582</v>
      </c>
      <c r="O723" t="s">
        <v>2601</v>
      </c>
      <c r="P723" t="s">
        <v>2564</v>
      </c>
      <c r="Q723" t="s">
        <v>2582</v>
      </c>
      <c r="R723" t="s">
        <v>2601</v>
      </c>
      <c r="S723" t="s">
        <v>2607</v>
      </c>
      <c r="T723">
        <v>1</v>
      </c>
      <c r="U723" s="2">
        <v>7138.26</v>
      </c>
      <c r="V723" s="3">
        <v>0.1</v>
      </c>
      <c r="W723" s="2">
        <v>6424.43</v>
      </c>
      <c r="X723" s="2">
        <v>950.14</v>
      </c>
      <c r="Y723" s="3">
        <v>0.1478948326933284</v>
      </c>
      <c r="Z723" t="s">
        <v>1496</v>
      </c>
      <c r="AA723" t="s">
        <v>1499</v>
      </c>
      <c r="AB723" t="s">
        <v>1501</v>
      </c>
      <c r="AC723">
        <v>0</v>
      </c>
      <c r="AD723">
        <v>2025</v>
      </c>
      <c r="AE723" t="s">
        <v>2813</v>
      </c>
      <c r="AF723" t="s">
        <v>2837</v>
      </c>
      <c r="AG723" t="s">
        <v>2845</v>
      </c>
      <c r="AH723" t="s">
        <v>2848</v>
      </c>
      <c r="AI723">
        <v>1</v>
      </c>
    </row>
    <row r="724" spans="1:35" x14ac:dyDescent="0.3">
      <c r="A724" t="s">
        <v>699</v>
      </c>
      <c r="B724">
        <v>1</v>
      </c>
      <c r="C724" s="1">
        <v>45834</v>
      </c>
      <c r="D724" s="1">
        <v>45835</v>
      </c>
      <c r="E724" t="s">
        <v>969</v>
      </c>
      <c r="F724" t="s">
        <v>1703</v>
      </c>
      <c r="G724" t="s">
        <v>1343</v>
      </c>
      <c r="H724" t="s">
        <v>2646</v>
      </c>
      <c r="I724" t="s">
        <v>2738</v>
      </c>
      <c r="J724" t="s">
        <v>2750</v>
      </c>
      <c r="K724" t="s">
        <v>1480</v>
      </c>
      <c r="L724" t="s">
        <v>2789</v>
      </c>
      <c r="M724" t="s">
        <v>2553</v>
      </c>
      <c r="N724" t="s">
        <v>2576</v>
      </c>
      <c r="O724" t="s">
        <v>2602</v>
      </c>
      <c r="R724" t="s">
        <v>2790</v>
      </c>
      <c r="S724" t="s">
        <v>2607</v>
      </c>
      <c r="T724">
        <v>2</v>
      </c>
      <c r="U724" s="2">
        <v>7138.26</v>
      </c>
      <c r="V724" s="3">
        <v>0</v>
      </c>
      <c r="W724" s="2">
        <v>14276.52</v>
      </c>
      <c r="X724" s="2">
        <v>3327.94</v>
      </c>
      <c r="Y724" s="3">
        <v>0.2331058269101994</v>
      </c>
      <c r="Z724" t="s">
        <v>1496</v>
      </c>
      <c r="AA724" t="s">
        <v>1499</v>
      </c>
      <c r="AB724" t="s">
        <v>1501</v>
      </c>
      <c r="AC724">
        <v>1</v>
      </c>
      <c r="AD724">
        <v>2025</v>
      </c>
      <c r="AE724" t="s">
        <v>2813</v>
      </c>
      <c r="AF724" t="s">
        <v>2837</v>
      </c>
      <c r="AG724" t="s">
        <v>2845</v>
      </c>
      <c r="AH724" t="s">
        <v>2848</v>
      </c>
      <c r="AI724">
        <v>1</v>
      </c>
    </row>
    <row r="725" spans="1:35" x14ac:dyDescent="0.3">
      <c r="A725" t="s">
        <v>700</v>
      </c>
      <c r="B725">
        <v>2</v>
      </c>
      <c r="C725" s="1">
        <v>45836</v>
      </c>
      <c r="D725" s="1">
        <v>45836</v>
      </c>
      <c r="E725" t="s">
        <v>1086</v>
      </c>
      <c r="F725" t="s">
        <v>1840</v>
      </c>
      <c r="G725" t="s">
        <v>1355</v>
      </c>
      <c r="H725" t="s">
        <v>2622</v>
      </c>
      <c r="I725" t="s">
        <v>2737</v>
      </c>
      <c r="J725" t="s">
        <v>2745</v>
      </c>
      <c r="K725" t="s">
        <v>1479</v>
      </c>
      <c r="L725" t="s">
        <v>2786</v>
      </c>
      <c r="M725" t="s">
        <v>2566</v>
      </c>
      <c r="N725" t="s">
        <v>2584</v>
      </c>
      <c r="O725" t="s">
        <v>2601</v>
      </c>
      <c r="P725" t="s">
        <v>2564</v>
      </c>
      <c r="Q725" t="s">
        <v>2582</v>
      </c>
      <c r="R725" t="s">
        <v>2601</v>
      </c>
      <c r="S725" t="s">
        <v>2607</v>
      </c>
      <c r="T725">
        <v>1</v>
      </c>
      <c r="U725" s="2">
        <v>38093.910000000003</v>
      </c>
      <c r="V725" s="3">
        <v>0.1</v>
      </c>
      <c r="W725" s="2">
        <v>34284.519999999997</v>
      </c>
      <c r="X725" s="2">
        <v>-40.11</v>
      </c>
      <c r="Y725" s="3">
        <v>-1.1699157520653641E-3</v>
      </c>
      <c r="Z725" t="s">
        <v>1496</v>
      </c>
      <c r="AA725" t="s">
        <v>1498</v>
      </c>
      <c r="AB725" t="s">
        <v>1501</v>
      </c>
      <c r="AC725">
        <v>0</v>
      </c>
      <c r="AD725">
        <v>2025</v>
      </c>
      <c r="AE725" t="s">
        <v>2813</v>
      </c>
      <c r="AF725" t="s">
        <v>2837</v>
      </c>
      <c r="AG725" t="s">
        <v>2845</v>
      </c>
      <c r="AH725" t="s">
        <v>2848</v>
      </c>
      <c r="AI725">
        <v>1</v>
      </c>
    </row>
    <row r="726" spans="1:35" x14ac:dyDescent="0.3">
      <c r="A726" t="s">
        <v>701</v>
      </c>
      <c r="B726">
        <v>1</v>
      </c>
      <c r="C726" s="1">
        <v>45836</v>
      </c>
      <c r="D726" s="1">
        <v>45837</v>
      </c>
      <c r="E726" t="s">
        <v>1136</v>
      </c>
      <c r="F726" t="s">
        <v>1800</v>
      </c>
      <c r="G726" t="s">
        <v>1329</v>
      </c>
      <c r="H726" t="s">
        <v>2659</v>
      </c>
      <c r="I726" t="s">
        <v>2739</v>
      </c>
      <c r="J726" t="s">
        <v>2759</v>
      </c>
      <c r="K726" t="s">
        <v>1480</v>
      </c>
      <c r="L726" t="s">
        <v>2789</v>
      </c>
      <c r="M726" t="s">
        <v>2555</v>
      </c>
      <c r="N726" t="s">
        <v>2578</v>
      </c>
      <c r="O726" t="s">
        <v>2603</v>
      </c>
      <c r="R726" t="s">
        <v>2790</v>
      </c>
      <c r="S726" t="s">
        <v>2606</v>
      </c>
      <c r="T726">
        <v>1</v>
      </c>
      <c r="U726" s="2">
        <v>1065.95</v>
      </c>
      <c r="V726" s="3">
        <v>0.1</v>
      </c>
      <c r="W726" s="2">
        <v>959.36</v>
      </c>
      <c r="X726" s="2">
        <v>274.18</v>
      </c>
      <c r="Y726" s="3">
        <v>0.28579469646430949</v>
      </c>
      <c r="Z726" t="s">
        <v>1497</v>
      </c>
      <c r="AA726" t="s">
        <v>1500</v>
      </c>
      <c r="AB726" t="s">
        <v>1501</v>
      </c>
      <c r="AC726">
        <v>1</v>
      </c>
      <c r="AD726">
        <v>2025</v>
      </c>
      <c r="AE726" t="s">
        <v>2813</v>
      </c>
      <c r="AF726" t="s">
        <v>2837</v>
      </c>
      <c r="AG726" t="s">
        <v>2845</v>
      </c>
      <c r="AH726" t="s">
        <v>2848</v>
      </c>
      <c r="AI726">
        <v>1</v>
      </c>
    </row>
    <row r="727" spans="1:35" x14ac:dyDescent="0.3">
      <c r="A727" t="s">
        <v>702</v>
      </c>
      <c r="B727">
        <v>1</v>
      </c>
      <c r="C727" s="1">
        <v>45836</v>
      </c>
      <c r="E727" t="s">
        <v>1063</v>
      </c>
      <c r="F727" t="s">
        <v>1801</v>
      </c>
      <c r="G727" t="s">
        <v>1430</v>
      </c>
      <c r="H727" t="s">
        <v>2698</v>
      </c>
      <c r="I727" t="s">
        <v>2740</v>
      </c>
      <c r="J727" t="s">
        <v>2762</v>
      </c>
      <c r="K727" t="s">
        <v>1490</v>
      </c>
      <c r="L727" t="s">
        <v>2784</v>
      </c>
      <c r="M727" t="s">
        <v>2567</v>
      </c>
      <c r="N727" t="s">
        <v>2585</v>
      </c>
      <c r="O727" t="s">
        <v>2604</v>
      </c>
      <c r="P727" t="s">
        <v>2567</v>
      </c>
      <c r="Q727" t="s">
        <v>2585</v>
      </c>
      <c r="R727" t="s">
        <v>2604</v>
      </c>
      <c r="S727" t="s">
        <v>2606</v>
      </c>
      <c r="T727">
        <v>1</v>
      </c>
      <c r="U727" s="2">
        <v>1148.97</v>
      </c>
      <c r="V727" s="3">
        <v>0.15</v>
      </c>
      <c r="W727" s="2">
        <v>976.62</v>
      </c>
      <c r="X727" s="2">
        <v>-83.82</v>
      </c>
      <c r="Y727" s="3">
        <v>-8.5826626528230004E-2</v>
      </c>
      <c r="Z727" t="s">
        <v>1493</v>
      </c>
      <c r="AA727" t="s">
        <v>1499</v>
      </c>
      <c r="AB727" t="s">
        <v>1503</v>
      </c>
      <c r="AD727">
        <v>2025</v>
      </c>
      <c r="AE727" t="s">
        <v>2813</v>
      </c>
      <c r="AF727" t="s">
        <v>2837</v>
      </c>
      <c r="AG727" t="s">
        <v>2845</v>
      </c>
      <c r="AH727" t="s">
        <v>2848</v>
      </c>
      <c r="AI727">
        <v>1</v>
      </c>
    </row>
    <row r="728" spans="1:35" x14ac:dyDescent="0.3">
      <c r="A728" t="s">
        <v>703</v>
      </c>
      <c r="B728">
        <v>1</v>
      </c>
      <c r="C728" s="1">
        <v>45837</v>
      </c>
      <c r="D728" s="1">
        <v>45838</v>
      </c>
      <c r="E728" t="s">
        <v>975</v>
      </c>
      <c r="F728" t="s">
        <v>1956</v>
      </c>
      <c r="G728" t="s">
        <v>1474</v>
      </c>
      <c r="H728" t="s">
        <v>2733</v>
      </c>
      <c r="I728" t="s">
        <v>2742</v>
      </c>
      <c r="J728" t="s">
        <v>2772</v>
      </c>
      <c r="K728" t="s">
        <v>1488</v>
      </c>
      <c r="L728" t="s">
        <v>2780</v>
      </c>
      <c r="M728" t="s">
        <v>2559</v>
      </c>
      <c r="N728" t="s">
        <v>2559</v>
      </c>
      <c r="O728" t="s">
        <v>2603</v>
      </c>
      <c r="P728" t="s">
        <v>2552</v>
      </c>
      <c r="Q728" t="s">
        <v>2575</v>
      </c>
      <c r="R728" t="s">
        <v>2603</v>
      </c>
      <c r="S728" t="s">
        <v>2608</v>
      </c>
      <c r="T728">
        <v>1</v>
      </c>
      <c r="U728" s="2">
        <v>12355.9</v>
      </c>
      <c r="V728" s="3">
        <v>0</v>
      </c>
      <c r="W728" s="2">
        <v>12355.9</v>
      </c>
      <c r="X728" s="2">
        <v>2795.37</v>
      </c>
      <c r="Y728" s="3">
        <v>0.22623766783479959</v>
      </c>
      <c r="Z728" t="s">
        <v>1495</v>
      </c>
      <c r="AA728" t="s">
        <v>1498</v>
      </c>
      <c r="AB728" t="s">
        <v>1501</v>
      </c>
      <c r="AC728">
        <v>1</v>
      </c>
      <c r="AD728">
        <v>2025</v>
      </c>
      <c r="AE728" t="s">
        <v>2813</v>
      </c>
      <c r="AF728" t="s">
        <v>2837</v>
      </c>
      <c r="AG728" t="s">
        <v>2845</v>
      </c>
      <c r="AH728" t="s">
        <v>2848</v>
      </c>
      <c r="AI728">
        <v>1</v>
      </c>
    </row>
    <row r="729" spans="1:35" x14ac:dyDescent="0.3">
      <c r="A729" t="s">
        <v>704</v>
      </c>
      <c r="B729">
        <v>1</v>
      </c>
      <c r="C729" s="1">
        <v>45838</v>
      </c>
      <c r="D729" s="1">
        <v>45839</v>
      </c>
      <c r="E729" t="s">
        <v>1288</v>
      </c>
      <c r="F729" t="s">
        <v>2023</v>
      </c>
      <c r="G729" t="s">
        <v>1438</v>
      </c>
      <c r="H729" t="s">
        <v>2621</v>
      </c>
      <c r="I729" t="s">
        <v>2737</v>
      </c>
      <c r="J729" t="s">
        <v>2744</v>
      </c>
      <c r="K729" t="s">
        <v>1483</v>
      </c>
      <c r="L729" t="s">
        <v>2781</v>
      </c>
      <c r="M729" t="s">
        <v>2568</v>
      </c>
      <c r="N729" t="s">
        <v>2586</v>
      </c>
      <c r="O729" t="s">
        <v>2603</v>
      </c>
      <c r="P729" t="s">
        <v>2568</v>
      </c>
      <c r="Q729" t="s">
        <v>2586</v>
      </c>
      <c r="R729" t="s">
        <v>2603</v>
      </c>
      <c r="S729" t="s">
        <v>2606</v>
      </c>
      <c r="T729">
        <v>1</v>
      </c>
      <c r="U729" s="2">
        <v>77432.27</v>
      </c>
      <c r="V729" s="3">
        <v>0.15</v>
      </c>
      <c r="W729" s="2">
        <v>65817.429999999993</v>
      </c>
      <c r="X729" s="2">
        <v>-2897.32</v>
      </c>
      <c r="Y729" s="3">
        <v>-4.4020558080131673E-2</v>
      </c>
      <c r="Z729" t="s">
        <v>1494</v>
      </c>
      <c r="AA729" t="s">
        <v>1498</v>
      </c>
      <c r="AB729" t="s">
        <v>1501</v>
      </c>
      <c r="AC729">
        <v>1</v>
      </c>
      <c r="AD729">
        <v>2025</v>
      </c>
      <c r="AE729" t="s">
        <v>2813</v>
      </c>
      <c r="AF729" t="s">
        <v>2837</v>
      </c>
      <c r="AG729" t="s">
        <v>2845</v>
      </c>
      <c r="AH729" t="s">
        <v>2848</v>
      </c>
      <c r="AI729">
        <v>1</v>
      </c>
    </row>
    <row r="730" spans="1:35" x14ac:dyDescent="0.3">
      <c r="A730" t="s">
        <v>705</v>
      </c>
      <c r="B730">
        <v>1</v>
      </c>
      <c r="C730" s="1">
        <v>45839</v>
      </c>
      <c r="D730" s="1">
        <v>45840</v>
      </c>
      <c r="E730" t="s">
        <v>1289</v>
      </c>
      <c r="F730" t="s">
        <v>1821</v>
      </c>
      <c r="G730" t="s">
        <v>1363</v>
      </c>
      <c r="H730" t="s">
        <v>2722</v>
      </c>
      <c r="I730" t="s">
        <v>2742</v>
      </c>
      <c r="J730" t="s">
        <v>2769</v>
      </c>
      <c r="K730" t="s">
        <v>1480</v>
      </c>
      <c r="L730" t="s">
        <v>2789</v>
      </c>
      <c r="M730" t="s">
        <v>2558</v>
      </c>
      <c r="N730" t="s">
        <v>2558</v>
      </c>
      <c r="O730" t="s">
        <v>2603</v>
      </c>
      <c r="R730" t="s">
        <v>2790</v>
      </c>
      <c r="S730" t="s">
        <v>2608</v>
      </c>
      <c r="T730">
        <v>1</v>
      </c>
      <c r="U730" s="2">
        <v>23041.22</v>
      </c>
      <c r="V730" s="3">
        <v>0.1</v>
      </c>
      <c r="W730" s="2">
        <v>20737.099999999999</v>
      </c>
      <c r="X730" s="2">
        <v>2660.62</v>
      </c>
      <c r="Y730" s="3">
        <v>0.128302414513119</v>
      </c>
      <c r="Z730" t="s">
        <v>1496</v>
      </c>
      <c r="AA730" t="s">
        <v>1498</v>
      </c>
      <c r="AB730" t="s">
        <v>1501</v>
      </c>
      <c r="AC730">
        <v>1</v>
      </c>
      <c r="AD730">
        <v>2025</v>
      </c>
      <c r="AE730" t="s">
        <v>2814</v>
      </c>
      <c r="AF730" t="s">
        <v>2838</v>
      </c>
      <c r="AG730" t="s">
        <v>2846</v>
      </c>
      <c r="AH730" t="s">
        <v>2848</v>
      </c>
      <c r="AI730">
        <v>1</v>
      </c>
    </row>
    <row r="731" spans="1:35" x14ac:dyDescent="0.3">
      <c r="A731" t="s">
        <v>706</v>
      </c>
      <c r="B731">
        <v>2</v>
      </c>
      <c r="C731" s="1">
        <v>45839</v>
      </c>
      <c r="D731" s="1">
        <v>45842</v>
      </c>
      <c r="E731" t="s">
        <v>1075</v>
      </c>
      <c r="F731" t="s">
        <v>1664</v>
      </c>
      <c r="G731" t="s">
        <v>1336</v>
      </c>
      <c r="H731" t="s">
        <v>2721</v>
      </c>
      <c r="I731" t="s">
        <v>2742</v>
      </c>
      <c r="J731" t="s">
        <v>2769</v>
      </c>
      <c r="K731" t="s">
        <v>1480</v>
      </c>
      <c r="L731" t="s">
        <v>2789</v>
      </c>
      <c r="M731" t="s">
        <v>2570</v>
      </c>
      <c r="N731" t="s">
        <v>2590</v>
      </c>
      <c r="O731" t="s">
        <v>2605</v>
      </c>
      <c r="R731" t="s">
        <v>2790</v>
      </c>
      <c r="S731" t="s">
        <v>2606</v>
      </c>
      <c r="T731">
        <v>2</v>
      </c>
      <c r="U731" s="2">
        <v>18469.3</v>
      </c>
      <c r="V731" s="3">
        <v>0.2</v>
      </c>
      <c r="W731" s="2">
        <v>29550.880000000001</v>
      </c>
      <c r="X731" s="2">
        <v>2409.6</v>
      </c>
      <c r="Y731" s="3">
        <v>8.1540718922752886E-2</v>
      </c>
      <c r="Z731" t="s">
        <v>1496</v>
      </c>
      <c r="AA731" t="s">
        <v>1498</v>
      </c>
      <c r="AB731" t="s">
        <v>1501</v>
      </c>
      <c r="AC731">
        <v>3</v>
      </c>
      <c r="AD731">
        <v>2025</v>
      </c>
      <c r="AE731" t="s">
        <v>2814</v>
      </c>
      <c r="AF731" t="s">
        <v>2838</v>
      </c>
      <c r="AG731" t="s">
        <v>2846</v>
      </c>
      <c r="AH731" t="s">
        <v>2848</v>
      </c>
      <c r="AI731">
        <v>1</v>
      </c>
    </row>
    <row r="732" spans="1:35" x14ac:dyDescent="0.3">
      <c r="A732" t="s">
        <v>707</v>
      </c>
      <c r="B732">
        <v>1</v>
      </c>
      <c r="C732" s="1">
        <v>45839</v>
      </c>
      <c r="D732" s="1">
        <v>45840</v>
      </c>
      <c r="E732" t="s">
        <v>1056</v>
      </c>
      <c r="F732" t="s">
        <v>1795</v>
      </c>
      <c r="G732" t="s">
        <v>1331</v>
      </c>
      <c r="H732" t="s">
        <v>2706</v>
      </c>
      <c r="I732" t="s">
        <v>2741</v>
      </c>
      <c r="J732" t="s">
        <v>2765</v>
      </c>
      <c r="K732" t="s">
        <v>1480</v>
      </c>
      <c r="L732" t="s">
        <v>2789</v>
      </c>
      <c r="M732" t="s">
        <v>2551</v>
      </c>
      <c r="N732" t="s">
        <v>2574</v>
      </c>
      <c r="O732" t="s">
        <v>2602</v>
      </c>
      <c r="R732" t="s">
        <v>2790</v>
      </c>
      <c r="S732" t="s">
        <v>2606</v>
      </c>
      <c r="T732">
        <v>1</v>
      </c>
      <c r="U732" s="2">
        <v>1520.12</v>
      </c>
      <c r="V732" s="3">
        <v>0</v>
      </c>
      <c r="W732" s="2">
        <v>1520.12</v>
      </c>
      <c r="X732" s="2">
        <v>547.69000000000005</v>
      </c>
      <c r="Y732" s="3">
        <v>0.36029392416388178</v>
      </c>
      <c r="Z732" t="s">
        <v>1496</v>
      </c>
      <c r="AA732" t="s">
        <v>1498</v>
      </c>
      <c r="AB732" t="s">
        <v>1501</v>
      </c>
      <c r="AC732">
        <v>1</v>
      </c>
      <c r="AD732">
        <v>2025</v>
      </c>
      <c r="AE732" t="s">
        <v>2814</v>
      </c>
      <c r="AF732" t="s">
        <v>2838</v>
      </c>
      <c r="AG732" t="s">
        <v>2846</v>
      </c>
      <c r="AH732" t="s">
        <v>2848</v>
      </c>
      <c r="AI732">
        <v>1</v>
      </c>
    </row>
    <row r="733" spans="1:35" x14ac:dyDescent="0.3">
      <c r="A733" t="s">
        <v>708</v>
      </c>
      <c r="B733">
        <v>2</v>
      </c>
      <c r="C733" s="1">
        <v>45839</v>
      </c>
      <c r="D733" s="1">
        <v>45842</v>
      </c>
      <c r="E733" t="s">
        <v>1127</v>
      </c>
      <c r="F733" t="s">
        <v>1689</v>
      </c>
      <c r="G733" t="s">
        <v>1372</v>
      </c>
      <c r="H733" t="s">
        <v>2732</v>
      </c>
      <c r="I733" t="s">
        <v>2742</v>
      </c>
      <c r="J733" t="s">
        <v>2772</v>
      </c>
      <c r="K733" t="s">
        <v>1480</v>
      </c>
      <c r="L733" t="s">
        <v>2789</v>
      </c>
      <c r="M733" t="s">
        <v>2565</v>
      </c>
      <c r="N733" t="s">
        <v>2589</v>
      </c>
      <c r="O733" t="s">
        <v>2604</v>
      </c>
      <c r="R733" t="s">
        <v>2790</v>
      </c>
      <c r="S733" t="s">
        <v>2606</v>
      </c>
      <c r="T733">
        <v>2</v>
      </c>
      <c r="U733" s="2">
        <v>22695.17</v>
      </c>
      <c r="V733" s="3">
        <v>0</v>
      </c>
      <c r="W733" s="2">
        <v>45390.34</v>
      </c>
      <c r="X733" s="2">
        <v>7072.02</v>
      </c>
      <c r="Y733" s="3">
        <v>0.1558045169963477</v>
      </c>
      <c r="Z733" t="s">
        <v>1495</v>
      </c>
      <c r="AA733" t="s">
        <v>1499</v>
      </c>
      <c r="AB733" t="s">
        <v>1501</v>
      </c>
      <c r="AC733">
        <v>3</v>
      </c>
      <c r="AD733">
        <v>2025</v>
      </c>
      <c r="AE733" t="s">
        <v>2814</v>
      </c>
      <c r="AF733" t="s">
        <v>2838</v>
      </c>
      <c r="AG733" t="s">
        <v>2846</v>
      </c>
      <c r="AH733" t="s">
        <v>2848</v>
      </c>
      <c r="AI733">
        <v>1</v>
      </c>
    </row>
    <row r="734" spans="1:35" x14ac:dyDescent="0.3">
      <c r="A734" t="s">
        <v>709</v>
      </c>
      <c r="B734">
        <v>2</v>
      </c>
      <c r="C734" s="1">
        <v>45839</v>
      </c>
      <c r="D734" s="1">
        <v>45839</v>
      </c>
      <c r="E734" t="s">
        <v>978</v>
      </c>
      <c r="F734" t="s">
        <v>1887</v>
      </c>
      <c r="G734" t="s">
        <v>1401</v>
      </c>
      <c r="H734" t="s">
        <v>2618</v>
      </c>
      <c r="I734" t="s">
        <v>2737</v>
      </c>
      <c r="J734" t="s">
        <v>2744</v>
      </c>
      <c r="K734" t="s">
        <v>1488</v>
      </c>
      <c r="L734" t="s">
        <v>2780</v>
      </c>
      <c r="M734" t="s">
        <v>2555</v>
      </c>
      <c r="N734" t="s">
        <v>2578</v>
      </c>
      <c r="O734" t="s">
        <v>2603</v>
      </c>
      <c r="P734" t="s">
        <v>2552</v>
      </c>
      <c r="Q734" t="s">
        <v>2575</v>
      </c>
      <c r="R734" t="s">
        <v>2603</v>
      </c>
      <c r="S734" t="s">
        <v>2607</v>
      </c>
      <c r="T734">
        <v>2</v>
      </c>
      <c r="U734" s="2">
        <v>50900.49</v>
      </c>
      <c r="V734" s="3">
        <v>0</v>
      </c>
      <c r="W734" s="2">
        <v>101800.98</v>
      </c>
      <c r="X734" s="2">
        <v>15861.48</v>
      </c>
      <c r="Y734" s="3">
        <v>0.15580871618328229</v>
      </c>
      <c r="Z734" t="s">
        <v>1497</v>
      </c>
      <c r="AA734" t="s">
        <v>1498</v>
      </c>
      <c r="AB734" t="s">
        <v>1501</v>
      </c>
      <c r="AC734">
        <v>0</v>
      </c>
      <c r="AD734">
        <v>2025</v>
      </c>
      <c r="AE734" t="s">
        <v>2814</v>
      </c>
      <c r="AF734" t="s">
        <v>2838</v>
      </c>
      <c r="AG734" t="s">
        <v>2846</v>
      </c>
      <c r="AH734" t="s">
        <v>2848</v>
      </c>
      <c r="AI734">
        <v>1</v>
      </c>
    </row>
    <row r="735" spans="1:35" x14ac:dyDescent="0.3">
      <c r="A735" t="s">
        <v>710</v>
      </c>
      <c r="B735">
        <v>1</v>
      </c>
      <c r="C735" s="1">
        <v>45840</v>
      </c>
      <c r="D735" s="1">
        <v>45841</v>
      </c>
      <c r="E735" t="s">
        <v>1157</v>
      </c>
      <c r="F735" t="s">
        <v>1865</v>
      </c>
      <c r="G735" t="s">
        <v>1452</v>
      </c>
      <c r="H735" t="s">
        <v>2616</v>
      </c>
      <c r="I735" t="s">
        <v>2737</v>
      </c>
      <c r="J735" t="s">
        <v>2743</v>
      </c>
      <c r="K735" t="s">
        <v>1485</v>
      </c>
      <c r="L735" t="s">
        <v>2775</v>
      </c>
      <c r="M735" t="s">
        <v>2551</v>
      </c>
      <c r="N735" t="s">
        <v>2574</v>
      </c>
      <c r="O735" t="s">
        <v>2602</v>
      </c>
      <c r="P735" t="s">
        <v>2562</v>
      </c>
      <c r="Q735" t="s">
        <v>2574</v>
      </c>
      <c r="R735" t="s">
        <v>2602</v>
      </c>
      <c r="S735" t="s">
        <v>2606</v>
      </c>
      <c r="T735">
        <v>1</v>
      </c>
      <c r="U735" s="2">
        <v>74213.429999999993</v>
      </c>
      <c r="V735" s="3">
        <v>0.05</v>
      </c>
      <c r="W735" s="2">
        <v>70502.759999999995</v>
      </c>
      <c r="X735" s="2">
        <v>7004.75</v>
      </c>
      <c r="Y735" s="3">
        <v>9.9354266414534695E-2</v>
      </c>
      <c r="Z735" t="s">
        <v>1495</v>
      </c>
      <c r="AA735" t="s">
        <v>1499</v>
      </c>
      <c r="AB735" t="s">
        <v>1501</v>
      </c>
      <c r="AC735">
        <v>1</v>
      </c>
      <c r="AD735">
        <v>2025</v>
      </c>
      <c r="AE735" t="s">
        <v>2814</v>
      </c>
      <c r="AF735" t="s">
        <v>2838</v>
      </c>
      <c r="AG735" t="s">
        <v>2846</v>
      </c>
      <c r="AH735" t="s">
        <v>2848</v>
      </c>
      <c r="AI735">
        <v>1</v>
      </c>
    </row>
    <row r="736" spans="1:35" x14ac:dyDescent="0.3">
      <c r="A736" t="s">
        <v>711</v>
      </c>
      <c r="B736">
        <v>1</v>
      </c>
      <c r="C736" s="1">
        <v>45840</v>
      </c>
      <c r="D736" s="1">
        <v>45840</v>
      </c>
      <c r="E736" t="s">
        <v>1290</v>
      </c>
      <c r="F736" t="s">
        <v>1692</v>
      </c>
      <c r="G736" t="s">
        <v>1355</v>
      </c>
      <c r="H736" t="s">
        <v>2622</v>
      </c>
      <c r="I736" t="s">
        <v>2737</v>
      </c>
      <c r="J736" t="s">
        <v>2745</v>
      </c>
      <c r="K736" t="s">
        <v>1481</v>
      </c>
      <c r="L736" t="s">
        <v>2777</v>
      </c>
      <c r="M736" t="s">
        <v>2553</v>
      </c>
      <c r="N736" t="s">
        <v>2576</v>
      </c>
      <c r="O736" t="s">
        <v>2602</v>
      </c>
      <c r="P736" t="s">
        <v>2557</v>
      </c>
      <c r="Q736" t="s">
        <v>2576</v>
      </c>
      <c r="R736" t="s">
        <v>2602</v>
      </c>
      <c r="S736" t="s">
        <v>2607</v>
      </c>
      <c r="T736">
        <v>2</v>
      </c>
      <c r="U736" s="2">
        <v>38093.910000000003</v>
      </c>
      <c r="V736" s="3">
        <v>0</v>
      </c>
      <c r="W736" s="2">
        <v>76187.820000000007</v>
      </c>
      <c r="X736" s="2">
        <v>7538.56</v>
      </c>
      <c r="Y736" s="3">
        <v>9.8947049541514634E-2</v>
      </c>
      <c r="Z736" t="s">
        <v>1496</v>
      </c>
      <c r="AA736" t="s">
        <v>1499</v>
      </c>
      <c r="AB736" t="s">
        <v>1501</v>
      </c>
      <c r="AC736">
        <v>0</v>
      </c>
      <c r="AD736">
        <v>2025</v>
      </c>
      <c r="AE736" t="s">
        <v>2814</v>
      </c>
      <c r="AF736" t="s">
        <v>2838</v>
      </c>
      <c r="AG736" t="s">
        <v>2846</v>
      </c>
      <c r="AH736" t="s">
        <v>2848</v>
      </c>
      <c r="AI736">
        <v>1</v>
      </c>
    </row>
    <row r="737" spans="1:35" x14ac:dyDescent="0.3">
      <c r="A737" t="s">
        <v>712</v>
      </c>
      <c r="B737">
        <v>1</v>
      </c>
      <c r="C737" s="1">
        <v>45841</v>
      </c>
      <c r="D737" s="1">
        <v>45844</v>
      </c>
      <c r="E737" t="s">
        <v>1291</v>
      </c>
      <c r="F737" t="s">
        <v>1715</v>
      </c>
      <c r="G737" t="s">
        <v>1449</v>
      </c>
      <c r="H737" t="s">
        <v>2642</v>
      </c>
      <c r="I737" t="s">
        <v>2738</v>
      </c>
      <c r="J737" t="s">
        <v>2750</v>
      </c>
      <c r="K737" t="s">
        <v>1480</v>
      </c>
      <c r="L737" t="s">
        <v>2789</v>
      </c>
      <c r="M737" t="s">
        <v>2572</v>
      </c>
      <c r="N737" t="s">
        <v>2582</v>
      </c>
      <c r="O737" t="s">
        <v>2601</v>
      </c>
      <c r="R737" t="s">
        <v>2790</v>
      </c>
      <c r="S737" t="s">
        <v>2608</v>
      </c>
      <c r="T737">
        <v>1</v>
      </c>
      <c r="U737" s="2">
        <v>22795.96</v>
      </c>
      <c r="V737" s="3">
        <v>0.1</v>
      </c>
      <c r="W737" s="2">
        <v>20516.36</v>
      </c>
      <c r="X737" s="2">
        <v>2817.71</v>
      </c>
      <c r="Y737" s="3">
        <v>0.1373396645408835</v>
      </c>
      <c r="Z737" t="s">
        <v>1497</v>
      </c>
      <c r="AA737" t="s">
        <v>1498</v>
      </c>
      <c r="AB737" t="s">
        <v>1501</v>
      </c>
      <c r="AC737">
        <v>3</v>
      </c>
      <c r="AD737">
        <v>2025</v>
      </c>
      <c r="AE737" t="s">
        <v>2814</v>
      </c>
      <c r="AF737" t="s">
        <v>2838</v>
      </c>
      <c r="AG737" t="s">
        <v>2846</v>
      </c>
      <c r="AH737" t="s">
        <v>2848</v>
      </c>
      <c r="AI737">
        <v>1</v>
      </c>
    </row>
    <row r="738" spans="1:35" x14ac:dyDescent="0.3">
      <c r="A738" t="s">
        <v>712</v>
      </c>
      <c r="B738">
        <v>2</v>
      </c>
      <c r="C738" s="1">
        <v>45841</v>
      </c>
      <c r="D738" s="1">
        <v>45844</v>
      </c>
      <c r="E738" t="s">
        <v>1291</v>
      </c>
      <c r="F738" t="s">
        <v>1715</v>
      </c>
      <c r="G738" t="s">
        <v>1339</v>
      </c>
      <c r="H738" t="s">
        <v>2715</v>
      </c>
      <c r="I738" t="s">
        <v>2741</v>
      </c>
      <c r="J738" t="s">
        <v>2767</v>
      </c>
      <c r="K738" t="s">
        <v>1480</v>
      </c>
      <c r="L738" t="s">
        <v>2789</v>
      </c>
      <c r="M738" t="s">
        <v>2572</v>
      </c>
      <c r="N738" t="s">
        <v>2582</v>
      </c>
      <c r="O738" t="s">
        <v>2601</v>
      </c>
      <c r="R738" t="s">
        <v>2790</v>
      </c>
      <c r="S738" t="s">
        <v>2608</v>
      </c>
      <c r="T738">
        <v>2</v>
      </c>
      <c r="U738" s="2">
        <v>763.54</v>
      </c>
      <c r="V738" s="3">
        <v>0.2</v>
      </c>
      <c r="W738" s="2">
        <v>1221.6600000000001</v>
      </c>
      <c r="X738" s="2">
        <v>176.54</v>
      </c>
      <c r="Y738" s="3">
        <v>0.14450829199613641</v>
      </c>
      <c r="Z738" t="s">
        <v>1497</v>
      </c>
      <c r="AA738" t="s">
        <v>1498</v>
      </c>
      <c r="AB738" t="s">
        <v>1501</v>
      </c>
      <c r="AC738">
        <v>3</v>
      </c>
      <c r="AD738">
        <v>2025</v>
      </c>
      <c r="AE738" t="s">
        <v>2814</v>
      </c>
      <c r="AF738" t="s">
        <v>2838</v>
      </c>
      <c r="AG738" t="s">
        <v>2846</v>
      </c>
      <c r="AH738" t="s">
        <v>2848</v>
      </c>
      <c r="AI738">
        <v>0</v>
      </c>
    </row>
    <row r="739" spans="1:35" x14ac:dyDescent="0.3">
      <c r="A739" t="s">
        <v>713</v>
      </c>
      <c r="B739">
        <v>1</v>
      </c>
      <c r="C739" s="1">
        <v>45843</v>
      </c>
      <c r="D739" s="1">
        <v>45844</v>
      </c>
      <c r="E739" t="s">
        <v>1160</v>
      </c>
      <c r="F739" t="s">
        <v>1830</v>
      </c>
      <c r="G739" t="s">
        <v>1471</v>
      </c>
      <c r="H739" t="s">
        <v>2637</v>
      </c>
      <c r="I739" t="s">
        <v>2737</v>
      </c>
      <c r="J739" t="s">
        <v>2747</v>
      </c>
      <c r="K739" t="s">
        <v>1480</v>
      </c>
      <c r="L739" t="s">
        <v>2789</v>
      </c>
      <c r="M739" t="s">
        <v>2555</v>
      </c>
      <c r="N739" t="s">
        <v>2578</v>
      </c>
      <c r="O739" t="s">
        <v>2603</v>
      </c>
      <c r="R739" t="s">
        <v>2790</v>
      </c>
      <c r="S739" t="s">
        <v>2606</v>
      </c>
      <c r="T739">
        <v>1</v>
      </c>
      <c r="U739" s="2">
        <v>31099.68</v>
      </c>
      <c r="V739" s="3">
        <v>0</v>
      </c>
      <c r="W739" s="2">
        <v>31099.68</v>
      </c>
      <c r="X739" s="2">
        <v>3425.67</v>
      </c>
      <c r="Y739" s="3">
        <v>0.1101512941612261</v>
      </c>
      <c r="Z739" t="s">
        <v>1495</v>
      </c>
      <c r="AA739" t="s">
        <v>1498</v>
      </c>
      <c r="AB739" t="s">
        <v>1501</v>
      </c>
      <c r="AC739">
        <v>1</v>
      </c>
      <c r="AD739">
        <v>2025</v>
      </c>
      <c r="AE739" t="s">
        <v>2814</v>
      </c>
      <c r="AF739" t="s">
        <v>2838</v>
      </c>
      <c r="AG739" t="s">
        <v>2846</v>
      </c>
      <c r="AH739" t="s">
        <v>2848</v>
      </c>
      <c r="AI739">
        <v>1</v>
      </c>
    </row>
    <row r="740" spans="1:35" x14ac:dyDescent="0.3">
      <c r="A740" t="s">
        <v>714</v>
      </c>
      <c r="B740">
        <v>1</v>
      </c>
      <c r="C740" s="1">
        <v>45843</v>
      </c>
      <c r="D740" s="1">
        <v>45844</v>
      </c>
      <c r="E740" t="s">
        <v>965</v>
      </c>
      <c r="F740" t="s">
        <v>1685</v>
      </c>
      <c r="G740" t="s">
        <v>1340</v>
      </c>
      <c r="H740" t="s">
        <v>2680</v>
      </c>
      <c r="I740" t="s">
        <v>2739</v>
      </c>
      <c r="J740" t="s">
        <v>2758</v>
      </c>
      <c r="K740" t="s">
        <v>1482</v>
      </c>
      <c r="L740" t="s">
        <v>2783</v>
      </c>
      <c r="M740" t="s">
        <v>2569</v>
      </c>
      <c r="N740" t="s">
        <v>2587</v>
      </c>
      <c r="O740" t="s">
        <v>2604</v>
      </c>
      <c r="P740" t="s">
        <v>2560</v>
      </c>
      <c r="Q740" t="s">
        <v>2579</v>
      </c>
      <c r="R740" t="s">
        <v>2604</v>
      </c>
      <c r="S740" t="s">
        <v>2608</v>
      </c>
      <c r="T740">
        <v>1</v>
      </c>
      <c r="U740" s="2">
        <v>5570.6</v>
      </c>
      <c r="V740" s="3">
        <v>0</v>
      </c>
      <c r="W740" s="2">
        <v>5570.6</v>
      </c>
      <c r="X740" s="2">
        <v>1503.07</v>
      </c>
      <c r="Y740" s="3">
        <v>0.26982192223458867</v>
      </c>
      <c r="Z740" t="s">
        <v>1494</v>
      </c>
      <c r="AA740" t="s">
        <v>1498</v>
      </c>
      <c r="AB740" t="s">
        <v>1501</v>
      </c>
      <c r="AC740">
        <v>1</v>
      </c>
      <c r="AD740">
        <v>2025</v>
      </c>
      <c r="AE740" t="s">
        <v>2814</v>
      </c>
      <c r="AF740" t="s">
        <v>2838</v>
      </c>
      <c r="AG740" t="s">
        <v>2846</v>
      </c>
      <c r="AH740" t="s">
        <v>2848</v>
      </c>
      <c r="AI740">
        <v>1</v>
      </c>
    </row>
    <row r="741" spans="1:35" x14ac:dyDescent="0.3">
      <c r="A741" t="s">
        <v>715</v>
      </c>
      <c r="B741">
        <v>1</v>
      </c>
      <c r="C741" s="1">
        <v>45844</v>
      </c>
      <c r="D741" s="1">
        <v>45846</v>
      </c>
      <c r="E741" t="s">
        <v>1220</v>
      </c>
      <c r="F741" t="s">
        <v>1667</v>
      </c>
      <c r="G741" t="s">
        <v>1474</v>
      </c>
      <c r="H741" t="s">
        <v>2733</v>
      </c>
      <c r="I741" t="s">
        <v>2742</v>
      </c>
      <c r="J741" t="s">
        <v>2772</v>
      </c>
      <c r="K741" t="s">
        <v>1480</v>
      </c>
      <c r="L741" t="s">
        <v>2789</v>
      </c>
      <c r="M741" t="s">
        <v>2570</v>
      </c>
      <c r="N741" t="s">
        <v>2590</v>
      </c>
      <c r="O741" t="s">
        <v>2605</v>
      </c>
      <c r="R741" t="s">
        <v>2790</v>
      </c>
      <c r="S741" t="s">
        <v>2606</v>
      </c>
      <c r="T741">
        <v>1</v>
      </c>
      <c r="U741" s="2">
        <v>12355.9</v>
      </c>
      <c r="V741" s="3">
        <v>0</v>
      </c>
      <c r="W741" s="2">
        <v>12355.9</v>
      </c>
      <c r="X741" s="2">
        <v>2795.37</v>
      </c>
      <c r="Y741" s="3">
        <v>0.22623766783479959</v>
      </c>
      <c r="Z741" t="s">
        <v>1495</v>
      </c>
      <c r="AA741" t="s">
        <v>1498</v>
      </c>
      <c r="AB741" t="s">
        <v>1501</v>
      </c>
      <c r="AC741">
        <v>2</v>
      </c>
      <c r="AD741">
        <v>2025</v>
      </c>
      <c r="AE741" t="s">
        <v>2814</v>
      </c>
      <c r="AF741" t="s">
        <v>2838</v>
      </c>
      <c r="AG741" t="s">
        <v>2846</v>
      </c>
      <c r="AH741" t="s">
        <v>2848</v>
      </c>
      <c r="AI741">
        <v>1</v>
      </c>
    </row>
    <row r="742" spans="1:35" x14ac:dyDescent="0.3">
      <c r="A742" t="s">
        <v>716</v>
      </c>
      <c r="B742">
        <v>1</v>
      </c>
      <c r="C742" s="1">
        <v>45844</v>
      </c>
      <c r="D742" s="1">
        <v>45847</v>
      </c>
      <c r="E742" t="s">
        <v>988</v>
      </c>
      <c r="F742" t="s">
        <v>1690</v>
      </c>
      <c r="G742" t="s">
        <v>1414</v>
      </c>
      <c r="H742" t="s">
        <v>2641</v>
      </c>
      <c r="I742" t="s">
        <v>2738</v>
      </c>
      <c r="J742" t="s">
        <v>2749</v>
      </c>
      <c r="K742" t="s">
        <v>1480</v>
      </c>
      <c r="L742" t="s">
        <v>2789</v>
      </c>
      <c r="M742" t="s">
        <v>2559</v>
      </c>
      <c r="N742" t="s">
        <v>2559</v>
      </c>
      <c r="O742" t="s">
        <v>2603</v>
      </c>
      <c r="R742" t="s">
        <v>2790</v>
      </c>
      <c r="S742" t="s">
        <v>2608</v>
      </c>
      <c r="T742">
        <v>1</v>
      </c>
      <c r="U742" s="2">
        <v>20329.61</v>
      </c>
      <c r="V742" s="3">
        <v>0</v>
      </c>
      <c r="W742" s="2">
        <v>20329.61</v>
      </c>
      <c r="X742" s="2">
        <v>4962.38</v>
      </c>
      <c r="Y742" s="3">
        <v>0.2440961730205351</v>
      </c>
      <c r="Z742" t="s">
        <v>1494</v>
      </c>
      <c r="AA742" t="s">
        <v>1498</v>
      </c>
      <c r="AB742" t="s">
        <v>1501</v>
      </c>
      <c r="AC742">
        <v>3</v>
      </c>
      <c r="AD742">
        <v>2025</v>
      </c>
      <c r="AE742" t="s">
        <v>2814</v>
      </c>
      <c r="AF742" t="s">
        <v>2838</v>
      </c>
      <c r="AG742" t="s">
        <v>2846</v>
      </c>
      <c r="AH742" t="s">
        <v>2848</v>
      </c>
      <c r="AI742">
        <v>1</v>
      </c>
    </row>
    <row r="743" spans="1:35" x14ac:dyDescent="0.3">
      <c r="A743" t="s">
        <v>717</v>
      </c>
      <c r="B743">
        <v>2</v>
      </c>
      <c r="C743" s="1">
        <v>45845</v>
      </c>
      <c r="D743" s="1">
        <v>45846</v>
      </c>
      <c r="E743" t="s">
        <v>1109</v>
      </c>
      <c r="F743" t="s">
        <v>1762</v>
      </c>
      <c r="G743" t="s">
        <v>1473</v>
      </c>
      <c r="H743" t="s">
        <v>2720</v>
      </c>
      <c r="I743" t="s">
        <v>2742</v>
      </c>
      <c r="J743" t="s">
        <v>2769</v>
      </c>
      <c r="K743" t="s">
        <v>1492</v>
      </c>
      <c r="L743" t="s">
        <v>2788</v>
      </c>
      <c r="M743" t="s">
        <v>2554</v>
      </c>
      <c r="N743" t="s">
        <v>2577</v>
      </c>
      <c r="O743" t="s">
        <v>2601</v>
      </c>
      <c r="P743" t="s">
        <v>2554</v>
      </c>
      <c r="Q743" t="s">
        <v>2577</v>
      </c>
      <c r="R743" t="s">
        <v>2601</v>
      </c>
      <c r="S743" t="s">
        <v>2606</v>
      </c>
      <c r="T743">
        <v>1</v>
      </c>
      <c r="U743" s="2">
        <v>9143.2999999999993</v>
      </c>
      <c r="V743" s="3">
        <v>0.05</v>
      </c>
      <c r="W743" s="2">
        <v>8686.1299999999992</v>
      </c>
      <c r="X743" s="2">
        <v>1523.78</v>
      </c>
      <c r="Y743" s="3">
        <v>0.1754268011185649</v>
      </c>
      <c r="Z743" t="s">
        <v>1496</v>
      </c>
      <c r="AA743" t="s">
        <v>1498</v>
      </c>
      <c r="AB743" t="s">
        <v>1501</v>
      </c>
      <c r="AC743">
        <v>1</v>
      </c>
      <c r="AD743">
        <v>2025</v>
      </c>
      <c r="AE743" t="s">
        <v>2814</v>
      </c>
      <c r="AF743" t="s">
        <v>2838</v>
      </c>
      <c r="AG743" t="s">
        <v>2846</v>
      </c>
      <c r="AH743" t="s">
        <v>2848</v>
      </c>
      <c r="AI743">
        <v>1</v>
      </c>
    </row>
    <row r="744" spans="1:35" x14ac:dyDescent="0.3">
      <c r="A744" t="s">
        <v>718</v>
      </c>
      <c r="B744">
        <v>2</v>
      </c>
      <c r="C744" s="1">
        <v>45846</v>
      </c>
      <c r="D744" s="1">
        <v>45846</v>
      </c>
      <c r="E744" t="s">
        <v>1292</v>
      </c>
      <c r="F744" t="s">
        <v>1671</v>
      </c>
      <c r="G744" t="s">
        <v>1420</v>
      </c>
      <c r="H744" t="s">
        <v>2694</v>
      </c>
      <c r="I744" t="s">
        <v>2740</v>
      </c>
      <c r="J744" t="s">
        <v>2762</v>
      </c>
      <c r="K744" t="s">
        <v>1481</v>
      </c>
      <c r="L744" t="s">
        <v>2777</v>
      </c>
      <c r="M744" t="s">
        <v>2556</v>
      </c>
      <c r="N744" t="s">
        <v>2592</v>
      </c>
      <c r="O744" t="s">
        <v>2602</v>
      </c>
      <c r="P744" t="s">
        <v>2557</v>
      </c>
      <c r="Q744" t="s">
        <v>2576</v>
      </c>
      <c r="R744" t="s">
        <v>2602</v>
      </c>
      <c r="S744" t="s">
        <v>2606</v>
      </c>
      <c r="T744">
        <v>1</v>
      </c>
      <c r="U744" s="2">
        <v>257.32</v>
      </c>
      <c r="V744" s="3">
        <v>0</v>
      </c>
      <c r="W744" s="2">
        <v>257.32</v>
      </c>
      <c r="X744" s="2">
        <v>16.670000000000002</v>
      </c>
      <c r="Y744" s="3">
        <v>6.4783149385978553E-2</v>
      </c>
      <c r="Z744" t="s">
        <v>1496</v>
      </c>
      <c r="AA744" t="s">
        <v>1500</v>
      </c>
      <c r="AB744" t="s">
        <v>1501</v>
      </c>
      <c r="AC744">
        <v>0</v>
      </c>
      <c r="AD744">
        <v>2025</v>
      </c>
      <c r="AE744" t="s">
        <v>2814</v>
      </c>
      <c r="AF744" t="s">
        <v>2838</v>
      </c>
      <c r="AG744" t="s">
        <v>2846</v>
      </c>
      <c r="AH744" t="s">
        <v>2848</v>
      </c>
      <c r="AI744">
        <v>1</v>
      </c>
    </row>
    <row r="745" spans="1:35" x14ac:dyDescent="0.3">
      <c r="A745" t="s">
        <v>719</v>
      </c>
      <c r="B745">
        <v>1</v>
      </c>
      <c r="C745" s="1">
        <v>45846</v>
      </c>
      <c r="D745" s="1">
        <v>45847</v>
      </c>
      <c r="E745" t="s">
        <v>1004</v>
      </c>
      <c r="F745" t="s">
        <v>1699</v>
      </c>
      <c r="G745" t="s">
        <v>1336</v>
      </c>
      <c r="H745" t="s">
        <v>2721</v>
      </c>
      <c r="I745" t="s">
        <v>2742</v>
      </c>
      <c r="J745" t="s">
        <v>2769</v>
      </c>
      <c r="K745" t="s">
        <v>1481</v>
      </c>
      <c r="L745" t="s">
        <v>2777</v>
      </c>
      <c r="M745" t="s">
        <v>2557</v>
      </c>
      <c r="N745" t="s">
        <v>2576</v>
      </c>
      <c r="O745" t="s">
        <v>2602</v>
      </c>
      <c r="P745" t="s">
        <v>2557</v>
      </c>
      <c r="Q745" t="s">
        <v>2576</v>
      </c>
      <c r="R745" t="s">
        <v>2602</v>
      </c>
      <c r="S745" t="s">
        <v>2606</v>
      </c>
      <c r="T745">
        <v>1</v>
      </c>
      <c r="U745" s="2">
        <v>18469.3</v>
      </c>
      <c r="V745" s="3">
        <v>0.1</v>
      </c>
      <c r="W745" s="2">
        <v>16622.37</v>
      </c>
      <c r="X745" s="2">
        <v>3051.73</v>
      </c>
      <c r="Y745" s="3">
        <v>0.18359175015355811</v>
      </c>
      <c r="Z745" t="s">
        <v>1496</v>
      </c>
      <c r="AA745" t="s">
        <v>1499</v>
      </c>
      <c r="AB745" t="s">
        <v>1501</v>
      </c>
      <c r="AC745">
        <v>1</v>
      </c>
      <c r="AD745">
        <v>2025</v>
      </c>
      <c r="AE745" t="s">
        <v>2814</v>
      </c>
      <c r="AF745" t="s">
        <v>2838</v>
      </c>
      <c r="AG745" t="s">
        <v>2846</v>
      </c>
      <c r="AH745" t="s">
        <v>2848</v>
      </c>
      <c r="AI745">
        <v>1</v>
      </c>
    </row>
    <row r="746" spans="1:35" x14ac:dyDescent="0.3">
      <c r="A746" t="s">
        <v>720</v>
      </c>
      <c r="B746">
        <v>2</v>
      </c>
      <c r="C746" s="1">
        <v>45847</v>
      </c>
      <c r="D746" s="1">
        <v>45847</v>
      </c>
      <c r="E746" t="s">
        <v>1112</v>
      </c>
      <c r="F746" t="s">
        <v>1726</v>
      </c>
      <c r="G746" t="s">
        <v>1366</v>
      </c>
      <c r="H746" t="s">
        <v>2694</v>
      </c>
      <c r="I746" t="s">
        <v>2740</v>
      </c>
      <c r="J746" t="s">
        <v>2762</v>
      </c>
      <c r="K746" t="s">
        <v>1485</v>
      </c>
      <c r="L746" t="s">
        <v>2775</v>
      </c>
      <c r="M746" t="s">
        <v>2562</v>
      </c>
      <c r="N746" t="s">
        <v>2574</v>
      </c>
      <c r="O746" t="s">
        <v>2602</v>
      </c>
      <c r="P746" t="s">
        <v>2562</v>
      </c>
      <c r="Q746" t="s">
        <v>2574</v>
      </c>
      <c r="R746" t="s">
        <v>2602</v>
      </c>
      <c r="S746" t="s">
        <v>2606</v>
      </c>
      <c r="T746">
        <v>1</v>
      </c>
      <c r="U746" s="2">
        <v>1397.64</v>
      </c>
      <c r="V746" s="3">
        <v>0</v>
      </c>
      <c r="W746" s="2">
        <v>1397.64</v>
      </c>
      <c r="X746" s="2">
        <v>86.62</v>
      </c>
      <c r="Y746" s="3">
        <v>6.1975902235196473E-2</v>
      </c>
      <c r="Z746" t="s">
        <v>1496</v>
      </c>
      <c r="AA746" t="s">
        <v>1500</v>
      </c>
      <c r="AB746" t="s">
        <v>1501</v>
      </c>
      <c r="AC746">
        <v>0</v>
      </c>
      <c r="AD746">
        <v>2025</v>
      </c>
      <c r="AE746" t="s">
        <v>2814</v>
      </c>
      <c r="AF746" t="s">
        <v>2838</v>
      </c>
      <c r="AG746" t="s">
        <v>2846</v>
      </c>
      <c r="AH746" t="s">
        <v>2848</v>
      </c>
      <c r="AI746">
        <v>1</v>
      </c>
    </row>
    <row r="747" spans="1:35" x14ac:dyDescent="0.3">
      <c r="A747" t="s">
        <v>721</v>
      </c>
      <c r="B747">
        <v>2</v>
      </c>
      <c r="C747" s="1">
        <v>45852</v>
      </c>
      <c r="D747" s="1">
        <v>45854</v>
      </c>
      <c r="E747" t="s">
        <v>1031</v>
      </c>
      <c r="F747" t="s">
        <v>1748</v>
      </c>
      <c r="G747" t="s">
        <v>1339</v>
      </c>
      <c r="H747" t="s">
        <v>2715</v>
      </c>
      <c r="I747" t="s">
        <v>2741</v>
      </c>
      <c r="J747" t="s">
        <v>2767</v>
      </c>
      <c r="K747" t="s">
        <v>1480</v>
      </c>
      <c r="L747" t="s">
        <v>2789</v>
      </c>
      <c r="M747" t="s">
        <v>2561</v>
      </c>
      <c r="N747" t="s">
        <v>2580</v>
      </c>
      <c r="O747" t="s">
        <v>2601</v>
      </c>
      <c r="R747" t="s">
        <v>2790</v>
      </c>
      <c r="S747" t="s">
        <v>2608</v>
      </c>
      <c r="T747">
        <v>1</v>
      </c>
      <c r="U747" s="2">
        <v>763.54</v>
      </c>
      <c r="V747" s="3">
        <v>0</v>
      </c>
      <c r="W747" s="2">
        <v>763.54</v>
      </c>
      <c r="X747" s="2">
        <v>240.98</v>
      </c>
      <c r="Y747" s="3">
        <v>0.31560887445320479</v>
      </c>
      <c r="Z747" t="s">
        <v>1496</v>
      </c>
      <c r="AA747" t="s">
        <v>1498</v>
      </c>
      <c r="AB747" t="s">
        <v>1501</v>
      </c>
      <c r="AC747">
        <v>2</v>
      </c>
      <c r="AD747">
        <v>2025</v>
      </c>
      <c r="AE747" t="s">
        <v>2814</v>
      </c>
      <c r="AF747" t="s">
        <v>2838</v>
      </c>
      <c r="AG747" t="s">
        <v>2846</v>
      </c>
      <c r="AH747" t="s">
        <v>2848</v>
      </c>
      <c r="AI747">
        <v>1</v>
      </c>
    </row>
    <row r="748" spans="1:35" x14ac:dyDescent="0.3">
      <c r="A748" t="s">
        <v>722</v>
      </c>
      <c r="B748">
        <v>2</v>
      </c>
      <c r="C748" s="1">
        <v>45858</v>
      </c>
      <c r="D748" s="1">
        <v>45858</v>
      </c>
      <c r="E748" t="s">
        <v>1161</v>
      </c>
      <c r="F748" t="s">
        <v>1959</v>
      </c>
      <c r="G748" t="s">
        <v>1431</v>
      </c>
      <c r="H748" t="s">
        <v>2658</v>
      </c>
      <c r="I748" t="s">
        <v>2738</v>
      </c>
      <c r="J748" t="s">
        <v>2754</v>
      </c>
      <c r="K748" t="s">
        <v>1492</v>
      </c>
      <c r="L748" t="s">
        <v>2788</v>
      </c>
      <c r="M748" t="s">
        <v>2554</v>
      </c>
      <c r="N748" t="s">
        <v>2577</v>
      </c>
      <c r="O748" t="s">
        <v>2601</v>
      </c>
      <c r="P748" t="s">
        <v>2554</v>
      </c>
      <c r="Q748" t="s">
        <v>2577</v>
      </c>
      <c r="R748" t="s">
        <v>2601</v>
      </c>
      <c r="S748" t="s">
        <v>2606</v>
      </c>
      <c r="T748">
        <v>3</v>
      </c>
      <c r="U748" s="2">
        <v>9677.85</v>
      </c>
      <c r="V748" s="3">
        <v>0</v>
      </c>
      <c r="W748" s="2">
        <v>29033.55</v>
      </c>
      <c r="X748" s="2">
        <v>5706.51</v>
      </c>
      <c r="Y748" s="3">
        <v>0.19654882024416581</v>
      </c>
      <c r="Z748" t="s">
        <v>1494</v>
      </c>
      <c r="AA748" t="s">
        <v>1498</v>
      </c>
      <c r="AB748" t="s">
        <v>1501</v>
      </c>
      <c r="AC748">
        <v>0</v>
      </c>
      <c r="AD748">
        <v>2025</v>
      </c>
      <c r="AE748" t="s">
        <v>2814</v>
      </c>
      <c r="AF748" t="s">
        <v>2838</v>
      </c>
      <c r="AG748" t="s">
        <v>2846</v>
      </c>
      <c r="AH748" t="s">
        <v>2848</v>
      </c>
      <c r="AI748">
        <v>1</v>
      </c>
    </row>
    <row r="749" spans="1:35" x14ac:dyDescent="0.3">
      <c r="A749" t="s">
        <v>723</v>
      </c>
      <c r="B749">
        <v>1</v>
      </c>
      <c r="C749" s="1">
        <v>45859</v>
      </c>
      <c r="D749" s="1">
        <v>45860</v>
      </c>
      <c r="E749" t="s">
        <v>1293</v>
      </c>
      <c r="F749" t="s">
        <v>1996</v>
      </c>
      <c r="G749" t="s">
        <v>1400</v>
      </c>
      <c r="H749" t="s">
        <v>2642</v>
      </c>
      <c r="I749" t="s">
        <v>2738</v>
      </c>
      <c r="J749" t="s">
        <v>2750</v>
      </c>
      <c r="K749" t="s">
        <v>1490</v>
      </c>
      <c r="L749" t="s">
        <v>2784</v>
      </c>
      <c r="M749" t="s">
        <v>2565</v>
      </c>
      <c r="N749" t="s">
        <v>2583</v>
      </c>
      <c r="O749" t="s">
        <v>2604</v>
      </c>
      <c r="P749" t="s">
        <v>2567</v>
      </c>
      <c r="Q749" t="s">
        <v>2585</v>
      </c>
      <c r="R749" t="s">
        <v>2604</v>
      </c>
      <c r="S749" t="s">
        <v>2606</v>
      </c>
      <c r="T749">
        <v>1</v>
      </c>
      <c r="U749" s="2">
        <v>36178.629999999997</v>
      </c>
      <c r="V749" s="3">
        <v>0.15</v>
      </c>
      <c r="W749" s="2">
        <v>30751.84</v>
      </c>
      <c r="X749" s="2">
        <v>448.96</v>
      </c>
      <c r="Y749" s="3">
        <v>1.459945161005E-2</v>
      </c>
      <c r="Z749" t="s">
        <v>1495</v>
      </c>
      <c r="AA749" t="s">
        <v>1498</v>
      </c>
      <c r="AB749" t="s">
        <v>1501</v>
      </c>
      <c r="AC749">
        <v>1</v>
      </c>
      <c r="AD749">
        <v>2025</v>
      </c>
      <c r="AE749" t="s">
        <v>2814</v>
      </c>
      <c r="AF749" t="s">
        <v>2838</v>
      </c>
      <c r="AG749" t="s">
        <v>2846</v>
      </c>
      <c r="AH749" t="s">
        <v>2848</v>
      </c>
      <c r="AI749">
        <v>1</v>
      </c>
    </row>
    <row r="750" spans="1:35" x14ac:dyDescent="0.3">
      <c r="A750" t="s">
        <v>724</v>
      </c>
      <c r="B750">
        <v>1</v>
      </c>
      <c r="C750" s="1">
        <v>45859</v>
      </c>
      <c r="D750" s="1">
        <v>45862</v>
      </c>
      <c r="E750" t="s">
        <v>1007</v>
      </c>
      <c r="F750" t="s">
        <v>1733</v>
      </c>
      <c r="G750" t="s">
        <v>1435</v>
      </c>
      <c r="H750" t="s">
        <v>2633</v>
      </c>
      <c r="I750" t="s">
        <v>2737</v>
      </c>
      <c r="J750" t="s">
        <v>2747</v>
      </c>
      <c r="K750" t="s">
        <v>1480</v>
      </c>
      <c r="L750" t="s">
        <v>2789</v>
      </c>
      <c r="M750" t="s">
        <v>2552</v>
      </c>
      <c r="N750" t="s">
        <v>2575</v>
      </c>
      <c r="O750" t="s">
        <v>2603</v>
      </c>
      <c r="R750" t="s">
        <v>2790</v>
      </c>
      <c r="S750" t="s">
        <v>2607</v>
      </c>
      <c r="T750">
        <v>1</v>
      </c>
      <c r="U750" s="2">
        <v>62926.96</v>
      </c>
      <c r="V750" s="3">
        <v>0</v>
      </c>
      <c r="W750" s="2">
        <v>62926.96</v>
      </c>
      <c r="X750" s="2">
        <v>9214.48</v>
      </c>
      <c r="Y750" s="3">
        <v>0.1464313547007515</v>
      </c>
      <c r="Z750" t="s">
        <v>1495</v>
      </c>
      <c r="AA750" t="s">
        <v>1498</v>
      </c>
      <c r="AB750" t="s">
        <v>1501</v>
      </c>
      <c r="AC750">
        <v>3</v>
      </c>
      <c r="AD750">
        <v>2025</v>
      </c>
      <c r="AE750" t="s">
        <v>2814</v>
      </c>
      <c r="AF750" t="s">
        <v>2838</v>
      </c>
      <c r="AG750" t="s">
        <v>2846</v>
      </c>
      <c r="AH750" t="s">
        <v>2848</v>
      </c>
      <c r="AI750">
        <v>1</v>
      </c>
    </row>
    <row r="751" spans="1:35" x14ac:dyDescent="0.3">
      <c r="A751" t="s">
        <v>725</v>
      </c>
      <c r="B751">
        <v>1</v>
      </c>
      <c r="C751" s="1">
        <v>45860</v>
      </c>
      <c r="D751" s="1">
        <v>45862</v>
      </c>
      <c r="E751" t="s">
        <v>1185</v>
      </c>
      <c r="F751" t="s">
        <v>1723</v>
      </c>
      <c r="G751" t="s">
        <v>1364</v>
      </c>
      <c r="H751" t="s">
        <v>2699</v>
      </c>
      <c r="I751" t="s">
        <v>2740</v>
      </c>
      <c r="J751" t="s">
        <v>2762</v>
      </c>
      <c r="K751" t="s">
        <v>1480</v>
      </c>
      <c r="L751" t="s">
        <v>2789</v>
      </c>
      <c r="M751" t="s">
        <v>2556</v>
      </c>
      <c r="N751" t="s">
        <v>2574</v>
      </c>
      <c r="O751" t="s">
        <v>2602</v>
      </c>
      <c r="R751" t="s">
        <v>2790</v>
      </c>
      <c r="S751" t="s">
        <v>2608</v>
      </c>
      <c r="T751">
        <v>1</v>
      </c>
      <c r="U751" s="2">
        <v>590.01</v>
      </c>
      <c r="V751" s="3">
        <v>0.15</v>
      </c>
      <c r="W751" s="2">
        <v>501.51</v>
      </c>
      <c r="X751" s="2">
        <v>-15.95</v>
      </c>
      <c r="Y751" s="3">
        <v>-3.1803952064764412E-2</v>
      </c>
      <c r="Z751" t="s">
        <v>1496</v>
      </c>
      <c r="AA751" t="s">
        <v>1498</v>
      </c>
      <c r="AB751" t="s">
        <v>1501</v>
      </c>
      <c r="AC751">
        <v>2</v>
      </c>
      <c r="AD751">
        <v>2025</v>
      </c>
      <c r="AE751" t="s">
        <v>2814</v>
      </c>
      <c r="AF751" t="s">
        <v>2838</v>
      </c>
      <c r="AG751" t="s">
        <v>2846</v>
      </c>
      <c r="AH751" t="s">
        <v>2848</v>
      </c>
      <c r="AI751">
        <v>1</v>
      </c>
    </row>
    <row r="752" spans="1:35" x14ac:dyDescent="0.3">
      <c r="A752" t="s">
        <v>726</v>
      </c>
      <c r="B752">
        <v>1</v>
      </c>
      <c r="C752" s="1">
        <v>45861</v>
      </c>
      <c r="D752" s="1">
        <v>45861</v>
      </c>
      <c r="E752" t="s">
        <v>1005</v>
      </c>
      <c r="F752" t="s">
        <v>1696</v>
      </c>
      <c r="G752" t="s">
        <v>1344</v>
      </c>
      <c r="H752" t="s">
        <v>2717</v>
      </c>
      <c r="I752" t="s">
        <v>2741</v>
      </c>
      <c r="J752" t="s">
        <v>2768</v>
      </c>
      <c r="K752" t="s">
        <v>1478</v>
      </c>
      <c r="L752" t="s">
        <v>2782</v>
      </c>
      <c r="M752" t="s">
        <v>2560</v>
      </c>
      <c r="N752" t="s">
        <v>2579</v>
      </c>
      <c r="O752" t="s">
        <v>2604</v>
      </c>
      <c r="P752" t="s">
        <v>2565</v>
      </c>
      <c r="Q752" t="s">
        <v>2583</v>
      </c>
      <c r="R752" t="s">
        <v>2604</v>
      </c>
      <c r="S752" t="s">
        <v>2608</v>
      </c>
      <c r="T752">
        <v>2</v>
      </c>
      <c r="U752" s="2">
        <v>555.59</v>
      </c>
      <c r="V752" s="3">
        <v>0</v>
      </c>
      <c r="W752" s="2">
        <v>1111.18</v>
      </c>
      <c r="X752" s="2">
        <v>352.98</v>
      </c>
      <c r="Y752" s="3">
        <v>0.31766230493709391</v>
      </c>
      <c r="Z752" t="s">
        <v>1496</v>
      </c>
      <c r="AA752" t="s">
        <v>1498</v>
      </c>
      <c r="AB752" t="s">
        <v>1501</v>
      </c>
      <c r="AC752">
        <v>0</v>
      </c>
      <c r="AD752">
        <v>2025</v>
      </c>
      <c r="AE752" t="s">
        <v>2814</v>
      </c>
      <c r="AF752" t="s">
        <v>2838</v>
      </c>
      <c r="AG752" t="s">
        <v>2846</v>
      </c>
      <c r="AH752" t="s">
        <v>2848</v>
      </c>
      <c r="AI752">
        <v>1</v>
      </c>
    </row>
    <row r="753" spans="1:35" x14ac:dyDescent="0.3">
      <c r="A753" t="s">
        <v>727</v>
      </c>
      <c r="B753">
        <v>1</v>
      </c>
      <c r="C753" s="1">
        <v>45861</v>
      </c>
      <c r="D753" s="1">
        <v>45861</v>
      </c>
      <c r="E753" t="s">
        <v>1161</v>
      </c>
      <c r="F753" t="s">
        <v>1959</v>
      </c>
      <c r="G753" t="s">
        <v>1475</v>
      </c>
      <c r="H753" t="s">
        <v>2674</v>
      </c>
      <c r="I753" t="s">
        <v>2739</v>
      </c>
      <c r="J753" t="s">
        <v>2757</v>
      </c>
      <c r="K753" t="s">
        <v>1487</v>
      </c>
      <c r="L753" t="s">
        <v>2785</v>
      </c>
      <c r="M753" t="s">
        <v>2554</v>
      </c>
      <c r="N753" t="s">
        <v>2577</v>
      </c>
      <c r="O753" t="s">
        <v>2601</v>
      </c>
      <c r="P753" t="s">
        <v>2550</v>
      </c>
      <c r="Q753" t="s">
        <v>2573</v>
      </c>
      <c r="R753" t="s">
        <v>2601</v>
      </c>
      <c r="S753" t="s">
        <v>2606</v>
      </c>
      <c r="T753">
        <v>2</v>
      </c>
      <c r="U753" s="2">
        <v>1132.19</v>
      </c>
      <c r="V753" s="3">
        <v>0</v>
      </c>
      <c r="W753" s="2">
        <v>2264.38</v>
      </c>
      <c r="X753" s="2">
        <v>939.56</v>
      </c>
      <c r="Y753" s="3">
        <v>0.41493035621229651</v>
      </c>
      <c r="Z753" t="s">
        <v>1495</v>
      </c>
      <c r="AA753" t="s">
        <v>1500</v>
      </c>
      <c r="AB753" t="s">
        <v>1501</v>
      </c>
      <c r="AC753">
        <v>0</v>
      </c>
      <c r="AD753">
        <v>2025</v>
      </c>
      <c r="AE753" t="s">
        <v>2814</v>
      </c>
      <c r="AF753" t="s">
        <v>2838</v>
      </c>
      <c r="AG753" t="s">
        <v>2846</v>
      </c>
      <c r="AH753" t="s">
        <v>2848</v>
      </c>
      <c r="AI753">
        <v>1</v>
      </c>
    </row>
    <row r="754" spans="1:35" x14ac:dyDescent="0.3">
      <c r="A754" t="s">
        <v>728</v>
      </c>
      <c r="B754">
        <v>2</v>
      </c>
      <c r="C754" s="1">
        <v>45861</v>
      </c>
      <c r="D754" s="1">
        <v>45862</v>
      </c>
      <c r="E754" t="s">
        <v>1271</v>
      </c>
      <c r="F754" t="s">
        <v>1764</v>
      </c>
      <c r="G754" t="s">
        <v>1381</v>
      </c>
      <c r="H754" t="s">
        <v>2682</v>
      </c>
      <c r="I754" t="s">
        <v>2739</v>
      </c>
      <c r="J754" t="s">
        <v>2759</v>
      </c>
      <c r="K754" t="s">
        <v>1480</v>
      </c>
      <c r="L754" t="s">
        <v>2789</v>
      </c>
      <c r="M754" t="s">
        <v>2559</v>
      </c>
      <c r="N754" t="s">
        <v>2559</v>
      </c>
      <c r="O754" t="s">
        <v>2603</v>
      </c>
      <c r="R754" t="s">
        <v>2790</v>
      </c>
      <c r="S754" t="s">
        <v>2607</v>
      </c>
      <c r="T754">
        <v>2</v>
      </c>
      <c r="U754" s="2">
        <v>4870.55</v>
      </c>
      <c r="V754" s="3">
        <v>0.2</v>
      </c>
      <c r="W754" s="2">
        <v>7792.88</v>
      </c>
      <c r="X754" s="2">
        <v>2005.64</v>
      </c>
      <c r="Y754" s="3">
        <v>0.25736826436439419</v>
      </c>
      <c r="Z754" t="s">
        <v>1495</v>
      </c>
      <c r="AA754" t="s">
        <v>1499</v>
      </c>
      <c r="AB754" t="s">
        <v>1501</v>
      </c>
      <c r="AC754">
        <v>1</v>
      </c>
      <c r="AD754">
        <v>2025</v>
      </c>
      <c r="AE754" t="s">
        <v>2814</v>
      </c>
      <c r="AF754" t="s">
        <v>2838</v>
      </c>
      <c r="AG754" t="s">
        <v>2846</v>
      </c>
      <c r="AH754" t="s">
        <v>2848</v>
      </c>
      <c r="AI754">
        <v>1</v>
      </c>
    </row>
    <row r="755" spans="1:35" x14ac:dyDescent="0.3">
      <c r="A755" t="s">
        <v>729</v>
      </c>
      <c r="B755">
        <v>2</v>
      </c>
      <c r="C755" s="1">
        <v>45863</v>
      </c>
      <c r="D755" s="1">
        <v>45865</v>
      </c>
      <c r="E755" t="s">
        <v>1265</v>
      </c>
      <c r="F755" t="s">
        <v>1988</v>
      </c>
      <c r="G755" t="s">
        <v>1331</v>
      </c>
      <c r="H755" t="s">
        <v>2706</v>
      </c>
      <c r="I755" t="s">
        <v>2741</v>
      </c>
      <c r="J755" t="s">
        <v>2765</v>
      </c>
      <c r="K755" t="s">
        <v>1480</v>
      </c>
      <c r="L755" t="s">
        <v>2789</v>
      </c>
      <c r="M755" t="s">
        <v>2565</v>
      </c>
      <c r="N755" t="s">
        <v>2583</v>
      </c>
      <c r="O755" t="s">
        <v>2604</v>
      </c>
      <c r="R755" t="s">
        <v>2790</v>
      </c>
      <c r="S755" t="s">
        <v>2606</v>
      </c>
      <c r="T755">
        <v>1</v>
      </c>
      <c r="U755" s="2">
        <v>1520.12</v>
      </c>
      <c r="V755" s="3">
        <v>0</v>
      </c>
      <c r="W755" s="2">
        <v>1520.12</v>
      </c>
      <c r="X755" s="2">
        <v>547.69000000000005</v>
      </c>
      <c r="Y755" s="3">
        <v>0.36029392416388178</v>
      </c>
      <c r="Z755" t="s">
        <v>1496</v>
      </c>
      <c r="AA755" t="s">
        <v>1499</v>
      </c>
      <c r="AB755" t="s">
        <v>1501</v>
      </c>
      <c r="AC755">
        <v>2</v>
      </c>
      <c r="AD755">
        <v>2025</v>
      </c>
      <c r="AE755" t="s">
        <v>2814</v>
      </c>
      <c r="AF755" t="s">
        <v>2838</v>
      </c>
      <c r="AG755" t="s">
        <v>2846</v>
      </c>
      <c r="AH755" t="s">
        <v>2848</v>
      </c>
      <c r="AI755">
        <v>1</v>
      </c>
    </row>
    <row r="756" spans="1:35" x14ac:dyDescent="0.3">
      <c r="A756" t="s">
        <v>729</v>
      </c>
      <c r="B756">
        <v>3</v>
      </c>
      <c r="C756" s="1">
        <v>45863</v>
      </c>
      <c r="D756" s="1">
        <v>45865</v>
      </c>
      <c r="E756" t="s">
        <v>1265</v>
      </c>
      <c r="F756" t="s">
        <v>1988</v>
      </c>
      <c r="G756" t="s">
        <v>1420</v>
      </c>
      <c r="H756" t="s">
        <v>2694</v>
      </c>
      <c r="I756" t="s">
        <v>2740</v>
      </c>
      <c r="J756" t="s">
        <v>2762</v>
      </c>
      <c r="K756" t="s">
        <v>1480</v>
      </c>
      <c r="L756" t="s">
        <v>2789</v>
      </c>
      <c r="M756" t="s">
        <v>2565</v>
      </c>
      <c r="N756" t="s">
        <v>2583</v>
      </c>
      <c r="O756" t="s">
        <v>2604</v>
      </c>
      <c r="R756" t="s">
        <v>2790</v>
      </c>
      <c r="S756" t="s">
        <v>2606</v>
      </c>
      <c r="T756">
        <v>1</v>
      </c>
      <c r="U756" s="2">
        <v>257.32</v>
      </c>
      <c r="V756" s="3">
        <v>0</v>
      </c>
      <c r="W756" s="2">
        <v>257.32</v>
      </c>
      <c r="X756" s="2">
        <v>16.670000000000002</v>
      </c>
      <c r="Y756" s="3">
        <v>6.4783149385978553E-2</v>
      </c>
      <c r="Z756" t="s">
        <v>1496</v>
      </c>
      <c r="AA756" t="s">
        <v>1499</v>
      </c>
      <c r="AB756" t="s">
        <v>1501</v>
      </c>
      <c r="AC756">
        <v>2</v>
      </c>
      <c r="AD756">
        <v>2025</v>
      </c>
      <c r="AE756" t="s">
        <v>2814</v>
      </c>
      <c r="AF756" t="s">
        <v>2838</v>
      </c>
      <c r="AG756" t="s">
        <v>2846</v>
      </c>
      <c r="AH756" t="s">
        <v>2848</v>
      </c>
      <c r="AI756">
        <v>0</v>
      </c>
    </row>
    <row r="757" spans="1:35" x14ac:dyDescent="0.3">
      <c r="A757" t="s">
        <v>730</v>
      </c>
      <c r="B757">
        <v>2</v>
      </c>
      <c r="C757" s="1">
        <v>45863</v>
      </c>
      <c r="D757" s="1">
        <v>45864</v>
      </c>
      <c r="E757" t="s">
        <v>1191</v>
      </c>
      <c r="F757" t="s">
        <v>1650</v>
      </c>
      <c r="G757" t="s">
        <v>1449</v>
      </c>
      <c r="H757" t="s">
        <v>2642</v>
      </c>
      <c r="I757" t="s">
        <v>2738</v>
      </c>
      <c r="J757" t="s">
        <v>2750</v>
      </c>
      <c r="K757" t="s">
        <v>1486</v>
      </c>
      <c r="L757" t="s">
        <v>2776</v>
      </c>
      <c r="M757" t="s">
        <v>2551</v>
      </c>
      <c r="N757" t="s">
        <v>2574</v>
      </c>
      <c r="O757" t="s">
        <v>2602</v>
      </c>
      <c r="P757" t="s">
        <v>2551</v>
      </c>
      <c r="Q757" t="s">
        <v>2574</v>
      </c>
      <c r="R757" t="s">
        <v>2602</v>
      </c>
      <c r="S757" t="s">
        <v>2607</v>
      </c>
      <c r="T757">
        <v>1</v>
      </c>
      <c r="U757" s="2">
        <v>22795.96</v>
      </c>
      <c r="V757" s="3">
        <v>0</v>
      </c>
      <c r="W757" s="2">
        <v>22795.96</v>
      </c>
      <c r="X757" s="2">
        <v>5097.3100000000004</v>
      </c>
      <c r="Y757" s="3">
        <v>0.2236058494575355</v>
      </c>
      <c r="Z757" t="s">
        <v>1493</v>
      </c>
      <c r="AA757" t="s">
        <v>1498</v>
      </c>
      <c r="AB757" t="s">
        <v>1501</v>
      </c>
      <c r="AC757">
        <v>1</v>
      </c>
      <c r="AD757">
        <v>2025</v>
      </c>
      <c r="AE757" t="s">
        <v>2814</v>
      </c>
      <c r="AF757" t="s">
        <v>2838</v>
      </c>
      <c r="AG757" t="s">
        <v>2846</v>
      </c>
      <c r="AH757" t="s">
        <v>2848</v>
      </c>
      <c r="AI757">
        <v>1</v>
      </c>
    </row>
    <row r="758" spans="1:35" x14ac:dyDescent="0.3">
      <c r="A758" t="s">
        <v>731</v>
      </c>
      <c r="B758">
        <v>1</v>
      </c>
      <c r="C758" s="1">
        <v>45864</v>
      </c>
      <c r="D758" s="1">
        <v>45866</v>
      </c>
      <c r="E758" t="s">
        <v>1008</v>
      </c>
      <c r="F758" t="s">
        <v>1884</v>
      </c>
      <c r="G758" t="s">
        <v>1404</v>
      </c>
      <c r="H758" t="s">
        <v>2643</v>
      </c>
      <c r="I758" t="s">
        <v>2738</v>
      </c>
      <c r="J758" t="s">
        <v>2750</v>
      </c>
      <c r="K758" t="s">
        <v>1480</v>
      </c>
      <c r="L758" t="s">
        <v>2789</v>
      </c>
      <c r="M758" t="s">
        <v>2564</v>
      </c>
      <c r="N758" t="s">
        <v>2582</v>
      </c>
      <c r="O758" t="s">
        <v>2601</v>
      </c>
      <c r="R758" t="s">
        <v>2790</v>
      </c>
      <c r="S758" t="s">
        <v>2606</v>
      </c>
      <c r="T758">
        <v>1</v>
      </c>
      <c r="U758" s="2">
        <v>44125.88</v>
      </c>
      <c r="V758" s="3">
        <v>0</v>
      </c>
      <c r="W758" s="2">
        <v>44125.88</v>
      </c>
      <c r="X758" s="2">
        <v>9811.19</v>
      </c>
      <c r="Y758" s="3">
        <v>0.22234548070202789</v>
      </c>
      <c r="Z758" t="s">
        <v>1495</v>
      </c>
      <c r="AA758" t="s">
        <v>1498</v>
      </c>
      <c r="AB758" t="s">
        <v>1502</v>
      </c>
      <c r="AC758">
        <v>2</v>
      </c>
      <c r="AD758">
        <v>2025</v>
      </c>
      <c r="AE758" t="s">
        <v>2814</v>
      </c>
      <c r="AF758" t="s">
        <v>2838</v>
      </c>
      <c r="AG758" t="s">
        <v>2846</v>
      </c>
      <c r="AH758" t="s">
        <v>2848</v>
      </c>
      <c r="AI758">
        <v>1</v>
      </c>
    </row>
    <row r="759" spans="1:35" x14ac:dyDescent="0.3">
      <c r="A759" t="s">
        <v>732</v>
      </c>
      <c r="B759">
        <v>1</v>
      </c>
      <c r="C759" s="1">
        <v>45864</v>
      </c>
      <c r="D759" s="1">
        <v>45865</v>
      </c>
      <c r="E759" t="s">
        <v>965</v>
      </c>
      <c r="F759" t="s">
        <v>1685</v>
      </c>
      <c r="G759" t="s">
        <v>1405</v>
      </c>
      <c r="H759" t="s">
        <v>2639</v>
      </c>
      <c r="I759" t="s">
        <v>2737</v>
      </c>
      <c r="J759" t="s">
        <v>2748</v>
      </c>
      <c r="K759" t="s">
        <v>1482</v>
      </c>
      <c r="L759" t="s">
        <v>2783</v>
      </c>
      <c r="M759" t="s">
        <v>2569</v>
      </c>
      <c r="N759" t="s">
        <v>2587</v>
      </c>
      <c r="O759" t="s">
        <v>2604</v>
      </c>
      <c r="P759" t="s">
        <v>2560</v>
      </c>
      <c r="Q759" t="s">
        <v>2579</v>
      </c>
      <c r="R759" t="s">
        <v>2604</v>
      </c>
      <c r="S759" t="s">
        <v>2608</v>
      </c>
      <c r="T759">
        <v>1</v>
      </c>
      <c r="U759" s="2">
        <v>57633.32</v>
      </c>
      <c r="V759" s="3">
        <v>0</v>
      </c>
      <c r="W759" s="2">
        <v>57633.32</v>
      </c>
      <c r="X759" s="2">
        <v>7200.49</v>
      </c>
      <c r="Y759" s="3">
        <v>0.1249362348030618</v>
      </c>
      <c r="Z759" t="s">
        <v>1496</v>
      </c>
      <c r="AA759" t="s">
        <v>1498</v>
      </c>
      <c r="AB759" t="s">
        <v>1501</v>
      </c>
      <c r="AC759">
        <v>1</v>
      </c>
      <c r="AD759">
        <v>2025</v>
      </c>
      <c r="AE759" t="s">
        <v>2814</v>
      </c>
      <c r="AF759" t="s">
        <v>2838</v>
      </c>
      <c r="AG759" t="s">
        <v>2846</v>
      </c>
      <c r="AH759" t="s">
        <v>2848</v>
      </c>
      <c r="AI759">
        <v>1</v>
      </c>
    </row>
    <row r="760" spans="1:35" x14ac:dyDescent="0.3">
      <c r="A760" t="s">
        <v>733</v>
      </c>
      <c r="B760">
        <v>1</v>
      </c>
      <c r="C760" s="1">
        <v>45866</v>
      </c>
      <c r="D760" s="1">
        <v>45868</v>
      </c>
      <c r="E760" t="s">
        <v>1240</v>
      </c>
      <c r="F760" t="s">
        <v>1855</v>
      </c>
      <c r="G760" t="s">
        <v>1332</v>
      </c>
      <c r="H760" t="s">
        <v>2630</v>
      </c>
      <c r="I760" t="s">
        <v>2737</v>
      </c>
      <c r="J760" t="s">
        <v>2746</v>
      </c>
      <c r="K760" t="s">
        <v>1480</v>
      </c>
      <c r="L760" t="s">
        <v>2789</v>
      </c>
      <c r="M760" t="s">
        <v>2572</v>
      </c>
      <c r="N760" t="s">
        <v>2582</v>
      </c>
      <c r="O760" t="s">
        <v>2601</v>
      </c>
      <c r="R760" t="s">
        <v>2790</v>
      </c>
      <c r="S760" t="s">
        <v>2606</v>
      </c>
      <c r="T760">
        <v>1</v>
      </c>
      <c r="U760" s="2">
        <v>45652.65</v>
      </c>
      <c r="V760" s="3">
        <v>0.25</v>
      </c>
      <c r="W760" s="2">
        <v>34239.49</v>
      </c>
      <c r="X760" s="2">
        <v>-4268.53</v>
      </c>
      <c r="Y760" s="3">
        <v>-0.1246668685777738</v>
      </c>
      <c r="Z760" t="s">
        <v>1495</v>
      </c>
      <c r="AA760" t="s">
        <v>1498</v>
      </c>
      <c r="AB760" t="s">
        <v>1501</v>
      </c>
      <c r="AC760">
        <v>2</v>
      </c>
      <c r="AD760">
        <v>2025</v>
      </c>
      <c r="AE760" t="s">
        <v>2814</v>
      </c>
      <c r="AF760" t="s">
        <v>2838</v>
      </c>
      <c r="AG760" t="s">
        <v>2846</v>
      </c>
      <c r="AH760" t="s">
        <v>2848</v>
      </c>
      <c r="AI760">
        <v>1</v>
      </c>
    </row>
    <row r="761" spans="1:35" x14ac:dyDescent="0.3">
      <c r="A761" t="s">
        <v>734</v>
      </c>
      <c r="B761">
        <v>1</v>
      </c>
      <c r="C761" s="1">
        <v>45867</v>
      </c>
      <c r="D761" s="1">
        <v>45868</v>
      </c>
      <c r="E761" t="s">
        <v>1020</v>
      </c>
      <c r="F761" t="s">
        <v>1746</v>
      </c>
      <c r="G761" t="s">
        <v>1370</v>
      </c>
      <c r="H761" t="s">
        <v>2633</v>
      </c>
      <c r="I761" t="s">
        <v>2737</v>
      </c>
      <c r="J761" t="s">
        <v>2747</v>
      </c>
      <c r="K761" t="s">
        <v>1478</v>
      </c>
      <c r="L761" t="s">
        <v>2782</v>
      </c>
      <c r="M761" t="s">
        <v>2569</v>
      </c>
      <c r="N761" t="s">
        <v>2587</v>
      </c>
      <c r="O761" t="s">
        <v>2604</v>
      </c>
      <c r="P761" t="s">
        <v>2565</v>
      </c>
      <c r="Q761" t="s">
        <v>2583</v>
      </c>
      <c r="R761" t="s">
        <v>2604</v>
      </c>
      <c r="S761" t="s">
        <v>2608</v>
      </c>
      <c r="T761">
        <v>1</v>
      </c>
      <c r="U761" s="2">
        <v>19480.22</v>
      </c>
      <c r="V761" s="3">
        <v>0.1</v>
      </c>
      <c r="W761" s="2">
        <v>17532.2</v>
      </c>
      <c r="X761" s="2">
        <v>-276.02999999999997</v>
      </c>
      <c r="Y761" s="3">
        <v>-1.5744173577759781E-2</v>
      </c>
      <c r="Z761" t="s">
        <v>1496</v>
      </c>
      <c r="AA761" t="s">
        <v>1499</v>
      </c>
      <c r="AB761" t="s">
        <v>1501</v>
      </c>
      <c r="AC761">
        <v>1</v>
      </c>
      <c r="AD761">
        <v>2025</v>
      </c>
      <c r="AE761" t="s">
        <v>2814</v>
      </c>
      <c r="AF761" t="s">
        <v>2838</v>
      </c>
      <c r="AG761" t="s">
        <v>2846</v>
      </c>
      <c r="AH761" t="s">
        <v>2848</v>
      </c>
      <c r="AI761">
        <v>1</v>
      </c>
    </row>
    <row r="762" spans="1:35" x14ac:dyDescent="0.3">
      <c r="A762" t="s">
        <v>735</v>
      </c>
      <c r="B762">
        <v>2</v>
      </c>
      <c r="C762" s="1">
        <v>45869</v>
      </c>
      <c r="D762" s="1">
        <v>45870</v>
      </c>
      <c r="E762" t="s">
        <v>1166</v>
      </c>
      <c r="F762" t="s">
        <v>1725</v>
      </c>
      <c r="G762" t="s">
        <v>1466</v>
      </c>
      <c r="H762" t="s">
        <v>2716</v>
      </c>
      <c r="I762" t="s">
        <v>2741</v>
      </c>
      <c r="J762" t="s">
        <v>2768</v>
      </c>
      <c r="K762" t="s">
        <v>1489</v>
      </c>
      <c r="L762" t="s">
        <v>2787</v>
      </c>
      <c r="M762" t="s">
        <v>2572</v>
      </c>
      <c r="N762" t="s">
        <v>2582</v>
      </c>
      <c r="O762" t="s">
        <v>2601</v>
      </c>
      <c r="P762" t="s">
        <v>2566</v>
      </c>
      <c r="Q762" t="s">
        <v>2584</v>
      </c>
      <c r="R762" t="s">
        <v>2601</v>
      </c>
      <c r="S762" t="s">
        <v>2608</v>
      </c>
      <c r="T762">
        <v>2</v>
      </c>
      <c r="U762" s="2">
        <v>800.48</v>
      </c>
      <c r="V762" s="3">
        <v>0</v>
      </c>
      <c r="W762" s="2">
        <v>1600.96</v>
      </c>
      <c r="X762" s="2">
        <v>572.32000000000005</v>
      </c>
      <c r="Y762" s="3">
        <v>0.35748550869478313</v>
      </c>
      <c r="Z762" t="s">
        <v>1497</v>
      </c>
      <c r="AA762" t="s">
        <v>1499</v>
      </c>
      <c r="AB762" t="s">
        <v>1501</v>
      </c>
      <c r="AC762">
        <v>1</v>
      </c>
      <c r="AD762">
        <v>2025</v>
      </c>
      <c r="AE762" t="s">
        <v>2814</v>
      </c>
      <c r="AF762" t="s">
        <v>2838</v>
      </c>
      <c r="AG762" t="s">
        <v>2846</v>
      </c>
      <c r="AH762" t="s">
        <v>2848</v>
      </c>
      <c r="AI762">
        <v>1</v>
      </c>
    </row>
    <row r="763" spans="1:35" x14ac:dyDescent="0.3">
      <c r="A763" t="s">
        <v>736</v>
      </c>
      <c r="B763">
        <v>1</v>
      </c>
      <c r="C763" s="1">
        <v>45869</v>
      </c>
      <c r="D763" s="1">
        <v>45871</v>
      </c>
      <c r="E763" t="s">
        <v>1195</v>
      </c>
      <c r="F763" t="s">
        <v>1813</v>
      </c>
      <c r="G763" t="s">
        <v>1358</v>
      </c>
      <c r="H763" t="s">
        <v>2636</v>
      </c>
      <c r="I763" t="s">
        <v>2737</v>
      </c>
      <c r="J763" t="s">
        <v>2747</v>
      </c>
      <c r="K763" t="s">
        <v>1480</v>
      </c>
      <c r="L763" t="s">
        <v>2789</v>
      </c>
      <c r="M763" t="s">
        <v>2555</v>
      </c>
      <c r="N763" t="s">
        <v>2578</v>
      </c>
      <c r="O763" t="s">
        <v>2603</v>
      </c>
      <c r="R763" t="s">
        <v>2790</v>
      </c>
      <c r="S763" t="s">
        <v>2606</v>
      </c>
      <c r="T763">
        <v>2</v>
      </c>
      <c r="U763" s="2">
        <v>37487.300000000003</v>
      </c>
      <c r="V763" s="3">
        <v>0</v>
      </c>
      <c r="W763" s="2">
        <v>74974.600000000006</v>
      </c>
      <c r="X763" s="2">
        <v>7207.1</v>
      </c>
      <c r="Y763" s="3">
        <v>9.6127221752433489E-2</v>
      </c>
      <c r="Z763" t="s">
        <v>1497</v>
      </c>
      <c r="AA763" t="s">
        <v>1500</v>
      </c>
      <c r="AB763" t="s">
        <v>1501</v>
      </c>
      <c r="AC763">
        <v>2</v>
      </c>
      <c r="AD763">
        <v>2025</v>
      </c>
      <c r="AE763" t="s">
        <v>2814</v>
      </c>
      <c r="AF763" t="s">
        <v>2838</v>
      </c>
      <c r="AG763" t="s">
        <v>2846</v>
      </c>
      <c r="AH763" t="s">
        <v>2848</v>
      </c>
      <c r="AI763">
        <v>1</v>
      </c>
    </row>
    <row r="764" spans="1:35" x14ac:dyDescent="0.3">
      <c r="A764" t="s">
        <v>737</v>
      </c>
      <c r="B764">
        <v>1</v>
      </c>
      <c r="C764" s="1">
        <v>45870</v>
      </c>
      <c r="D764" s="1">
        <v>45872</v>
      </c>
      <c r="E764" t="s">
        <v>1294</v>
      </c>
      <c r="F764" t="s">
        <v>1743</v>
      </c>
      <c r="G764" t="s">
        <v>1437</v>
      </c>
      <c r="H764" t="s">
        <v>2629</v>
      </c>
      <c r="I764" t="s">
        <v>2737</v>
      </c>
      <c r="J764" t="s">
        <v>2746</v>
      </c>
      <c r="K764" t="s">
        <v>1480</v>
      </c>
      <c r="L764" t="s">
        <v>2789</v>
      </c>
      <c r="M764" t="s">
        <v>2567</v>
      </c>
      <c r="N764" t="s">
        <v>2585</v>
      </c>
      <c r="O764" t="s">
        <v>2604</v>
      </c>
      <c r="R764" t="s">
        <v>2790</v>
      </c>
      <c r="S764" t="s">
        <v>2606</v>
      </c>
      <c r="T764">
        <v>1</v>
      </c>
      <c r="U764" s="2">
        <v>53802.83</v>
      </c>
      <c r="V764" s="3">
        <v>0</v>
      </c>
      <c r="W764" s="2">
        <v>53802.83</v>
      </c>
      <c r="X764" s="2">
        <v>6838.86</v>
      </c>
      <c r="Y764" s="3">
        <v>0.12710967062513251</v>
      </c>
      <c r="Z764" t="s">
        <v>1494</v>
      </c>
      <c r="AA764" t="s">
        <v>1499</v>
      </c>
      <c r="AB764" t="s">
        <v>1501</v>
      </c>
      <c r="AC764">
        <v>2</v>
      </c>
      <c r="AD764">
        <v>2025</v>
      </c>
      <c r="AE764" t="s">
        <v>2815</v>
      </c>
      <c r="AF764" t="s">
        <v>2839</v>
      </c>
      <c r="AG764" t="s">
        <v>2846</v>
      </c>
      <c r="AH764" t="s">
        <v>2848</v>
      </c>
      <c r="AI764">
        <v>1</v>
      </c>
    </row>
    <row r="765" spans="1:35" x14ac:dyDescent="0.3">
      <c r="A765" t="s">
        <v>738</v>
      </c>
      <c r="B765">
        <v>3</v>
      </c>
      <c r="C765" s="1">
        <v>45874</v>
      </c>
      <c r="D765" s="1">
        <v>45875</v>
      </c>
      <c r="E765" t="s">
        <v>1248</v>
      </c>
      <c r="F765" t="s">
        <v>1923</v>
      </c>
      <c r="G765" t="s">
        <v>1330</v>
      </c>
      <c r="H765" t="s">
        <v>2685</v>
      </c>
      <c r="I765" t="s">
        <v>2739</v>
      </c>
      <c r="J765" t="s">
        <v>2759</v>
      </c>
      <c r="K765" t="s">
        <v>1491</v>
      </c>
      <c r="L765" t="s">
        <v>2779</v>
      </c>
      <c r="M765" t="s">
        <v>2552</v>
      </c>
      <c r="N765" t="s">
        <v>2575</v>
      </c>
      <c r="O765" t="s">
        <v>2603</v>
      </c>
      <c r="P765" t="s">
        <v>2555</v>
      </c>
      <c r="Q765" t="s">
        <v>2578</v>
      </c>
      <c r="R765" t="s">
        <v>2603</v>
      </c>
      <c r="S765" t="s">
        <v>2606</v>
      </c>
      <c r="T765">
        <v>3</v>
      </c>
      <c r="U765" s="2">
        <v>2393.8200000000002</v>
      </c>
      <c r="V765" s="3">
        <v>0</v>
      </c>
      <c r="W765" s="2">
        <v>7181.46</v>
      </c>
      <c r="X765" s="2">
        <v>2321.61</v>
      </c>
      <c r="Y765" s="3">
        <v>0.32327827489117811</v>
      </c>
      <c r="Z765" t="s">
        <v>1496</v>
      </c>
      <c r="AA765" t="s">
        <v>1500</v>
      </c>
      <c r="AB765" t="s">
        <v>1501</v>
      </c>
      <c r="AC765">
        <v>1</v>
      </c>
      <c r="AD765">
        <v>2025</v>
      </c>
      <c r="AE765" t="s">
        <v>2815</v>
      </c>
      <c r="AF765" t="s">
        <v>2839</v>
      </c>
      <c r="AG765" t="s">
        <v>2846</v>
      </c>
      <c r="AH765" t="s">
        <v>2848</v>
      </c>
      <c r="AI765">
        <v>1</v>
      </c>
    </row>
    <row r="766" spans="1:35" x14ac:dyDescent="0.3">
      <c r="A766" t="s">
        <v>739</v>
      </c>
      <c r="B766">
        <v>3</v>
      </c>
      <c r="C766" s="1">
        <v>45875</v>
      </c>
      <c r="D766" s="1">
        <v>45875</v>
      </c>
      <c r="E766" t="s">
        <v>1151</v>
      </c>
      <c r="F766" t="s">
        <v>1919</v>
      </c>
      <c r="G766" t="s">
        <v>1360</v>
      </c>
      <c r="H766" t="s">
        <v>2696</v>
      </c>
      <c r="I766" t="s">
        <v>2740</v>
      </c>
      <c r="J766" t="s">
        <v>2762</v>
      </c>
      <c r="K766" t="s">
        <v>1492</v>
      </c>
      <c r="L766" t="s">
        <v>2788</v>
      </c>
      <c r="M766" t="s">
        <v>2572</v>
      </c>
      <c r="N766" t="s">
        <v>2582</v>
      </c>
      <c r="O766" t="s">
        <v>2601</v>
      </c>
      <c r="P766" t="s">
        <v>2554</v>
      </c>
      <c r="Q766" t="s">
        <v>2577</v>
      </c>
      <c r="R766" t="s">
        <v>2601</v>
      </c>
      <c r="S766" t="s">
        <v>2608</v>
      </c>
      <c r="T766">
        <v>1</v>
      </c>
      <c r="U766" s="2">
        <v>1166.3499999999999</v>
      </c>
      <c r="V766" s="3">
        <v>0.1</v>
      </c>
      <c r="W766" s="2">
        <v>1049.71</v>
      </c>
      <c r="X766" s="2">
        <v>19.97</v>
      </c>
      <c r="Y766" s="3">
        <v>1.9024301950062401E-2</v>
      </c>
      <c r="Z766" t="s">
        <v>1495</v>
      </c>
      <c r="AA766" t="s">
        <v>1498</v>
      </c>
      <c r="AB766" t="s">
        <v>1501</v>
      </c>
      <c r="AC766">
        <v>0</v>
      </c>
      <c r="AD766">
        <v>2025</v>
      </c>
      <c r="AE766" t="s">
        <v>2815</v>
      </c>
      <c r="AF766" t="s">
        <v>2839</v>
      </c>
      <c r="AG766" t="s">
        <v>2846</v>
      </c>
      <c r="AH766" t="s">
        <v>2848</v>
      </c>
      <c r="AI766">
        <v>1</v>
      </c>
    </row>
    <row r="767" spans="1:35" x14ac:dyDescent="0.3">
      <c r="A767" t="s">
        <v>740</v>
      </c>
      <c r="B767">
        <v>1</v>
      </c>
      <c r="C767" s="1">
        <v>45875</v>
      </c>
      <c r="D767" s="1">
        <v>45876</v>
      </c>
      <c r="E767" t="s">
        <v>982</v>
      </c>
      <c r="F767" t="s">
        <v>1747</v>
      </c>
      <c r="G767" t="s">
        <v>1369</v>
      </c>
      <c r="H767" t="s">
        <v>2725</v>
      </c>
      <c r="I767" t="s">
        <v>2742</v>
      </c>
      <c r="J767" t="s">
        <v>2770</v>
      </c>
      <c r="K767" t="s">
        <v>1478</v>
      </c>
      <c r="L767" t="s">
        <v>2782</v>
      </c>
      <c r="M767" t="s">
        <v>2560</v>
      </c>
      <c r="N767" t="s">
        <v>2579</v>
      </c>
      <c r="O767" t="s">
        <v>2604</v>
      </c>
      <c r="P767" t="s">
        <v>2565</v>
      </c>
      <c r="Q767" t="s">
        <v>2583</v>
      </c>
      <c r="R767" t="s">
        <v>2604</v>
      </c>
      <c r="S767" t="s">
        <v>2606</v>
      </c>
      <c r="T767">
        <v>1</v>
      </c>
      <c r="U767" s="2">
        <v>23968.04</v>
      </c>
      <c r="V767" s="3">
        <v>0</v>
      </c>
      <c r="W767" s="2">
        <v>23968.04</v>
      </c>
      <c r="X767" s="2">
        <v>6696.92</v>
      </c>
      <c r="Y767" s="3">
        <v>0.27941041486913398</v>
      </c>
      <c r="Z767" t="s">
        <v>1495</v>
      </c>
      <c r="AA767" t="s">
        <v>1498</v>
      </c>
      <c r="AB767" t="s">
        <v>1501</v>
      </c>
      <c r="AC767">
        <v>1</v>
      </c>
      <c r="AD767">
        <v>2025</v>
      </c>
      <c r="AE767" t="s">
        <v>2815</v>
      </c>
      <c r="AF767" t="s">
        <v>2839</v>
      </c>
      <c r="AG767" t="s">
        <v>2846</v>
      </c>
      <c r="AH767" t="s">
        <v>2848</v>
      </c>
      <c r="AI767">
        <v>1</v>
      </c>
    </row>
    <row r="768" spans="1:35" x14ac:dyDescent="0.3">
      <c r="A768" t="s">
        <v>741</v>
      </c>
      <c r="B768">
        <v>1</v>
      </c>
      <c r="C768" s="1">
        <v>45875</v>
      </c>
      <c r="D768" s="1">
        <v>45875</v>
      </c>
      <c r="E768" t="s">
        <v>1171</v>
      </c>
      <c r="F768" t="s">
        <v>1779</v>
      </c>
      <c r="G768" t="s">
        <v>1443</v>
      </c>
      <c r="H768" t="s">
        <v>2686</v>
      </c>
      <c r="I768" t="s">
        <v>2740</v>
      </c>
      <c r="J768" t="s">
        <v>2760</v>
      </c>
      <c r="K768" t="s">
        <v>1481</v>
      </c>
      <c r="L768" t="s">
        <v>2777</v>
      </c>
      <c r="M768" t="s">
        <v>2556</v>
      </c>
      <c r="N768" t="s">
        <v>2574</v>
      </c>
      <c r="O768" t="s">
        <v>2602</v>
      </c>
      <c r="P768" t="s">
        <v>2557</v>
      </c>
      <c r="Q768" t="s">
        <v>2576</v>
      </c>
      <c r="R768" t="s">
        <v>2602</v>
      </c>
      <c r="S768" t="s">
        <v>2607</v>
      </c>
      <c r="T768">
        <v>1</v>
      </c>
      <c r="U768" s="2">
        <v>1035.79</v>
      </c>
      <c r="V768" s="3">
        <v>0</v>
      </c>
      <c r="W768" s="2">
        <v>1035.79</v>
      </c>
      <c r="X768" s="2">
        <v>82.54</v>
      </c>
      <c r="Y768" s="3">
        <v>7.968796763822783E-2</v>
      </c>
      <c r="Z768" t="s">
        <v>1496</v>
      </c>
      <c r="AA768" t="s">
        <v>1498</v>
      </c>
      <c r="AB768" t="s">
        <v>1501</v>
      </c>
      <c r="AC768">
        <v>0</v>
      </c>
      <c r="AD768">
        <v>2025</v>
      </c>
      <c r="AE768" t="s">
        <v>2815</v>
      </c>
      <c r="AF768" t="s">
        <v>2839</v>
      </c>
      <c r="AG768" t="s">
        <v>2846</v>
      </c>
      <c r="AH768" t="s">
        <v>2848</v>
      </c>
      <c r="AI768">
        <v>1</v>
      </c>
    </row>
    <row r="769" spans="1:35" x14ac:dyDescent="0.3">
      <c r="A769" t="s">
        <v>741</v>
      </c>
      <c r="B769">
        <v>2</v>
      </c>
      <c r="C769" s="1">
        <v>45875</v>
      </c>
      <c r="D769" s="1">
        <v>45875</v>
      </c>
      <c r="E769" t="s">
        <v>1171</v>
      </c>
      <c r="F769" t="s">
        <v>1779</v>
      </c>
      <c r="G769" t="s">
        <v>1456</v>
      </c>
      <c r="H769" t="s">
        <v>2653</v>
      </c>
      <c r="I769" t="s">
        <v>2738</v>
      </c>
      <c r="J769" t="s">
        <v>2752</v>
      </c>
      <c r="K769" t="s">
        <v>1481</v>
      </c>
      <c r="L769" t="s">
        <v>2777</v>
      </c>
      <c r="M769" t="s">
        <v>2556</v>
      </c>
      <c r="N769" t="s">
        <v>2574</v>
      </c>
      <c r="O769" t="s">
        <v>2602</v>
      </c>
      <c r="P769" t="s">
        <v>2557</v>
      </c>
      <c r="Q769" t="s">
        <v>2576</v>
      </c>
      <c r="R769" t="s">
        <v>2602</v>
      </c>
      <c r="S769" t="s">
        <v>2607</v>
      </c>
      <c r="T769">
        <v>1</v>
      </c>
      <c r="U769" s="2">
        <v>43108.17</v>
      </c>
      <c r="V769" s="3">
        <v>0.05</v>
      </c>
      <c r="W769" s="2">
        <v>40952.76</v>
      </c>
      <c r="X769" s="2">
        <v>5375.21</v>
      </c>
      <c r="Y769" s="3">
        <v>0.13125391304517689</v>
      </c>
      <c r="Z769" t="s">
        <v>1496</v>
      </c>
      <c r="AA769" t="s">
        <v>1498</v>
      </c>
      <c r="AB769" t="s">
        <v>1501</v>
      </c>
      <c r="AC769">
        <v>0</v>
      </c>
      <c r="AD769">
        <v>2025</v>
      </c>
      <c r="AE769" t="s">
        <v>2815</v>
      </c>
      <c r="AF769" t="s">
        <v>2839</v>
      </c>
      <c r="AG769" t="s">
        <v>2846</v>
      </c>
      <c r="AH769" t="s">
        <v>2848</v>
      </c>
      <c r="AI769">
        <v>0</v>
      </c>
    </row>
    <row r="770" spans="1:35" x14ac:dyDescent="0.3">
      <c r="A770" t="s">
        <v>742</v>
      </c>
      <c r="B770">
        <v>1</v>
      </c>
      <c r="C770" s="1">
        <v>45876</v>
      </c>
      <c r="D770" s="1">
        <v>45876</v>
      </c>
      <c r="E770" t="s">
        <v>1017</v>
      </c>
      <c r="F770" t="s">
        <v>1898</v>
      </c>
      <c r="G770" t="s">
        <v>1372</v>
      </c>
      <c r="H770" t="s">
        <v>2732</v>
      </c>
      <c r="I770" t="s">
        <v>2742</v>
      </c>
      <c r="J770" t="s">
        <v>2772</v>
      </c>
      <c r="K770" t="s">
        <v>1485</v>
      </c>
      <c r="L770" t="s">
        <v>2775</v>
      </c>
      <c r="M770" t="s">
        <v>2551</v>
      </c>
      <c r="N770" t="s">
        <v>2574</v>
      </c>
      <c r="O770" t="s">
        <v>2602</v>
      </c>
      <c r="P770" t="s">
        <v>2562</v>
      </c>
      <c r="Q770" t="s">
        <v>2574</v>
      </c>
      <c r="R770" t="s">
        <v>2602</v>
      </c>
      <c r="S770" t="s">
        <v>2606</v>
      </c>
      <c r="T770">
        <v>1</v>
      </c>
      <c r="U770" s="2">
        <v>22695.17</v>
      </c>
      <c r="V770" s="3">
        <v>0.15</v>
      </c>
      <c r="W770" s="2">
        <v>19290.89</v>
      </c>
      <c r="X770" s="2">
        <v>131.72999999999999</v>
      </c>
      <c r="Y770" s="3">
        <v>6.8286118473538547E-3</v>
      </c>
      <c r="Z770" t="s">
        <v>1495</v>
      </c>
      <c r="AA770" t="s">
        <v>1498</v>
      </c>
      <c r="AB770" t="s">
        <v>1501</v>
      </c>
      <c r="AC770">
        <v>0</v>
      </c>
      <c r="AD770">
        <v>2025</v>
      </c>
      <c r="AE770" t="s">
        <v>2815</v>
      </c>
      <c r="AF770" t="s">
        <v>2839</v>
      </c>
      <c r="AG770" t="s">
        <v>2846</v>
      </c>
      <c r="AH770" t="s">
        <v>2848</v>
      </c>
      <c r="AI770">
        <v>1</v>
      </c>
    </row>
    <row r="771" spans="1:35" x14ac:dyDescent="0.3">
      <c r="A771" t="s">
        <v>743</v>
      </c>
      <c r="B771">
        <v>1</v>
      </c>
      <c r="C771" s="1">
        <v>45876</v>
      </c>
      <c r="D771" s="1">
        <v>45877</v>
      </c>
      <c r="E771" t="s">
        <v>1150</v>
      </c>
      <c r="F771" t="s">
        <v>1897</v>
      </c>
      <c r="G771" t="s">
        <v>1471</v>
      </c>
      <c r="H771" t="s">
        <v>2637</v>
      </c>
      <c r="I771" t="s">
        <v>2737</v>
      </c>
      <c r="J771" t="s">
        <v>2747</v>
      </c>
      <c r="K771" t="s">
        <v>1480</v>
      </c>
      <c r="L771" t="s">
        <v>2789</v>
      </c>
      <c r="M771" t="s">
        <v>2550</v>
      </c>
      <c r="N771" t="s">
        <v>2573</v>
      </c>
      <c r="O771" t="s">
        <v>2601</v>
      </c>
      <c r="R771" t="s">
        <v>2790</v>
      </c>
      <c r="S771" t="s">
        <v>2607</v>
      </c>
      <c r="T771">
        <v>2</v>
      </c>
      <c r="U771" s="2">
        <v>31099.68</v>
      </c>
      <c r="V771" s="3">
        <v>0</v>
      </c>
      <c r="W771" s="2">
        <v>62199.360000000001</v>
      </c>
      <c r="X771" s="2">
        <v>6851.34</v>
      </c>
      <c r="Y771" s="3">
        <v>0.1101512941612261</v>
      </c>
      <c r="Z771" t="s">
        <v>1494</v>
      </c>
      <c r="AA771" t="s">
        <v>1500</v>
      </c>
      <c r="AB771" t="s">
        <v>1501</v>
      </c>
      <c r="AC771">
        <v>1</v>
      </c>
      <c r="AD771">
        <v>2025</v>
      </c>
      <c r="AE771" t="s">
        <v>2815</v>
      </c>
      <c r="AF771" t="s">
        <v>2839</v>
      </c>
      <c r="AG771" t="s">
        <v>2846</v>
      </c>
      <c r="AH771" t="s">
        <v>2848</v>
      </c>
      <c r="AI771">
        <v>1</v>
      </c>
    </row>
    <row r="772" spans="1:35" x14ac:dyDescent="0.3">
      <c r="A772" t="s">
        <v>744</v>
      </c>
      <c r="B772">
        <v>1</v>
      </c>
      <c r="C772" s="1">
        <v>45876</v>
      </c>
      <c r="D772" s="1">
        <v>45878</v>
      </c>
      <c r="E772" t="s">
        <v>1203</v>
      </c>
      <c r="F772" t="s">
        <v>2037</v>
      </c>
      <c r="G772" t="s">
        <v>1419</v>
      </c>
      <c r="H772" t="s">
        <v>2619</v>
      </c>
      <c r="I772" t="s">
        <v>2737</v>
      </c>
      <c r="J772" t="s">
        <v>2744</v>
      </c>
      <c r="K772" t="s">
        <v>1480</v>
      </c>
      <c r="L772" t="s">
        <v>2789</v>
      </c>
      <c r="M772" t="s">
        <v>2553</v>
      </c>
      <c r="N772" t="s">
        <v>2576</v>
      </c>
      <c r="O772" t="s">
        <v>2602</v>
      </c>
      <c r="R772" t="s">
        <v>2790</v>
      </c>
      <c r="S772" t="s">
        <v>2608</v>
      </c>
      <c r="T772">
        <v>2</v>
      </c>
      <c r="U772" s="2">
        <v>29006.55</v>
      </c>
      <c r="V772" s="3">
        <v>0.25</v>
      </c>
      <c r="W772" s="2">
        <v>43509.82</v>
      </c>
      <c r="X772" s="2">
        <v>-4230.92</v>
      </c>
      <c r="Y772" s="3">
        <v>-9.7240576954811586E-2</v>
      </c>
      <c r="Z772" t="s">
        <v>1496</v>
      </c>
      <c r="AA772" t="s">
        <v>1499</v>
      </c>
      <c r="AB772" t="s">
        <v>1501</v>
      </c>
      <c r="AC772">
        <v>2</v>
      </c>
      <c r="AD772">
        <v>2025</v>
      </c>
      <c r="AE772" t="s">
        <v>2815</v>
      </c>
      <c r="AF772" t="s">
        <v>2839</v>
      </c>
      <c r="AG772" t="s">
        <v>2846</v>
      </c>
      <c r="AH772" t="s">
        <v>2848</v>
      </c>
      <c r="AI772">
        <v>1</v>
      </c>
    </row>
    <row r="773" spans="1:35" x14ac:dyDescent="0.3">
      <c r="A773" t="s">
        <v>745</v>
      </c>
      <c r="B773">
        <v>2</v>
      </c>
      <c r="C773" s="1">
        <v>45877</v>
      </c>
      <c r="D773" s="1">
        <v>45880</v>
      </c>
      <c r="E773" t="s">
        <v>1295</v>
      </c>
      <c r="F773" t="s">
        <v>1929</v>
      </c>
      <c r="G773" t="s">
        <v>1397</v>
      </c>
      <c r="H773" t="s">
        <v>2650</v>
      </c>
      <c r="I773" t="s">
        <v>2738</v>
      </c>
      <c r="J773" t="s">
        <v>2751</v>
      </c>
      <c r="K773" t="s">
        <v>1480</v>
      </c>
      <c r="L773" t="s">
        <v>2789</v>
      </c>
      <c r="M773" t="s">
        <v>2570</v>
      </c>
      <c r="N773" t="s">
        <v>2588</v>
      </c>
      <c r="O773" t="s">
        <v>2605</v>
      </c>
      <c r="R773" t="s">
        <v>2790</v>
      </c>
      <c r="S773" t="s">
        <v>2607</v>
      </c>
      <c r="T773">
        <v>1</v>
      </c>
      <c r="U773" s="2">
        <v>42202.74</v>
      </c>
      <c r="V773" s="3">
        <v>0</v>
      </c>
      <c r="W773" s="2">
        <v>42202.74</v>
      </c>
      <c r="X773" s="2">
        <v>7787.76</v>
      </c>
      <c r="Y773" s="3">
        <v>0.18453209436164569</v>
      </c>
      <c r="Z773" t="s">
        <v>1495</v>
      </c>
      <c r="AA773" t="s">
        <v>1499</v>
      </c>
      <c r="AB773" t="s">
        <v>1501</v>
      </c>
      <c r="AC773">
        <v>3</v>
      </c>
      <c r="AD773">
        <v>2025</v>
      </c>
      <c r="AE773" t="s">
        <v>2815</v>
      </c>
      <c r="AF773" t="s">
        <v>2839</v>
      </c>
      <c r="AG773" t="s">
        <v>2846</v>
      </c>
      <c r="AH773" t="s">
        <v>2848</v>
      </c>
      <c r="AI773">
        <v>1</v>
      </c>
    </row>
    <row r="774" spans="1:35" x14ac:dyDescent="0.3">
      <c r="A774" t="s">
        <v>746</v>
      </c>
      <c r="B774">
        <v>2</v>
      </c>
      <c r="C774" s="1">
        <v>45877</v>
      </c>
      <c r="D774" s="1">
        <v>45879</v>
      </c>
      <c r="E774" t="s">
        <v>1093</v>
      </c>
      <c r="F774" t="s">
        <v>1867</v>
      </c>
      <c r="G774" t="s">
        <v>1416</v>
      </c>
      <c r="H774" t="s">
        <v>2700</v>
      </c>
      <c r="I774" t="s">
        <v>2740</v>
      </c>
      <c r="J774" t="s">
        <v>2763</v>
      </c>
      <c r="K774" t="s">
        <v>1480</v>
      </c>
      <c r="L774" t="s">
        <v>2789</v>
      </c>
      <c r="M774" t="s">
        <v>2567</v>
      </c>
      <c r="N774" t="s">
        <v>2585</v>
      </c>
      <c r="O774" t="s">
        <v>2604</v>
      </c>
      <c r="R774" t="s">
        <v>2790</v>
      </c>
      <c r="S774" t="s">
        <v>2606</v>
      </c>
      <c r="T774">
        <v>2</v>
      </c>
      <c r="U774" s="2">
        <v>1404.87</v>
      </c>
      <c r="V774" s="3">
        <v>0.05</v>
      </c>
      <c r="W774" s="2">
        <v>2669.25</v>
      </c>
      <c r="X774" s="2">
        <v>219.25</v>
      </c>
      <c r="Y774" s="3">
        <v>8.2139177671630606E-2</v>
      </c>
      <c r="Z774" t="s">
        <v>1495</v>
      </c>
      <c r="AA774" t="s">
        <v>1498</v>
      </c>
      <c r="AB774" t="s">
        <v>1501</v>
      </c>
      <c r="AC774">
        <v>2</v>
      </c>
      <c r="AD774">
        <v>2025</v>
      </c>
      <c r="AE774" t="s">
        <v>2815</v>
      </c>
      <c r="AF774" t="s">
        <v>2839</v>
      </c>
      <c r="AG774" t="s">
        <v>2846</v>
      </c>
      <c r="AH774" t="s">
        <v>2848</v>
      </c>
      <c r="AI774">
        <v>1</v>
      </c>
    </row>
    <row r="775" spans="1:35" x14ac:dyDescent="0.3">
      <c r="A775" t="s">
        <v>746</v>
      </c>
      <c r="B775">
        <v>3</v>
      </c>
      <c r="C775" s="1">
        <v>45877</v>
      </c>
      <c r="D775" s="1">
        <v>45879</v>
      </c>
      <c r="E775" t="s">
        <v>1093</v>
      </c>
      <c r="F775" t="s">
        <v>1867</v>
      </c>
      <c r="G775" t="s">
        <v>1403</v>
      </c>
      <c r="H775" t="s">
        <v>2729</v>
      </c>
      <c r="I775" t="s">
        <v>2742</v>
      </c>
      <c r="J775" t="s">
        <v>2771</v>
      </c>
      <c r="K775" t="s">
        <v>1480</v>
      </c>
      <c r="L775" t="s">
        <v>2789</v>
      </c>
      <c r="M775" t="s">
        <v>2567</v>
      </c>
      <c r="N775" t="s">
        <v>2585</v>
      </c>
      <c r="O775" t="s">
        <v>2604</v>
      </c>
      <c r="R775" t="s">
        <v>2790</v>
      </c>
      <c r="S775" t="s">
        <v>2606</v>
      </c>
      <c r="T775">
        <v>1</v>
      </c>
      <c r="U775" s="2">
        <v>24758.98</v>
      </c>
      <c r="V775" s="3">
        <v>0.15</v>
      </c>
      <c r="W775" s="2">
        <v>21045.13</v>
      </c>
      <c r="X775" s="2">
        <v>455.75</v>
      </c>
      <c r="Y775" s="3">
        <v>2.1655841517728799E-2</v>
      </c>
      <c r="Z775" t="s">
        <v>1495</v>
      </c>
      <c r="AA775" t="s">
        <v>1498</v>
      </c>
      <c r="AB775" t="s">
        <v>1501</v>
      </c>
      <c r="AC775">
        <v>2</v>
      </c>
      <c r="AD775">
        <v>2025</v>
      </c>
      <c r="AE775" t="s">
        <v>2815</v>
      </c>
      <c r="AF775" t="s">
        <v>2839</v>
      </c>
      <c r="AG775" t="s">
        <v>2846</v>
      </c>
      <c r="AH775" t="s">
        <v>2848</v>
      </c>
      <c r="AI775">
        <v>0</v>
      </c>
    </row>
    <row r="776" spans="1:35" x14ac:dyDescent="0.3">
      <c r="A776" t="s">
        <v>747</v>
      </c>
      <c r="B776">
        <v>1</v>
      </c>
      <c r="C776" s="1">
        <v>45878</v>
      </c>
      <c r="D776" s="1">
        <v>45879</v>
      </c>
      <c r="E776" t="s">
        <v>1252</v>
      </c>
      <c r="F776" t="s">
        <v>2009</v>
      </c>
      <c r="G776" t="s">
        <v>1420</v>
      </c>
      <c r="H776" t="s">
        <v>2694</v>
      </c>
      <c r="I776" t="s">
        <v>2740</v>
      </c>
      <c r="J776" t="s">
        <v>2762</v>
      </c>
      <c r="K776" t="s">
        <v>1480</v>
      </c>
      <c r="L776" t="s">
        <v>2789</v>
      </c>
      <c r="M776" t="s">
        <v>2552</v>
      </c>
      <c r="N776" t="s">
        <v>2575</v>
      </c>
      <c r="O776" t="s">
        <v>2603</v>
      </c>
      <c r="R776" t="s">
        <v>2790</v>
      </c>
      <c r="S776" t="s">
        <v>2608</v>
      </c>
      <c r="T776">
        <v>1</v>
      </c>
      <c r="U776" s="2">
        <v>257.32</v>
      </c>
      <c r="V776" s="3">
        <v>0</v>
      </c>
      <c r="W776" s="2">
        <v>257.32</v>
      </c>
      <c r="X776" s="2">
        <v>16.670000000000002</v>
      </c>
      <c r="Y776" s="3">
        <v>6.4783149385978553E-2</v>
      </c>
      <c r="Z776" t="s">
        <v>1497</v>
      </c>
      <c r="AA776" t="s">
        <v>1498</v>
      </c>
      <c r="AB776" t="s">
        <v>1501</v>
      </c>
      <c r="AC776">
        <v>1</v>
      </c>
      <c r="AD776">
        <v>2025</v>
      </c>
      <c r="AE776" t="s">
        <v>2815</v>
      </c>
      <c r="AF776" t="s">
        <v>2839</v>
      </c>
      <c r="AG776" t="s">
        <v>2846</v>
      </c>
      <c r="AH776" t="s">
        <v>2848</v>
      </c>
      <c r="AI776">
        <v>1</v>
      </c>
    </row>
    <row r="777" spans="1:35" x14ac:dyDescent="0.3">
      <c r="A777" t="s">
        <v>748</v>
      </c>
      <c r="B777">
        <v>1</v>
      </c>
      <c r="C777" s="1">
        <v>45878</v>
      </c>
      <c r="D777" s="1">
        <v>45878</v>
      </c>
      <c r="E777" t="s">
        <v>1097</v>
      </c>
      <c r="F777" t="s">
        <v>1681</v>
      </c>
      <c r="G777" t="s">
        <v>1420</v>
      </c>
      <c r="H777" t="s">
        <v>2694</v>
      </c>
      <c r="I777" t="s">
        <v>2740</v>
      </c>
      <c r="J777" t="s">
        <v>2762</v>
      </c>
      <c r="K777" t="s">
        <v>1484</v>
      </c>
      <c r="L777" t="s">
        <v>2778</v>
      </c>
      <c r="M777" t="s">
        <v>2558</v>
      </c>
      <c r="N777" t="s">
        <v>2558</v>
      </c>
      <c r="O777" t="s">
        <v>2603</v>
      </c>
      <c r="P777" t="s">
        <v>2559</v>
      </c>
      <c r="Q777" t="s">
        <v>2559</v>
      </c>
      <c r="R777" t="s">
        <v>2603</v>
      </c>
      <c r="S777" t="s">
        <v>2608</v>
      </c>
      <c r="T777">
        <v>1</v>
      </c>
      <c r="U777" s="2">
        <v>257.32</v>
      </c>
      <c r="V777" s="3">
        <v>0</v>
      </c>
      <c r="W777" s="2">
        <v>257.32</v>
      </c>
      <c r="X777" s="2">
        <v>16.670000000000002</v>
      </c>
      <c r="Y777" s="3">
        <v>6.4783149385978553E-2</v>
      </c>
      <c r="Z777" t="s">
        <v>1495</v>
      </c>
      <c r="AA777" t="s">
        <v>1498</v>
      </c>
      <c r="AB777" t="s">
        <v>1501</v>
      </c>
      <c r="AC777">
        <v>0</v>
      </c>
      <c r="AD777">
        <v>2025</v>
      </c>
      <c r="AE777" t="s">
        <v>2815</v>
      </c>
      <c r="AF777" t="s">
        <v>2839</v>
      </c>
      <c r="AG777" t="s">
        <v>2846</v>
      </c>
      <c r="AH777" t="s">
        <v>2848</v>
      </c>
      <c r="AI777">
        <v>1</v>
      </c>
    </row>
    <row r="778" spans="1:35" x14ac:dyDescent="0.3">
      <c r="A778" t="s">
        <v>749</v>
      </c>
      <c r="B778">
        <v>1</v>
      </c>
      <c r="C778" s="1">
        <v>45878</v>
      </c>
      <c r="D778" s="1">
        <v>45879</v>
      </c>
      <c r="E778" t="s">
        <v>1296</v>
      </c>
      <c r="F778" t="s">
        <v>1911</v>
      </c>
      <c r="G778" t="s">
        <v>1348</v>
      </c>
      <c r="H778" t="s">
        <v>2669</v>
      </c>
      <c r="I778" t="s">
        <v>2739</v>
      </c>
      <c r="J778" t="s">
        <v>2756</v>
      </c>
      <c r="K778" t="s">
        <v>1480</v>
      </c>
      <c r="L778" t="s">
        <v>2789</v>
      </c>
      <c r="M778" t="s">
        <v>2569</v>
      </c>
      <c r="N778" t="s">
        <v>2587</v>
      </c>
      <c r="O778" t="s">
        <v>2604</v>
      </c>
      <c r="R778" t="s">
        <v>2790</v>
      </c>
      <c r="S778" t="s">
        <v>2606</v>
      </c>
      <c r="T778">
        <v>2</v>
      </c>
      <c r="U778" s="2">
        <v>921.12</v>
      </c>
      <c r="V778" s="3">
        <v>0</v>
      </c>
      <c r="W778" s="2">
        <v>1842.24</v>
      </c>
      <c r="X778" s="2">
        <v>766.16</v>
      </c>
      <c r="Y778" s="3">
        <v>0.41588500955358693</v>
      </c>
      <c r="Z778" t="s">
        <v>1495</v>
      </c>
      <c r="AA778" t="s">
        <v>1498</v>
      </c>
      <c r="AB778" t="s">
        <v>1501</v>
      </c>
      <c r="AC778">
        <v>1</v>
      </c>
      <c r="AD778">
        <v>2025</v>
      </c>
      <c r="AE778" t="s">
        <v>2815</v>
      </c>
      <c r="AF778" t="s">
        <v>2839</v>
      </c>
      <c r="AG778" t="s">
        <v>2846</v>
      </c>
      <c r="AH778" t="s">
        <v>2848</v>
      </c>
      <c r="AI778">
        <v>1</v>
      </c>
    </row>
    <row r="779" spans="1:35" x14ac:dyDescent="0.3">
      <c r="A779" t="s">
        <v>750</v>
      </c>
      <c r="B779">
        <v>1</v>
      </c>
      <c r="C779" s="1">
        <v>45879</v>
      </c>
      <c r="D779" s="1">
        <v>45880</v>
      </c>
      <c r="E779" t="s">
        <v>1062</v>
      </c>
      <c r="F779" t="s">
        <v>1836</v>
      </c>
      <c r="G779" t="s">
        <v>1452</v>
      </c>
      <c r="H779" t="s">
        <v>2616</v>
      </c>
      <c r="I779" t="s">
        <v>2737</v>
      </c>
      <c r="J779" t="s">
        <v>2743</v>
      </c>
      <c r="K779" t="s">
        <v>1480</v>
      </c>
      <c r="L779" t="s">
        <v>2789</v>
      </c>
      <c r="M779" t="s">
        <v>2555</v>
      </c>
      <c r="N779" t="s">
        <v>2578</v>
      </c>
      <c r="O779" t="s">
        <v>2603</v>
      </c>
      <c r="R779" t="s">
        <v>2790</v>
      </c>
      <c r="S779" t="s">
        <v>2606</v>
      </c>
      <c r="T779">
        <v>2</v>
      </c>
      <c r="U779" s="2">
        <v>74213.429999999993</v>
      </c>
      <c r="V779" s="3">
        <v>0.1</v>
      </c>
      <c r="W779" s="2">
        <v>133584.17000000001</v>
      </c>
      <c r="X779" s="2">
        <v>6588.15</v>
      </c>
      <c r="Y779" s="3">
        <v>4.9318343633081657E-2</v>
      </c>
      <c r="Z779" t="s">
        <v>1493</v>
      </c>
      <c r="AA779" t="s">
        <v>1500</v>
      </c>
      <c r="AB779" t="s">
        <v>1501</v>
      </c>
      <c r="AC779">
        <v>1</v>
      </c>
      <c r="AD779">
        <v>2025</v>
      </c>
      <c r="AE779" t="s">
        <v>2815</v>
      </c>
      <c r="AF779" t="s">
        <v>2839</v>
      </c>
      <c r="AG779" t="s">
        <v>2846</v>
      </c>
      <c r="AH779" t="s">
        <v>2848</v>
      </c>
      <c r="AI779">
        <v>1</v>
      </c>
    </row>
    <row r="780" spans="1:35" x14ac:dyDescent="0.3">
      <c r="A780" t="s">
        <v>751</v>
      </c>
      <c r="B780">
        <v>2</v>
      </c>
      <c r="C780" s="1">
        <v>45879</v>
      </c>
      <c r="D780" s="1">
        <v>45879</v>
      </c>
      <c r="E780" t="s">
        <v>1046</v>
      </c>
      <c r="F780" t="s">
        <v>1843</v>
      </c>
      <c r="G780" t="s">
        <v>1405</v>
      </c>
      <c r="H780" t="s">
        <v>2639</v>
      </c>
      <c r="I780" t="s">
        <v>2737</v>
      </c>
      <c r="J780" t="s">
        <v>2748</v>
      </c>
      <c r="K780" t="s">
        <v>1483</v>
      </c>
      <c r="L780" t="s">
        <v>2781</v>
      </c>
      <c r="M780" t="s">
        <v>2555</v>
      </c>
      <c r="N780" t="s">
        <v>2578</v>
      </c>
      <c r="O780" t="s">
        <v>2603</v>
      </c>
      <c r="P780" t="s">
        <v>2568</v>
      </c>
      <c r="Q780" t="s">
        <v>2586</v>
      </c>
      <c r="R780" t="s">
        <v>2603</v>
      </c>
      <c r="S780" t="s">
        <v>2606</v>
      </c>
      <c r="T780">
        <v>2</v>
      </c>
      <c r="U780" s="2">
        <v>57633.32</v>
      </c>
      <c r="V780" s="3">
        <v>0.2</v>
      </c>
      <c r="W780" s="2">
        <v>92213.31</v>
      </c>
      <c r="X780" s="2">
        <v>-8652.35</v>
      </c>
      <c r="Y780" s="3">
        <v>-9.3829730220073446E-2</v>
      </c>
      <c r="Z780" t="s">
        <v>1495</v>
      </c>
      <c r="AA780" t="s">
        <v>1499</v>
      </c>
      <c r="AB780" t="s">
        <v>1501</v>
      </c>
      <c r="AC780">
        <v>0</v>
      </c>
      <c r="AD780">
        <v>2025</v>
      </c>
      <c r="AE780" t="s">
        <v>2815</v>
      </c>
      <c r="AF780" t="s">
        <v>2839</v>
      </c>
      <c r="AG780" t="s">
        <v>2846</v>
      </c>
      <c r="AH780" t="s">
        <v>2848</v>
      </c>
      <c r="AI780">
        <v>1</v>
      </c>
    </row>
    <row r="781" spans="1:35" x14ac:dyDescent="0.3">
      <c r="A781" t="s">
        <v>752</v>
      </c>
      <c r="B781">
        <v>1</v>
      </c>
      <c r="C781" s="1">
        <v>45880</v>
      </c>
      <c r="D781" s="1">
        <v>45880</v>
      </c>
      <c r="E781" t="s">
        <v>992</v>
      </c>
      <c r="F781" t="s">
        <v>1698</v>
      </c>
      <c r="G781" t="s">
        <v>1455</v>
      </c>
      <c r="H781" t="s">
        <v>2638</v>
      </c>
      <c r="I781" t="s">
        <v>2737</v>
      </c>
      <c r="J781" t="s">
        <v>2748</v>
      </c>
      <c r="K781" t="s">
        <v>1486</v>
      </c>
      <c r="L781" t="s">
        <v>2776</v>
      </c>
      <c r="M781" t="s">
        <v>2556</v>
      </c>
      <c r="N781" t="s">
        <v>2574</v>
      </c>
      <c r="O781" t="s">
        <v>2602</v>
      </c>
      <c r="P781" t="s">
        <v>2551</v>
      </c>
      <c r="Q781" t="s">
        <v>2574</v>
      </c>
      <c r="R781" t="s">
        <v>2602</v>
      </c>
      <c r="S781" t="s">
        <v>2606</v>
      </c>
      <c r="T781">
        <v>2</v>
      </c>
      <c r="U781" s="2">
        <v>50791.32</v>
      </c>
      <c r="V781" s="3">
        <v>0</v>
      </c>
      <c r="W781" s="2">
        <v>101582.64</v>
      </c>
      <c r="X781" s="2">
        <v>11802</v>
      </c>
      <c r="Y781" s="3">
        <v>0.11618126876797059</v>
      </c>
      <c r="Z781" t="s">
        <v>1496</v>
      </c>
      <c r="AA781" t="s">
        <v>1498</v>
      </c>
      <c r="AB781" t="s">
        <v>1501</v>
      </c>
      <c r="AC781">
        <v>0</v>
      </c>
      <c r="AD781">
        <v>2025</v>
      </c>
      <c r="AE781" t="s">
        <v>2815</v>
      </c>
      <c r="AF781" t="s">
        <v>2839</v>
      </c>
      <c r="AG781" t="s">
        <v>2846</v>
      </c>
      <c r="AH781" t="s">
        <v>2848</v>
      </c>
      <c r="AI781">
        <v>1</v>
      </c>
    </row>
    <row r="782" spans="1:35" x14ac:dyDescent="0.3">
      <c r="A782" t="s">
        <v>753</v>
      </c>
      <c r="B782">
        <v>1</v>
      </c>
      <c r="C782" s="1">
        <v>45883</v>
      </c>
      <c r="D782" s="1">
        <v>45886</v>
      </c>
      <c r="E782" t="s">
        <v>1143</v>
      </c>
      <c r="F782" t="s">
        <v>2038</v>
      </c>
      <c r="G782" t="s">
        <v>1441</v>
      </c>
      <c r="H782" t="s">
        <v>2660</v>
      </c>
      <c r="I782" t="s">
        <v>2738</v>
      </c>
      <c r="J782" t="s">
        <v>2754</v>
      </c>
      <c r="K782" t="s">
        <v>1480</v>
      </c>
      <c r="L782" t="s">
        <v>2789</v>
      </c>
      <c r="M782" t="s">
        <v>2551</v>
      </c>
      <c r="N782" t="s">
        <v>2574</v>
      </c>
      <c r="O782" t="s">
        <v>2602</v>
      </c>
      <c r="R782" t="s">
        <v>2790</v>
      </c>
      <c r="S782" t="s">
        <v>2606</v>
      </c>
      <c r="T782">
        <v>1</v>
      </c>
      <c r="U782" s="2">
        <v>6305.83</v>
      </c>
      <c r="V782" s="3">
        <v>0</v>
      </c>
      <c r="W782" s="2">
        <v>6305.83</v>
      </c>
      <c r="X782" s="2">
        <v>1424.8</v>
      </c>
      <c r="Y782" s="3">
        <v>0.22594963708187499</v>
      </c>
      <c r="Z782" t="s">
        <v>1495</v>
      </c>
      <c r="AA782" t="s">
        <v>1498</v>
      </c>
      <c r="AB782" t="s">
        <v>1501</v>
      </c>
      <c r="AC782">
        <v>3</v>
      </c>
      <c r="AD782">
        <v>2025</v>
      </c>
      <c r="AE782" t="s">
        <v>2815</v>
      </c>
      <c r="AF782" t="s">
        <v>2839</v>
      </c>
      <c r="AG782" t="s">
        <v>2846</v>
      </c>
      <c r="AH782" t="s">
        <v>2848</v>
      </c>
      <c r="AI782">
        <v>1</v>
      </c>
    </row>
    <row r="783" spans="1:35" x14ac:dyDescent="0.3">
      <c r="A783" t="s">
        <v>754</v>
      </c>
      <c r="B783">
        <v>1</v>
      </c>
      <c r="C783" s="1">
        <v>45883</v>
      </c>
      <c r="D783" s="1">
        <v>45886</v>
      </c>
      <c r="E783" t="s">
        <v>1188</v>
      </c>
      <c r="F783" t="s">
        <v>1766</v>
      </c>
      <c r="G783" t="s">
        <v>1463</v>
      </c>
      <c r="H783" t="s">
        <v>2684</v>
      </c>
      <c r="I783" t="s">
        <v>2739</v>
      </c>
      <c r="J783" t="s">
        <v>2759</v>
      </c>
      <c r="K783" t="s">
        <v>1480</v>
      </c>
      <c r="L783" t="s">
        <v>2789</v>
      </c>
      <c r="M783" t="s">
        <v>2550</v>
      </c>
      <c r="N783" t="s">
        <v>2573</v>
      </c>
      <c r="O783" t="s">
        <v>2601</v>
      </c>
      <c r="R783" t="s">
        <v>2790</v>
      </c>
      <c r="S783" t="s">
        <v>2608</v>
      </c>
      <c r="T783">
        <v>1</v>
      </c>
      <c r="U783" s="2">
        <v>2936.96</v>
      </c>
      <c r="V783" s="3">
        <v>0</v>
      </c>
      <c r="W783" s="2">
        <v>2936.96</v>
      </c>
      <c r="X783" s="2">
        <v>960.44</v>
      </c>
      <c r="Y783" s="3">
        <v>0.3270184135977337</v>
      </c>
      <c r="Z783" t="s">
        <v>1497</v>
      </c>
      <c r="AA783" t="s">
        <v>1500</v>
      </c>
      <c r="AB783" t="s">
        <v>1501</v>
      </c>
      <c r="AC783">
        <v>3</v>
      </c>
      <c r="AD783">
        <v>2025</v>
      </c>
      <c r="AE783" t="s">
        <v>2815</v>
      </c>
      <c r="AF783" t="s">
        <v>2839</v>
      </c>
      <c r="AG783" t="s">
        <v>2846</v>
      </c>
      <c r="AH783" t="s">
        <v>2848</v>
      </c>
      <c r="AI783">
        <v>1</v>
      </c>
    </row>
    <row r="784" spans="1:35" x14ac:dyDescent="0.3">
      <c r="A784" t="s">
        <v>755</v>
      </c>
      <c r="B784">
        <v>2</v>
      </c>
      <c r="C784" s="1">
        <v>45883</v>
      </c>
      <c r="D784" s="1">
        <v>45885</v>
      </c>
      <c r="E784" t="s">
        <v>1113</v>
      </c>
      <c r="F784" t="s">
        <v>1990</v>
      </c>
      <c r="G784" t="s">
        <v>1365</v>
      </c>
      <c r="H784" t="s">
        <v>2709</v>
      </c>
      <c r="I784" t="s">
        <v>2741</v>
      </c>
      <c r="J784" t="s">
        <v>2765</v>
      </c>
      <c r="K784" t="s">
        <v>1480</v>
      </c>
      <c r="L784" t="s">
        <v>2789</v>
      </c>
      <c r="M784" t="s">
        <v>2563</v>
      </c>
      <c r="N784" t="s">
        <v>2581</v>
      </c>
      <c r="O784" t="s">
        <v>2604</v>
      </c>
      <c r="R784" t="s">
        <v>2790</v>
      </c>
      <c r="S784" t="s">
        <v>2606</v>
      </c>
      <c r="T784">
        <v>1</v>
      </c>
      <c r="U784" s="2">
        <v>1749.13</v>
      </c>
      <c r="V784" s="3">
        <v>0</v>
      </c>
      <c r="W784" s="2">
        <v>1749.13</v>
      </c>
      <c r="X784" s="2">
        <v>642.97</v>
      </c>
      <c r="Y784" s="3">
        <v>0.36759417539005113</v>
      </c>
      <c r="Z784" t="s">
        <v>1496</v>
      </c>
      <c r="AA784" t="s">
        <v>1498</v>
      </c>
      <c r="AB784" t="s">
        <v>1501</v>
      </c>
      <c r="AC784">
        <v>2</v>
      </c>
      <c r="AD784">
        <v>2025</v>
      </c>
      <c r="AE784" t="s">
        <v>2815</v>
      </c>
      <c r="AF784" t="s">
        <v>2839</v>
      </c>
      <c r="AG784" t="s">
        <v>2846</v>
      </c>
      <c r="AH784" t="s">
        <v>2848</v>
      </c>
      <c r="AI784">
        <v>1</v>
      </c>
    </row>
    <row r="785" spans="1:35" x14ac:dyDescent="0.3">
      <c r="A785" t="s">
        <v>756</v>
      </c>
      <c r="B785">
        <v>1</v>
      </c>
      <c r="C785" s="1">
        <v>45884</v>
      </c>
      <c r="D785" s="1">
        <v>45885</v>
      </c>
      <c r="E785" t="s">
        <v>1007</v>
      </c>
      <c r="F785" t="s">
        <v>1733</v>
      </c>
      <c r="G785" t="s">
        <v>1439</v>
      </c>
      <c r="H785" t="s">
        <v>2641</v>
      </c>
      <c r="I785" t="s">
        <v>2738</v>
      </c>
      <c r="J785" t="s">
        <v>2749</v>
      </c>
      <c r="K785" t="s">
        <v>1483</v>
      </c>
      <c r="L785" t="s">
        <v>2781</v>
      </c>
      <c r="M785" t="s">
        <v>2552</v>
      </c>
      <c r="N785" t="s">
        <v>2575</v>
      </c>
      <c r="O785" t="s">
        <v>2603</v>
      </c>
      <c r="P785" t="s">
        <v>2568</v>
      </c>
      <c r="Q785" t="s">
        <v>2586</v>
      </c>
      <c r="R785" t="s">
        <v>2603</v>
      </c>
      <c r="S785" t="s">
        <v>2607</v>
      </c>
      <c r="T785">
        <v>1</v>
      </c>
      <c r="U785" s="2">
        <v>2679.96</v>
      </c>
      <c r="V785" s="3">
        <v>0</v>
      </c>
      <c r="W785" s="2">
        <v>2679.96</v>
      </c>
      <c r="X785" s="2">
        <v>600.58000000000004</v>
      </c>
      <c r="Y785" s="3">
        <v>0.22410035970686129</v>
      </c>
      <c r="Z785" t="s">
        <v>1495</v>
      </c>
      <c r="AA785" t="s">
        <v>1498</v>
      </c>
      <c r="AB785" t="s">
        <v>1501</v>
      </c>
      <c r="AC785">
        <v>1</v>
      </c>
      <c r="AD785">
        <v>2025</v>
      </c>
      <c r="AE785" t="s">
        <v>2815</v>
      </c>
      <c r="AF785" t="s">
        <v>2839</v>
      </c>
      <c r="AG785" t="s">
        <v>2846</v>
      </c>
      <c r="AH785" t="s">
        <v>2848</v>
      </c>
      <c r="AI785">
        <v>1</v>
      </c>
    </row>
    <row r="786" spans="1:35" x14ac:dyDescent="0.3">
      <c r="A786" t="s">
        <v>757</v>
      </c>
      <c r="B786">
        <v>1</v>
      </c>
      <c r="C786" s="1">
        <v>45885</v>
      </c>
      <c r="D786" s="1">
        <v>45885</v>
      </c>
      <c r="E786" t="s">
        <v>1211</v>
      </c>
      <c r="F786" t="s">
        <v>1815</v>
      </c>
      <c r="G786" t="s">
        <v>1400</v>
      </c>
      <c r="H786" t="s">
        <v>2642</v>
      </c>
      <c r="I786" t="s">
        <v>2738</v>
      </c>
      <c r="J786" t="s">
        <v>2750</v>
      </c>
      <c r="K786" t="s">
        <v>1487</v>
      </c>
      <c r="L786" t="s">
        <v>2785</v>
      </c>
      <c r="M786" t="s">
        <v>2550</v>
      </c>
      <c r="N786" t="s">
        <v>2573</v>
      </c>
      <c r="O786" t="s">
        <v>2601</v>
      </c>
      <c r="P786" t="s">
        <v>2550</v>
      </c>
      <c r="Q786" t="s">
        <v>2573</v>
      </c>
      <c r="R786" t="s">
        <v>2601</v>
      </c>
      <c r="S786" t="s">
        <v>2606</v>
      </c>
      <c r="T786">
        <v>1</v>
      </c>
      <c r="U786" s="2">
        <v>36178.629999999997</v>
      </c>
      <c r="V786" s="3">
        <v>0.1</v>
      </c>
      <c r="W786" s="2">
        <v>32560.77</v>
      </c>
      <c r="X786" s="2">
        <v>2257.89</v>
      </c>
      <c r="Y786" s="3">
        <v>6.9343876081554581E-2</v>
      </c>
      <c r="Z786" t="s">
        <v>1496</v>
      </c>
      <c r="AA786" t="s">
        <v>1498</v>
      </c>
      <c r="AB786" t="s">
        <v>1501</v>
      </c>
      <c r="AC786">
        <v>0</v>
      </c>
      <c r="AD786">
        <v>2025</v>
      </c>
      <c r="AE786" t="s">
        <v>2815</v>
      </c>
      <c r="AF786" t="s">
        <v>2839</v>
      </c>
      <c r="AG786" t="s">
        <v>2846</v>
      </c>
      <c r="AH786" t="s">
        <v>2848</v>
      </c>
      <c r="AI786">
        <v>1</v>
      </c>
    </row>
    <row r="787" spans="1:35" x14ac:dyDescent="0.3">
      <c r="A787" t="s">
        <v>758</v>
      </c>
      <c r="B787">
        <v>1</v>
      </c>
      <c r="C787" s="1">
        <v>45886</v>
      </c>
      <c r="D787" s="1">
        <v>45886</v>
      </c>
      <c r="E787" t="s">
        <v>1233</v>
      </c>
      <c r="F787" t="s">
        <v>2004</v>
      </c>
      <c r="G787" t="s">
        <v>1446</v>
      </c>
      <c r="H787" t="s">
        <v>2713</v>
      </c>
      <c r="I787" t="s">
        <v>2741</v>
      </c>
      <c r="J787" t="s">
        <v>2766</v>
      </c>
      <c r="K787" t="s">
        <v>1492</v>
      </c>
      <c r="L787" t="s">
        <v>2788</v>
      </c>
      <c r="M787" t="s">
        <v>2554</v>
      </c>
      <c r="N787" t="s">
        <v>2577</v>
      </c>
      <c r="O787" t="s">
        <v>2601</v>
      </c>
      <c r="P787" t="s">
        <v>2554</v>
      </c>
      <c r="Q787" t="s">
        <v>2577</v>
      </c>
      <c r="R787" t="s">
        <v>2601</v>
      </c>
      <c r="S787" t="s">
        <v>2606</v>
      </c>
      <c r="T787">
        <v>1</v>
      </c>
      <c r="U787" s="2">
        <v>242.83</v>
      </c>
      <c r="V787" s="3">
        <v>0.15</v>
      </c>
      <c r="W787" s="2">
        <v>206.41</v>
      </c>
      <c r="X787" s="2">
        <v>21.06</v>
      </c>
      <c r="Y787" s="3">
        <v>0.10202994040986391</v>
      </c>
      <c r="Z787" t="s">
        <v>1496</v>
      </c>
      <c r="AA787" t="s">
        <v>1498</v>
      </c>
      <c r="AB787" t="s">
        <v>1501</v>
      </c>
      <c r="AC787">
        <v>0</v>
      </c>
      <c r="AD787">
        <v>2025</v>
      </c>
      <c r="AE787" t="s">
        <v>2815</v>
      </c>
      <c r="AF787" t="s">
        <v>2839</v>
      </c>
      <c r="AG787" t="s">
        <v>2846</v>
      </c>
      <c r="AH787" t="s">
        <v>2848</v>
      </c>
      <c r="AI787">
        <v>1</v>
      </c>
    </row>
    <row r="788" spans="1:35" x14ac:dyDescent="0.3">
      <c r="A788" t="s">
        <v>759</v>
      </c>
      <c r="B788">
        <v>1</v>
      </c>
      <c r="C788" s="1">
        <v>45887</v>
      </c>
      <c r="D788" s="1">
        <v>45888</v>
      </c>
      <c r="E788" t="s">
        <v>1297</v>
      </c>
      <c r="F788" t="s">
        <v>1994</v>
      </c>
      <c r="G788" t="s">
        <v>1363</v>
      </c>
      <c r="H788" t="s">
        <v>2722</v>
      </c>
      <c r="I788" t="s">
        <v>2742</v>
      </c>
      <c r="J788" t="s">
        <v>2769</v>
      </c>
      <c r="K788" t="s">
        <v>1490</v>
      </c>
      <c r="L788" t="s">
        <v>2784</v>
      </c>
      <c r="M788" t="s">
        <v>2563</v>
      </c>
      <c r="N788" t="s">
        <v>2595</v>
      </c>
      <c r="O788" t="s">
        <v>2604</v>
      </c>
      <c r="P788" t="s">
        <v>2567</v>
      </c>
      <c r="Q788" t="s">
        <v>2585</v>
      </c>
      <c r="R788" t="s">
        <v>2604</v>
      </c>
      <c r="S788" t="s">
        <v>2606</v>
      </c>
      <c r="T788">
        <v>1</v>
      </c>
      <c r="U788" s="2">
        <v>23041.22</v>
      </c>
      <c r="V788" s="3">
        <v>0.1</v>
      </c>
      <c r="W788" s="2">
        <v>20737.099999999999</v>
      </c>
      <c r="X788" s="2">
        <v>2660.62</v>
      </c>
      <c r="Y788" s="3">
        <v>0.128302414513119</v>
      </c>
      <c r="Z788" t="s">
        <v>1496</v>
      </c>
      <c r="AA788" t="s">
        <v>1498</v>
      </c>
      <c r="AB788" t="s">
        <v>1501</v>
      </c>
      <c r="AC788">
        <v>1</v>
      </c>
      <c r="AD788">
        <v>2025</v>
      </c>
      <c r="AE788" t="s">
        <v>2815</v>
      </c>
      <c r="AF788" t="s">
        <v>2839</v>
      </c>
      <c r="AG788" t="s">
        <v>2846</v>
      </c>
      <c r="AH788" t="s">
        <v>2848</v>
      </c>
      <c r="AI788">
        <v>1</v>
      </c>
    </row>
    <row r="789" spans="1:35" x14ac:dyDescent="0.3">
      <c r="A789" t="s">
        <v>760</v>
      </c>
      <c r="B789">
        <v>2</v>
      </c>
      <c r="C789" s="1">
        <v>45893</v>
      </c>
      <c r="D789" s="1">
        <v>45895</v>
      </c>
      <c r="E789" t="s">
        <v>1216</v>
      </c>
      <c r="F789" t="s">
        <v>1854</v>
      </c>
      <c r="G789" t="s">
        <v>1420</v>
      </c>
      <c r="H789" t="s">
        <v>2694</v>
      </c>
      <c r="I789" t="s">
        <v>2740</v>
      </c>
      <c r="J789" t="s">
        <v>2762</v>
      </c>
      <c r="K789" t="s">
        <v>1480</v>
      </c>
      <c r="L789" t="s">
        <v>2789</v>
      </c>
      <c r="M789" t="s">
        <v>2565</v>
      </c>
      <c r="N789" t="s">
        <v>2583</v>
      </c>
      <c r="O789" t="s">
        <v>2604</v>
      </c>
      <c r="R789" t="s">
        <v>2790</v>
      </c>
      <c r="S789" t="s">
        <v>2607</v>
      </c>
      <c r="T789">
        <v>2</v>
      </c>
      <c r="U789" s="2">
        <v>257.32</v>
      </c>
      <c r="V789" s="3">
        <v>0</v>
      </c>
      <c r="W789" s="2">
        <v>514.64</v>
      </c>
      <c r="X789" s="2">
        <v>33.340000000000003</v>
      </c>
      <c r="Y789" s="3">
        <v>6.4783149385978553E-2</v>
      </c>
      <c r="Z789" t="s">
        <v>1495</v>
      </c>
      <c r="AA789" t="s">
        <v>1498</v>
      </c>
      <c r="AB789" t="s">
        <v>1501</v>
      </c>
      <c r="AC789">
        <v>2</v>
      </c>
      <c r="AD789">
        <v>2025</v>
      </c>
      <c r="AE789" t="s">
        <v>2815</v>
      </c>
      <c r="AF789" t="s">
        <v>2839</v>
      </c>
      <c r="AG789" t="s">
        <v>2846</v>
      </c>
      <c r="AH789" t="s">
        <v>2848</v>
      </c>
      <c r="AI789">
        <v>1</v>
      </c>
    </row>
    <row r="790" spans="1:35" x14ac:dyDescent="0.3">
      <c r="A790" t="s">
        <v>761</v>
      </c>
      <c r="B790">
        <v>1</v>
      </c>
      <c r="C790" s="1">
        <v>45893</v>
      </c>
      <c r="D790" s="1">
        <v>45894</v>
      </c>
      <c r="E790" t="s">
        <v>1154</v>
      </c>
      <c r="F790" t="s">
        <v>1761</v>
      </c>
      <c r="G790" t="s">
        <v>1419</v>
      </c>
      <c r="H790" t="s">
        <v>2619</v>
      </c>
      <c r="I790" t="s">
        <v>2737</v>
      </c>
      <c r="J790" t="s">
        <v>2744</v>
      </c>
      <c r="K790" t="s">
        <v>1488</v>
      </c>
      <c r="L790" t="s">
        <v>2780</v>
      </c>
      <c r="M790" t="s">
        <v>2558</v>
      </c>
      <c r="N790" t="s">
        <v>2558</v>
      </c>
      <c r="O790" t="s">
        <v>2603</v>
      </c>
      <c r="P790" t="s">
        <v>2552</v>
      </c>
      <c r="Q790" t="s">
        <v>2575</v>
      </c>
      <c r="R790" t="s">
        <v>2603</v>
      </c>
      <c r="S790" t="s">
        <v>2606</v>
      </c>
      <c r="T790">
        <v>1</v>
      </c>
      <c r="U790" s="2">
        <v>29006.55</v>
      </c>
      <c r="V790" s="3">
        <v>0</v>
      </c>
      <c r="W790" s="2">
        <v>29006.55</v>
      </c>
      <c r="X790" s="2">
        <v>5136.18</v>
      </c>
      <c r="Y790" s="3">
        <v>0.1770696618522368</v>
      </c>
      <c r="Z790" t="s">
        <v>1496</v>
      </c>
      <c r="AA790" t="s">
        <v>1499</v>
      </c>
      <c r="AB790" t="s">
        <v>1501</v>
      </c>
      <c r="AC790">
        <v>1</v>
      </c>
      <c r="AD790">
        <v>2025</v>
      </c>
      <c r="AE790" t="s">
        <v>2815</v>
      </c>
      <c r="AF790" t="s">
        <v>2839</v>
      </c>
      <c r="AG790" t="s">
        <v>2846</v>
      </c>
      <c r="AH790" t="s">
        <v>2848</v>
      </c>
      <c r="AI790">
        <v>1</v>
      </c>
    </row>
    <row r="791" spans="1:35" x14ac:dyDescent="0.3">
      <c r="A791" t="s">
        <v>762</v>
      </c>
      <c r="B791">
        <v>2</v>
      </c>
      <c r="C791" s="1">
        <v>45893</v>
      </c>
      <c r="D791" s="1">
        <v>45894</v>
      </c>
      <c r="E791" t="s">
        <v>1264</v>
      </c>
      <c r="F791" t="s">
        <v>1765</v>
      </c>
      <c r="G791" t="s">
        <v>1370</v>
      </c>
      <c r="H791" t="s">
        <v>2633</v>
      </c>
      <c r="I791" t="s">
        <v>2737</v>
      </c>
      <c r="J791" t="s">
        <v>2747</v>
      </c>
      <c r="K791" t="s">
        <v>1488</v>
      </c>
      <c r="L791" t="s">
        <v>2780</v>
      </c>
      <c r="M791" t="s">
        <v>2552</v>
      </c>
      <c r="N791" t="s">
        <v>2575</v>
      </c>
      <c r="O791" t="s">
        <v>2603</v>
      </c>
      <c r="P791" t="s">
        <v>2552</v>
      </c>
      <c r="Q791" t="s">
        <v>2575</v>
      </c>
      <c r="R791" t="s">
        <v>2603</v>
      </c>
      <c r="S791" t="s">
        <v>2608</v>
      </c>
      <c r="T791">
        <v>3</v>
      </c>
      <c r="U791" s="2">
        <v>19480.22</v>
      </c>
      <c r="V791" s="3">
        <v>0</v>
      </c>
      <c r="W791" s="2">
        <v>58440.66</v>
      </c>
      <c r="X791" s="2">
        <v>5015.97</v>
      </c>
      <c r="Y791" s="3">
        <v>8.5830139495344501E-2</v>
      </c>
      <c r="Z791" t="s">
        <v>1497</v>
      </c>
      <c r="AA791" t="s">
        <v>1500</v>
      </c>
      <c r="AB791" t="s">
        <v>1501</v>
      </c>
      <c r="AC791">
        <v>1</v>
      </c>
      <c r="AD791">
        <v>2025</v>
      </c>
      <c r="AE791" t="s">
        <v>2815</v>
      </c>
      <c r="AF791" t="s">
        <v>2839</v>
      </c>
      <c r="AG791" t="s">
        <v>2846</v>
      </c>
      <c r="AH791" t="s">
        <v>2848</v>
      </c>
      <c r="AI791">
        <v>1</v>
      </c>
    </row>
    <row r="792" spans="1:35" x14ac:dyDescent="0.3">
      <c r="A792" t="s">
        <v>763</v>
      </c>
      <c r="B792">
        <v>1</v>
      </c>
      <c r="C792" s="1">
        <v>45894</v>
      </c>
      <c r="D792" s="1">
        <v>45894</v>
      </c>
      <c r="E792" t="s">
        <v>1298</v>
      </c>
      <c r="F792" t="s">
        <v>1920</v>
      </c>
      <c r="G792" t="s">
        <v>1416</v>
      </c>
      <c r="H792" t="s">
        <v>2700</v>
      </c>
      <c r="I792" t="s">
        <v>2740</v>
      </c>
      <c r="J792" t="s">
        <v>2763</v>
      </c>
      <c r="K792" t="s">
        <v>1481</v>
      </c>
      <c r="L792" t="s">
        <v>2777</v>
      </c>
      <c r="M792" t="s">
        <v>2551</v>
      </c>
      <c r="N792" t="s">
        <v>2574</v>
      </c>
      <c r="O792" t="s">
        <v>2602</v>
      </c>
      <c r="P792" t="s">
        <v>2557</v>
      </c>
      <c r="Q792" t="s">
        <v>2576</v>
      </c>
      <c r="R792" t="s">
        <v>2602</v>
      </c>
      <c r="S792" t="s">
        <v>2608</v>
      </c>
      <c r="T792">
        <v>1</v>
      </c>
      <c r="U792" s="2">
        <v>1404.87</v>
      </c>
      <c r="V792" s="3">
        <v>0.15</v>
      </c>
      <c r="W792" s="2">
        <v>1194.1400000000001</v>
      </c>
      <c r="X792" s="2">
        <v>-30.86</v>
      </c>
      <c r="Y792" s="3">
        <v>-2.5842865995611902E-2</v>
      </c>
      <c r="Z792" t="s">
        <v>1496</v>
      </c>
      <c r="AA792" t="s">
        <v>1500</v>
      </c>
      <c r="AB792" t="s">
        <v>1501</v>
      </c>
      <c r="AC792">
        <v>0</v>
      </c>
      <c r="AD792">
        <v>2025</v>
      </c>
      <c r="AE792" t="s">
        <v>2815</v>
      </c>
      <c r="AF792" t="s">
        <v>2839</v>
      </c>
      <c r="AG792" t="s">
        <v>2846</v>
      </c>
      <c r="AH792" t="s">
        <v>2848</v>
      </c>
      <c r="AI792">
        <v>1</v>
      </c>
    </row>
    <row r="793" spans="1:35" x14ac:dyDescent="0.3">
      <c r="A793" t="s">
        <v>764</v>
      </c>
      <c r="B793">
        <v>1</v>
      </c>
      <c r="C793" s="1">
        <v>45896</v>
      </c>
      <c r="D793" s="1">
        <v>45897</v>
      </c>
      <c r="E793" t="s">
        <v>1039</v>
      </c>
      <c r="F793" t="s">
        <v>1877</v>
      </c>
      <c r="G793" t="s">
        <v>1374</v>
      </c>
      <c r="H793" t="s">
        <v>2707</v>
      </c>
      <c r="I793" t="s">
        <v>2741</v>
      </c>
      <c r="J793" t="s">
        <v>2765</v>
      </c>
      <c r="K793" t="s">
        <v>1485</v>
      </c>
      <c r="L793" t="s">
        <v>2775</v>
      </c>
      <c r="M793" t="s">
        <v>2556</v>
      </c>
      <c r="N793" t="s">
        <v>2574</v>
      </c>
      <c r="O793" t="s">
        <v>2602</v>
      </c>
      <c r="P793" t="s">
        <v>2562</v>
      </c>
      <c r="Q793" t="s">
        <v>2574</v>
      </c>
      <c r="R793" t="s">
        <v>2602</v>
      </c>
      <c r="S793" t="s">
        <v>2606</v>
      </c>
      <c r="T793">
        <v>1</v>
      </c>
      <c r="U793" s="2">
        <v>1645.17</v>
      </c>
      <c r="V793" s="3">
        <v>0.25</v>
      </c>
      <c r="W793" s="2">
        <v>1233.8800000000001</v>
      </c>
      <c r="X793" s="2">
        <v>-70.36</v>
      </c>
      <c r="Y793" s="3">
        <v>-5.7023373423671662E-2</v>
      </c>
      <c r="Z793" t="s">
        <v>1495</v>
      </c>
      <c r="AA793" t="s">
        <v>1500</v>
      </c>
      <c r="AB793" t="s">
        <v>1502</v>
      </c>
      <c r="AC793">
        <v>1</v>
      </c>
      <c r="AD793">
        <v>2025</v>
      </c>
      <c r="AE793" t="s">
        <v>2815</v>
      </c>
      <c r="AF793" t="s">
        <v>2839</v>
      </c>
      <c r="AG793" t="s">
        <v>2846</v>
      </c>
      <c r="AH793" t="s">
        <v>2848</v>
      </c>
      <c r="AI793">
        <v>1</v>
      </c>
    </row>
    <row r="794" spans="1:35" x14ac:dyDescent="0.3">
      <c r="A794" t="s">
        <v>765</v>
      </c>
      <c r="B794">
        <v>2</v>
      </c>
      <c r="C794" s="1">
        <v>45897</v>
      </c>
      <c r="D794" s="1">
        <v>45898</v>
      </c>
      <c r="E794" t="s">
        <v>1296</v>
      </c>
      <c r="F794" t="s">
        <v>1911</v>
      </c>
      <c r="G794" t="s">
        <v>1453</v>
      </c>
      <c r="H794" t="s">
        <v>2706</v>
      </c>
      <c r="I794" t="s">
        <v>2741</v>
      </c>
      <c r="J794" t="s">
        <v>2765</v>
      </c>
      <c r="K794" t="s">
        <v>1478</v>
      </c>
      <c r="L794" t="s">
        <v>2782</v>
      </c>
      <c r="M794" t="s">
        <v>2569</v>
      </c>
      <c r="N794" t="s">
        <v>2587</v>
      </c>
      <c r="O794" t="s">
        <v>2604</v>
      </c>
      <c r="P794" t="s">
        <v>2565</v>
      </c>
      <c r="Q794" t="s">
        <v>2583</v>
      </c>
      <c r="R794" t="s">
        <v>2604</v>
      </c>
      <c r="S794" t="s">
        <v>2606</v>
      </c>
      <c r="T794">
        <v>1</v>
      </c>
      <c r="U794" s="2">
        <v>507.34</v>
      </c>
      <c r="V794" s="3">
        <v>0</v>
      </c>
      <c r="W794" s="2">
        <v>507.34</v>
      </c>
      <c r="X794" s="2">
        <v>193.87</v>
      </c>
      <c r="Y794" s="3">
        <v>0.38213032680253878</v>
      </c>
      <c r="Z794" t="s">
        <v>1493</v>
      </c>
      <c r="AA794" t="s">
        <v>1498</v>
      </c>
      <c r="AB794" t="s">
        <v>1501</v>
      </c>
      <c r="AC794">
        <v>1</v>
      </c>
      <c r="AD794">
        <v>2025</v>
      </c>
      <c r="AE794" t="s">
        <v>2815</v>
      </c>
      <c r="AF794" t="s">
        <v>2839</v>
      </c>
      <c r="AG794" t="s">
        <v>2846</v>
      </c>
      <c r="AH794" t="s">
        <v>2848</v>
      </c>
      <c r="AI794">
        <v>1</v>
      </c>
    </row>
    <row r="795" spans="1:35" x14ac:dyDescent="0.3">
      <c r="A795" t="s">
        <v>766</v>
      </c>
      <c r="B795">
        <v>1</v>
      </c>
      <c r="C795" s="1">
        <v>45897</v>
      </c>
      <c r="D795" s="1">
        <v>45898</v>
      </c>
      <c r="E795" t="s">
        <v>1269</v>
      </c>
      <c r="F795" t="s">
        <v>2022</v>
      </c>
      <c r="G795" t="s">
        <v>1392</v>
      </c>
      <c r="H795" t="s">
        <v>2655</v>
      </c>
      <c r="I795" t="s">
        <v>2738</v>
      </c>
      <c r="J795" t="s">
        <v>2753</v>
      </c>
      <c r="K795" t="s">
        <v>1492</v>
      </c>
      <c r="L795" t="s">
        <v>2788</v>
      </c>
      <c r="M795" t="s">
        <v>2550</v>
      </c>
      <c r="N795" t="s">
        <v>2573</v>
      </c>
      <c r="O795" t="s">
        <v>2601</v>
      </c>
      <c r="P795" t="s">
        <v>2554</v>
      </c>
      <c r="Q795" t="s">
        <v>2577</v>
      </c>
      <c r="R795" t="s">
        <v>2601</v>
      </c>
      <c r="S795" t="s">
        <v>2606</v>
      </c>
      <c r="T795">
        <v>1</v>
      </c>
      <c r="U795" s="2">
        <v>17688.330000000002</v>
      </c>
      <c r="V795" s="3">
        <v>0</v>
      </c>
      <c r="W795" s="2">
        <v>17688.330000000002</v>
      </c>
      <c r="X795" s="2">
        <v>2903.89</v>
      </c>
      <c r="Y795" s="3">
        <v>0.16416982270231281</v>
      </c>
      <c r="Z795" t="s">
        <v>1493</v>
      </c>
      <c r="AA795" t="s">
        <v>1498</v>
      </c>
      <c r="AB795" t="s">
        <v>1501</v>
      </c>
      <c r="AC795">
        <v>1</v>
      </c>
      <c r="AD795">
        <v>2025</v>
      </c>
      <c r="AE795" t="s">
        <v>2815</v>
      </c>
      <c r="AF795" t="s">
        <v>2839</v>
      </c>
      <c r="AG795" t="s">
        <v>2846</v>
      </c>
      <c r="AH795" t="s">
        <v>2848</v>
      </c>
      <c r="AI795">
        <v>1</v>
      </c>
    </row>
    <row r="796" spans="1:35" x14ac:dyDescent="0.3">
      <c r="A796" t="s">
        <v>767</v>
      </c>
      <c r="B796">
        <v>1</v>
      </c>
      <c r="C796" s="1">
        <v>45897</v>
      </c>
      <c r="D796" s="1">
        <v>45900</v>
      </c>
      <c r="E796" t="s">
        <v>1065</v>
      </c>
      <c r="F796" t="s">
        <v>1881</v>
      </c>
      <c r="G796" t="s">
        <v>1427</v>
      </c>
      <c r="H796" t="s">
        <v>2712</v>
      </c>
      <c r="I796" t="s">
        <v>2741</v>
      </c>
      <c r="J796" t="s">
        <v>2766</v>
      </c>
      <c r="K796" t="s">
        <v>1480</v>
      </c>
      <c r="L796" t="s">
        <v>2789</v>
      </c>
      <c r="M796" t="s">
        <v>2563</v>
      </c>
      <c r="N796" t="s">
        <v>2581</v>
      </c>
      <c r="O796" t="s">
        <v>2604</v>
      </c>
      <c r="R796" t="s">
        <v>2790</v>
      </c>
      <c r="S796" t="s">
        <v>2607</v>
      </c>
      <c r="T796">
        <v>1</v>
      </c>
      <c r="U796" s="2">
        <v>687.56</v>
      </c>
      <c r="V796" s="3">
        <v>0</v>
      </c>
      <c r="W796" s="2">
        <v>687.56</v>
      </c>
      <c r="X796" s="2">
        <v>235.13</v>
      </c>
      <c r="Y796" s="3">
        <v>0.3419774274245157</v>
      </c>
      <c r="Z796" t="s">
        <v>1493</v>
      </c>
      <c r="AA796" t="s">
        <v>1498</v>
      </c>
      <c r="AB796" t="s">
        <v>1501</v>
      </c>
      <c r="AC796">
        <v>3</v>
      </c>
      <c r="AD796">
        <v>2025</v>
      </c>
      <c r="AE796" t="s">
        <v>2815</v>
      </c>
      <c r="AF796" t="s">
        <v>2839</v>
      </c>
      <c r="AG796" t="s">
        <v>2846</v>
      </c>
      <c r="AH796" t="s">
        <v>2848</v>
      </c>
      <c r="AI796">
        <v>1</v>
      </c>
    </row>
    <row r="797" spans="1:35" x14ac:dyDescent="0.3">
      <c r="A797" t="s">
        <v>768</v>
      </c>
      <c r="B797">
        <v>1</v>
      </c>
      <c r="C797" s="1">
        <v>45898</v>
      </c>
      <c r="D797" s="1">
        <v>45901</v>
      </c>
      <c r="E797" t="s">
        <v>1143</v>
      </c>
      <c r="F797" t="s">
        <v>2038</v>
      </c>
      <c r="G797" t="s">
        <v>1396</v>
      </c>
      <c r="H797" t="s">
        <v>2711</v>
      </c>
      <c r="I797" t="s">
        <v>2741</v>
      </c>
      <c r="J797" t="s">
        <v>2766</v>
      </c>
      <c r="K797" t="s">
        <v>1480</v>
      </c>
      <c r="L797" t="s">
        <v>2789</v>
      </c>
      <c r="M797" t="s">
        <v>2551</v>
      </c>
      <c r="N797" t="s">
        <v>2574</v>
      </c>
      <c r="O797" t="s">
        <v>2602</v>
      </c>
      <c r="R797" t="s">
        <v>2790</v>
      </c>
      <c r="S797" t="s">
        <v>2606</v>
      </c>
      <c r="T797">
        <v>2</v>
      </c>
      <c r="U797" s="2">
        <v>1866.05</v>
      </c>
      <c r="V797" s="3">
        <v>0</v>
      </c>
      <c r="W797" s="2">
        <v>3732.1</v>
      </c>
      <c r="X797" s="2">
        <v>1216.68</v>
      </c>
      <c r="Y797" s="3">
        <v>0.32600412636317361</v>
      </c>
      <c r="Z797" t="s">
        <v>2807</v>
      </c>
      <c r="AA797" t="s">
        <v>1498</v>
      </c>
      <c r="AB797" t="s">
        <v>1501</v>
      </c>
      <c r="AC797">
        <v>3</v>
      </c>
      <c r="AD797">
        <v>2025</v>
      </c>
      <c r="AE797" t="s">
        <v>2815</v>
      </c>
      <c r="AF797" t="s">
        <v>2839</v>
      </c>
      <c r="AG797" t="s">
        <v>2846</v>
      </c>
      <c r="AH797" t="s">
        <v>2848</v>
      </c>
      <c r="AI797">
        <v>1</v>
      </c>
    </row>
    <row r="798" spans="1:35" x14ac:dyDescent="0.3">
      <c r="A798" t="s">
        <v>769</v>
      </c>
      <c r="B798">
        <v>1</v>
      </c>
      <c r="C798" s="1">
        <v>45898</v>
      </c>
      <c r="D798" s="1">
        <v>45901</v>
      </c>
      <c r="E798" t="s">
        <v>1233</v>
      </c>
      <c r="F798" t="s">
        <v>2004</v>
      </c>
      <c r="G798" t="s">
        <v>1373</v>
      </c>
      <c r="H798" t="s">
        <v>2696</v>
      </c>
      <c r="I798" t="s">
        <v>2740</v>
      </c>
      <c r="J798" t="s">
        <v>2762</v>
      </c>
      <c r="K798" t="s">
        <v>1480</v>
      </c>
      <c r="L798" t="s">
        <v>2789</v>
      </c>
      <c r="M798" t="s">
        <v>2554</v>
      </c>
      <c r="N798" t="s">
        <v>2577</v>
      </c>
      <c r="O798" t="s">
        <v>2601</v>
      </c>
      <c r="R798" t="s">
        <v>2790</v>
      </c>
      <c r="S798" t="s">
        <v>2606</v>
      </c>
      <c r="T798">
        <v>1</v>
      </c>
      <c r="U798" s="2">
        <v>1404.85</v>
      </c>
      <c r="V798" s="3">
        <v>0</v>
      </c>
      <c r="W798" s="2">
        <v>1404.85</v>
      </c>
      <c r="X798" s="2">
        <v>131.76</v>
      </c>
      <c r="Y798" s="3">
        <v>9.3789372530875187E-2</v>
      </c>
      <c r="Z798" t="s">
        <v>1496</v>
      </c>
      <c r="AA798" t="s">
        <v>1500</v>
      </c>
      <c r="AB798" t="s">
        <v>1501</v>
      </c>
      <c r="AC798">
        <v>3</v>
      </c>
      <c r="AD798">
        <v>2025</v>
      </c>
      <c r="AE798" t="s">
        <v>2815</v>
      </c>
      <c r="AF798" t="s">
        <v>2839</v>
      </c>
      <c r="AG798" t="s">
        <v>2846</v>
      </c>
      <c r="AH798" t="s">
        <v>2848</v>
      </c>
      <c r="AI798">
        <v>1</v>
      </c>
    </row>
    <row r="799" spans="1:35" x14ac:dyDescent="0.3">
      <c r="A799" t="s">
        <v>770</v>
      </c>
      <c r="B799">
        <v>1</v>
      </c>
      <c r="C799" s="1">
        <v>45898</v>
      </c>
      <c r="D799" s="1">
        <v>45899</v>
      </c>
      <c r="E799" t="s">
        <v>1189</v>
      </c>
      <c r="F799" t="s">
        <v>1731</v>
      </c>
      <c r="G799" t="s">
        <v>1414</v>
      </c>
      <c r="H799" t="s">
        <v>2641</v>
      </c>
      <c r="I799" t="s">
        <v>2738</v>
      </c>
      <c r="J799" t="s">
        <v>2749</v>
      </c>
      <c r="K799" t="s">
        <v>1480</v>
      </c>
      <c r="L799" t="s">
        <v>2789</v>
      </c>
      <c r="M799" t="s">
        <v>2568</v>
      </c>
      <c r="N799" t="s">
        <v>2586</v>
      </c>
      <c r="O799" t="s">
        <v>2603</v>
      </c>
      <c r="R799" t="s">
        <v>2790</v>
      </c>
      <c r="S799" t="s">
        <v>2606</v>
      </c>
      <c r="T799">
        <v>1</v>
      </c>
      <c r="U799" s="2">
        <v>20329.61</v>
      </c>
      <c r="V799" s="3">
        <v>0.25</v>
      </c>
      <c r="W799" s="2">
        <v>15247.21</v>
      </c>
      <c r="X799" s="2">
        <v>-120.02</v>
      </c>
      <c r="Y799" s="3">
        <v>-7.8716040508394654E-3</v>
      </c>
      <c r="Z799" t="s">
        <v>1497</v>
      </c>
      <c r="AA799" t="s">
        <v>1498</v>
      </c>
      <c r="AB799" t="s">
        <v>1501</v>
      </c>
      <c r="AC799">
        <v>1</v>
      </c>
      <c r="AD799">
        <v>2025</v>
      </c>
      <c r="AE799" t="s">
        <v>2815</v>
      </c>
      <c r="AF799" t="s">
        <v>2839</v>
      </c>
      <c r="AG799" t="s">
        <v>2846</v>
      </c>
      <c r="AH799" t="s">
        <v>2848</v>
      </c>
      <c r="AI799">
        <v>1</v>
      </c>
    </row>
    <row r="800" spans="1:35" x14ac:dyDescent="0.3">
      <c r="A800" t="s">
        <v>771</v>
      </c>
      <c r="B800">
        <v>1</v>
      </c>
      <c r="C800" s="1">
        <v>45901</v>
      </c>
      <c r="D800" s="1">
        <v>45904</v>
      </c>
      <c r="E800" t="s">
        <v>1238</v>
      </c>
      <c r="F800" t="s">
        <v>1788</v>
      </c>
      <c r="G800" t="s">
        <v>1448</v>
      </c>
      <c r="H800" t="s">
        <v>2679</v>
      </c>
      <c r="I800" t="s">
        <v>2739</v>
      </c>
      <c r="J800" t="s">
        <v>2758</v>
      </c>
      <c r="K800" t="s">
        <v>1480</v>
      </c>
      <c r="L800" t="s">
        <v>2789</v>
      </c>
      <c r="M800" t="s">
        <v>2565</v>
      </c>
      <c r="N800" t="s">
        <v>2583</v>
      </c>
      <c r="O800" t="s">
        <v>2604</v>
      </c>
      <c r="R800" t="s">
        <v>2790</v>
      </c>
      <c r="S800" t="s">
        <v>2607</v>
      </c>
      <c r="T800">
        <v>2</v>
      </c>
      <c r="U800" s="2">
        <v>579.75</v>
      </c>
      <c r="V800" s="3">
        <v>0</v>
      </c>
      <c r="W800" s="2">
        <v>1159.5</v>
      </c>
      <c r="X800" s="2">
        <v>376.52</v>
      </c>
      <c r="Y800" s="3">
        <v>0.32472617507546347</v>
      </c>
      <c r="Z800" t="s">
        <v>1496</v>
      </c>
      <c r="AA800" t="s">
        <v>1499</v>
      </c>
      <c r="AB800" t="s">
        <v>1502</v>
      </c>
      <c r="AC800">
        <v>3</v>
      </c>
      <c r="AD800">
        <v>2025</v>
      </c>
      <c r="AE800" t="s">
        <v>2816</v>
      </c>
      <c r="AF800" t="s">
        <v>2840</v>
      </c>
      <c r="AG800" t="s">
        <v>2846</v>
      </c>
      <c r="AH800" t="s">
        <v>2848</v>
      </c>
      <c r="AI800">
        <v>1</v>
      </c>
    </row>
    <row r="801" spans="1:35" x14ac:dyDescent="0.3">
      <c r="A801" t="s">
        <v>772</v>
      </c>
      <c r="B801">
        <v>2</v>
      </c>
      <c r="C801" s="1">
        <v>45902</v>
      </c>
      <c r="D801" s="1">
        <v>45903</v>
      </c>
      <c r="E801" t="s">
        <v>1185</v>
      </c>
      <c r="F801" t="s">
        <v>1723</v>
      </c>
      <c r="G801" t="s">
        <v>1440</v>
      </c>
      <c r="H801" t="s">
        <v>2649</v>
      </c>
      <c r="I801" t="s">
        <v>2738</v>
      </c>
      <c r="J801" t="s">
        <v>2751</v>
      </c>
      <c r="K801" t="s">
        <v>1486</v>
      </c>
      <c r="L801" t="s">
        <v>2776</v>
      </c>
      <c r="M801" t="s">
        <v>2556</v>
      </c>
      <c r="N801" t="s">
        <v>2574</v>
      </c>
      <c r="O801" t="s">
        <v>2602</v>
      </c>
      <c r="P801" t="s">
        <v>2551</v>
      </c>
      <c r="Q801" t="s">
        <v>2574</v>
      </c>
      <c r="R801" t="s">
        <v>2602</v>
      </c>
      <c r="S801" t="s">
        <v>2608</v>
      </c>
      <c r="T801">
        <v>2</v>
      </c>
      <c r="U801" s="2">
        <v>35541.870000000003</v>
      </c>
      <c r="V801" s="3">
        <v>0.1</v>
      </c>
      <c r="W801" s="2">
        <v>63975.37</v>
      </c>
      <c r="X801" s="2">
        <v>4702.99</v>
      </c>
      <c r="Y801" s="3">
        <v>7.3512509579858623E-2</v>
      </c>
      <c r="Z801" t="s">
        <v>1496</v>
      </c>
      <c r="AA801" t="s">
        <v>1499</v>
      </c>
      <c r="AB801" t="s">
        <v>1501</v>
      </c>
      <c r="AC801">
        <v>1</v>
      </c>
      <c r="AD801">
        <v>2025</v>
      </c>
      <c r="AE801" t="s">
        <v>2816</v>
      </c>
      <c r="AF801" t="s">
        <v>2840</v>
      </c>
      <c r="AG801" t="s">
        <v>2846</v>
      </c>
      <c r="AH801" t="s">
        <v>2848</v>
      </c>
      <c r="AI801">
        <v>1</v>
      </c>
    </row>
    <row r="802" spans="1:35" x14ac:dyDescent="0.3">
      <c r="A802" t="s">
        <v>773</v>
      </c>
      <c r="B802">
        <v>2</v>
      </c>
      <c r="C802" s="1">
        <v>45905</v>
      </c>
      <c r="D802" s="1">
        <v>45908</v>
      </c>
      <c r="E802" t="s">
        <v>1046</v>
      </c>
      <c r="F802" t="s">
        <v>1843</v>
      </c>
      <c r="G802" t="s">
        <v>1449</v>
      </c>
      <c r="H802" t="s">
        <v>2642</v>
      </c>
      <c r="I802" t="s">
        <v>2738</v>
      </c>
      <c r="J802" t="s">
        <v>2750</v>
      </c>
      <c r="K802" t="s">
        <v>1480</v>
      </c>
      <c r="L802" t="s">
        <v>2789</v>
      </c>
      <c r="M802" t="s">
        <v>2555</v>
      </c>
      <c r="N802" t="s">
        <v>2578</v>
      </c>
      <c r="O802" t="s">
        <v>2603</v>
      </c>
      <c r="R802" t="s">
        <v>2790</v>
      </c>
      <c r="S802" t="s">
        <v>2606</v>
      </c>
      <c r="T802">
        <v>1</v>
      </c>
      <c r="U802" s="2">
        <v>22795.96</v>
      </c>
      <c r="V802" s="3">
        <v>0</v>
      </c>
      <c r="W802" s="2">
        <v>22795.96</v>
      </c>
      <c r="X802" s="2">
        <v>5097.3100000000004</v>
      </c>
      <c r="Y802" s="3">
        <v>0.2236058494575355</v>
      </c>
      <c r="Z802" t="s">
        <v>1496</v>
      </c>
      <c r="AA802" t="s">
        <v>1498</v>
      </c>
      <c r="AB802" t="s">
        <v>1501</v>
      </c>
      <c r="AC802">
        <v>3</v>
      </c>
      <c r="AD802">
        <v>2025</v>
      </c>
      <c r="AE802" t="s">
        <v>2816</v>
      </c>
      <c r="AF802" t="s">
        <v>2840</v>
      </c>
      <c r="AG802" t="s">
        <v>2846</v>
      </c>
      <c r="AH802" t="s">
        <v>2848</v>
      </c>
      <c r="AI802">
        <v>1</v>
      </c>
    </row>
    <row r="803" spans="1:35" x14ac:dyDescent="0.3">
      <c r="A803" t="s">
        <v>774</v>
      </c>
      <c r="B803">
        <v>1</v>
      </c>
      <c r="C803" s="1">
        <v>45906</v>
      </c>
      <c r="D803" s="1">
        <v>45909</v>
      </c>
      <c r="E803" t="s">
        <v>1086</v>
      </c>
      <c r="F803" t="s">
        <v>1840</v>
      </c>
      <c r="G803" t="s">
        <v>1351</v>
      </c>
      <c r="H803" t="s">
        <v>2677</v>
      </c>
      <c r="I803" t="s">
        <v>2739</v>
      </c>
      <c r="J803" t="s">
        <v>2758</v>
      </c>
      <c r="K803" t="s">
        <v>1480</v>
      </c>
      <c r="L803" t="s">
        <v>2789</v>
      </c>
      <c r="M803" t="s">
        <v>2566</v>
      </c>
      <c r="N803" t="s">
        <v>2584</v>
      </c>
      <c r="O803" t="s">
        <v>2601</v>
      </c>
      <c r="R803" t="s">
        <v>2790</v>
      </c>
      <c r="S803" t="s">
        <v>2607</v>
      </c>
      <c r="T803">
        <v>1</v>
      </c>
      <c r="U803" s="2">
        <v>5049.71</v>
      </c>
      <c r="V803" s="3">
        <v>0</v>
      </c>
      <c r="W803" s="2">
        <v>5049.71</v>
      </c>
      <c r="X803" s="2">
        <v>1314.91</v>
      </c>
      <c r="Y803" s="3">
        <v>0.26039317109299348</v>
      </c>
      <c r="Z803" t="s">
        <v>1497</v>
      </c>
      <c r="AA803" t="s">
        <v>1498</v>
      </c>
      <c r="AB803" t="s">
        <v>1501</v>
      </c>
      <c r="AC803">
        <v>3</v>
      </c>
      <c r="AD803">
        <v>2025</v>
      </c>
      <c r="AE803" t="s">
        <v>2816</v>
      </c>
      <c r="AF803" t="s">
        <v>2840</v>
      </c>
      <c r="AG803" t="s">
        <v>2846</v>
      </c>
      <c r="AH803" t="s">
        <v>2848</v>
      </c>
      <c r="AI803">
        <v>1</v>
      </c>
    </row>
    <row r="804" spans="1:35" x14ac:dyDescent="0.3">
      <c r="A804" t="s">
        <v>775</v>
      </c>
      <c r="B804">
        <v>1</v>
      </c>
      <c r="C804" s="1">
        <v>45906</v>
      </c>
      <c r="D804" s="1">
        <v>45908</v>
      </c>
      <c r="E804" t="s">
        <v>1299</v>
      </c>
      <c r="F804" t="s">
        <v>2010</v>
      </c>
      <c r="G804" t="s">
        <v>1468</v>
      </c>
      <c r="H804" t="s">
        <v>2632</v>
      </c>
      <c r="I804" t="s">
        <v>2737</v>
      </c>
      <c r="J804" t="s">
        <v>2746</v>
      </c>
      <c r="K804" t="s">
        <v>1480</v>
      </c>
      <c r="L804" t="s">
        <v>2789</v>
      </c>
      <c r="M804" t="s">
        <v>2570</v>
      </c>
      <c r="N804" t="s">
        <v>2590</v>
      </c>
      <c r="O804" t="s">
        <v>2605</v>
      </c>
      <c r="R804" t="s">
        <v>2790</v>
      </c>
      <c r="S804" t="s">
        <v>2606</v>
      </c>
      <c r="T804">
        <v>2</v>
      </c>
      <c r="U804" s="2">
        <v>3433.61</v>
      </c>
      <c r="V804" s="3">
        <v>0</v>
      </c>
      <c r="W804" s="2">
        <v>6867.22</v>
      </c>
      <c r="X804" s="2">
        <v>849.28</v>
      </c>
      <c r="Y804" s="3">
        <v>0.12367158762934639</v>
      </c>
      <c r="Z804" t="s">
        <v>1496</v>
      </c>
      <c r="AA804" t="s">
        <v>1499</v>
      </c>
      <c r="AB804" t="s">
        <v>1501</v>
      </c>
      <c r="AC804">
        <v>2</v>
      </c>
      <c r="AD804">
        <v>2025</v>
      </c>
      <c r="AE804" t="s">
        <v>2816</v>
      </c>
      <c r="AF804" t="s">
        <v>2840</v>
      </c>
      <c r="AG804" t="s">
        <v>2846</v>
      </c>
      <c r="AH804" t="s">
        <v>2848</v>
      </c>
      <c r="AI804">
        <v>1</v>
      </c>
    </row>
    <row r="805" spans="1:35" x14ac:dyDescent="0.3">
      <c r="A805" t="s">
        <v>776</v>
      </c>
      <c r="B805">
        <v>1</v>
      </c>
      <c r="C805" s="1">
        <v>45907</v>
      </c>
      <c r="D805" s="1">
        <v>45907</v>
      </c>
      <c r="E805" t="s">
        <v>1007</v>
      </c>
      <c r="F805" t="s">
        <v>1733</v>
      </c>
      <c r="G805" t="s">
        <v>1465</v>
      </c>
      <c r="H805" t="s">
        <v>2665</v>
      </c>
      <c r="I805" t="s">
        <v>2739</v>
      </c>
      <c r="J805" t="s">
        <v>2755</v>
      </c>
      <c r="K805" t="s">
        <v>1488</v>
      </c>
      <c r="L805" t="s">
        <v>2780</v>
      </c>
      <c r="M805" t="s">
        <v>2552</v>
      </c>
      <c r="N805" t="s">
        <v>2575</v>
      </c>
      <c r="O805" t="s">
        <v>2603</v>
      </c>
      <c r="P805" t="s">
        <v>2552</v>
      </c>
      <c r="Q805" t="s">
        <v>2575</v>
      </c>
      <c r="R805" t="s">
        <v>2603</v>
      </c>
      <c r="S805" t="s">
        <v>2607</v>
      </c>
      <c r="T805">
        <v>1</v>
      </c>
      <c r="U805" s="2">
        <v>2687.95</v>
      </c>
      <c r="V805" s="3">
        <v>0.15</v>
      </c>
      <c r="W805" s="2">
        <v>2284.7600000000002</v>
      </c>
      <c r="X805" s="2">
        <v>788.23</v>
      </c>
      <c r="Y805" s="3">
        <v>0.344994660270663</v>
      </c>
      <c r="Z805" t="s">
        <v>1494</v>
      </c>
      <c r="AA805" t="s">
        <v>1498</v>
      </c>
      <c r="AB805" t="s">
        <v>1501</v>
      </c>
      <c r="AC805">
        <v>0</v>
      </c>
      <c r="AD805">
        <v>2025</v>
      </c>
      <c r="AE805" t="s">
        <v>2816</v>
      </c>
      <c r="AF805" t="s">
        <v>2840</v>
      </c>
      <c r="AG805" t="s">
        <v>2846</v>
      </c>
      <c r="AH805" t="s">
        <v>2848</v>
      </c>
      <c r="AI805">
        <v>1</v>
      </c>
    </row>
    <row r="806" spans="1:35" x14ac:dyDescent="0.3">
      <c r="A806" t="s">
        <v>776</v>
      </c>
      <c r="B806">
        <v>2</v>
      </c>
      <c r="C806" s="1">
        <v>45907</v>
      </c>
      <c r="D806" s="1">
        <v>45907</v>
      </c>
      <c r="E806" t="s">
        <v>1007</v>
      </c>
      <c r="F806" t="s">
        <v>1733</v>
      </c>
      <c r="G806" t="s">
        <v>1351</v>
      </c>
      <c r="H806" t="s">
        <v>2677</v>
      </c>
      <c r="I806" t="s">
        <v>2739</v>
      </c>
      <c r="J806" t="s">
        <v>2758</v>
      </c>
      <c r="K806" t="s">
        <v>1488</v>
      </c>
      <c r="L806" t="s">
        <v>2780</v>
      </c>
      <c r="M806" t="s">
        <v>2552</v>
      </c>
      <c r="N806" t="s">
        <v>2575</v>
      </c>
      <c r="O806" t="s">
        <v>2603</v>
      </c>
      <c r="P806" t="s">
        <v>2552</v>
      </c>
      <c r="Q806" t="s">
        <v>2575</v>
      </c>
      <c r="R806" t="s">
        <v>2603</v>
      </c>
      <c r="S806" t="s">
        <v>2607</v>
      </c>
      <c r="T806">
        <v>1</v>
      </c>
      <c r="U806" s="2">
        <v>5049.71</v>
      </c>
      <c r="V806" s="3">
        <v>0.15</v>
      </c>
      <c r="W806" s="2">
        <v>4292.25</v>
      </c>
      <c r="X806" s="2">
        <v>557.45000000000005</v>
      </c>
      <c r="Y806" s="3">
        <v>0.12987360941231291</v>
      </c>
      <c r="Z806" t="s">
        <v>1494</v>
      </c>
      <c r="AA806" t="s">
        <v>1498</v>
      </c>
      <c r="AB806" t="s">
        <v>1501</v>
      </c>
      <c r="AC806">
        <v>0</v>
      </c>
      <c r="AD806">
        <v>2025</v>
      </c>
      <c r="AE806" t="s">
        <v>2816</v>
      </c>
      <c r="AF806" t="s">
        <v>2840</v>
      </c>
      <c r="AG806" t="s">
        <v>2846</v>
      </c>
      <c r="AH806" t="s">
        <v>2848</v>
      </c>
      <c r="AI806">
        <v>0</v>
      </c>
    </row>
    <row r="807" spans="1:35" x14ac:dyDescent="0.3">
      <c r="A807" t="s">
        <v>777</v>
      </c>
      <c r="B807">
        <v>1</v>
      </c>
      <c r="C807" s="1">
        <v>45911</v>
      </c>
      <c r="D807" s="1">
        <v>45914</v>
      </c>
      <c r="E807" t="s">
        <v>1300</v>
      </c>
      <c r="F807" t="s">
        <v>1745</v>
      </c>
      <c r="G807" t="s">
        <v>1435</v>
      </c>
      <c r="H807" t="s">
        <v>2633</v>
      </c>
      <c r="I807" t="s">
        <v>2737</v>
      </c>
      <c r="J807" t="s">
        <v>2747</v>
      </c>
      <c r="K807" t="s">
        <v>1480</v>
      </c>
      <c r="L807" t="s">
        <v>2789</v>
      </c>
      <c r="M807" t="s">
        <v>2553</v>
      </c>
      <c r="N807" t="s">
        <v>2576</v>
      </c>
      <c r="O807" t="s">
        <v>2602</v>
      </c>
      <c r="R807" t="s">
        <v>2790</v>
      </c>
      <c r="S807" t="s">
        <v>2606</v>
      </c>
      <c r="T807">
        <v>1</v>
      </c>
      <c r="U807" s="2">
        <v>62926.96</v>
      </c>
      <c r="V807" s="3">
        <v>0</v>
      </c>
      <c r="W807" s="2">
        <v>62926.96</v>
      </c>
      <c r="X807" s="2">
        <v>9214.48</v>
      </c>
      <c r="Y807" s="3">
        <v>0.1464313547007515</v>
      </c>
      <c r="Z807" t="s">
        <v>1496</v>
      </c>
      <c r="AA807" t="s">
        <v>1498</v>
      </c>
      <c r="AB807" t="s">
        <v>1501</v>
      </c>
      <c r="AC807">
        <v>3</v>
      </c>
      <c r="AD807">
        <v>2025</v>
      </c>
      <c r="AE807" t="s">
        <v>2816</v>
      </c>
      <c r="AF807" t="s">
        <v>2840</v>
      </c>
      <c r="AG807" t="s">
        <v>2846</v>
      </c>
      <c r="AH807" t="s">
        <v>2848</v>
      </c>
      <c r="AI807">
        <v>1</v>
      </c>
    </row>
    <row r="808" spans="1:35" x14ac:dyDescent="0.3">
      <c r="A808" t="s">
        <v>778</v>
      </c>
      <c r="B808">
        <v>1</v>
      </c>
      <c r="C808" s="1">
        <v>45911</v>
      </c>
      <c r="D808" s="1">
        <v>45913</v>
      </c>
      <c r="E808" t="s">
        <v>1146</v>
      </c>
      <c r="F808" t="s">
        <v>1704</v>
      </c>
      <c r="G808" t="s">
        <v>1345</v>
      </c>
      <c r="H808" t="s">
        <v>2635</v>
      </c>
      <c r="I808" t="s">
        <v>2737</v>
      </c>
      <c r="J808" t="s">
        <v>2747</v>
      </c>
      <c r="K808" t="s">
        <v>1480</v>
      </c>
      <c r="L808" t="s">
        <v>2789</v>
      </c>
      <c r="M808" t="s">
        <v>2553</v>
      </c>
      <c r="N808" t="s">
        <v>2576</v>
      </c>
      <c r="O808" t="s">
        <v>2602</v>
      </c>
      <c r="R808" t="s">
        <v>2790</v>
      </c>
      <c r="S808" t="s">
        <v>2606</v>
      </c>
      <c r="T808">
        <v>1</v>
      </c>
      <c r="U808" s="2">
        <v>8112.78</v>
      </c>
      <c r="V808" s="3">
        <v>0</v>
      </c>
      <c r="W808" s="2">
        <v>8112.78</v>
      </c>
      <c r="X808" s="2">
        <v>1235.06</v>
      </c>
      <c r="Y808" s="3">
        <v>0.15223634808290129</v>
      </c>
      <c r="Z808" t="s">
        <v>1496</v>
      </c>
      <c r="AA808" t="s">
        <v>1498</v>
      </c>
      <c r="AB808" t="s">
        <v>1501</v>
      </c>
      <c r="AC808">
        <v>2</v>
      </c>
      <c r="AD808">
        <v>2025</v>
      </c>
      <c r="AE808" t="s">
        <v>2816</v>
      </c>
      <c r="AF808" t="s">
        <v>2840</v>
      </c>
      <c r="AG808" t="s">
        <v>2846</v>
      </c>
      <c r="AH808" t="s">
        <v>2848</v>
      </c>
      <c r="AI808">
        <v>1</v>
      </c>
    </row>
    <row r="809" spans="1:35" x14ac:dyDescent="0.3">
      <c r="A809" t="s">
        <v>779</v>
      </c>
      <c r="B809">
        <v>1</v>
      </c>
      <c r="C809" s="1">
        <v>45912</v>
      </c>
      <c r="D809" s="1">
        <v>45913</v>
      </c>
      <c r="E809" t="s">
        <v>1301</v>
      </c>
      <c r="F809" t="s">
        <v>1670</v>
      </c>
      <c r="G809" t="s">
        <v>1434</v>
      </c>
      <c r="H809" t="s">
        <v>2695</v>
      </c>
      <c r="I809" t="s">
        <v>2740</v>
      </c>
      <c r="J809" t="s">
        <v>2762</v>
      </c>
      <c r="K809" t="s">
        <v>1482</v>
      </c>
      <c r="L809" t="s">
        <v>2783</v>
      </c>
      <c r="M809" t="s">
        <v>2565</v>
      </c>
      <c r="N809" t="s">
        <v>2583</v>
      </c>
      <c r="O809" t="s">
        <v>2604</v>
      </c>
      <c r="P809" t="s">
        <v>2560</v>
      </c>
      <c r="Q809" t="s">
        <v>2579</v>
      </c>
      <c r="R809" t="s">
        <v>2604</v>
      </c>
      <c r="S809" t="s">
        <v>2607</v>
      </c>
      <c r="T809">
        <v>1</v>
      </c>
      <c r="U809" s="2">
        <v>994.69</v>
      </c>
      <c r="V809" s="3">
        <v>0.2</v>
      </c>
      <c r="W809" s="2">
        <v>795.75</v>
      </c>
      <c r="X809" s="2">
        <v>-107.57</v>
      </c>
      <c r="Y809" s="3">
        <v>-0.1351806471881872</v>
      </c>
      <c r="Z809" t="s">
        <v>1495</v>
      </c>
      <c r="AA809" t="s">
        <v>1500</v>
      </c>
      <c r="AB809" t="s">
        <v>1501</v>
      </c>
      <c r="AC809">
        <v>1</v>
      </c>
      <c r="AD809">
        <v>2025</v>
      </c>
      <c r="AE809" t="s">
        <v>2816</v>
      </c>
      <c r="AF809" t="s">
        <v>2840</v>
      </c>
      <c r="AG809" t="s">
        <v>2846</v>
      </c>
      <c r="AH809" t="s">
        <v>2848</v>
      </c>
      <c r="AI809">
        <v>1</v>
      </c>
    </row>
    <row r="810" spans="1:35" x14ac:dyDescent="0.3">
      <c r="A810" t="s">
        <v>780</v>
      </c>
      <c r="B810">
        <v>1</v>
      </c>
      <c r="C810" s="1">
        <v>45913</v>
      </c>
      <c r="D810" s="1">
        <v>45914</v>
      </c>
      <c r="E810" t="s">
        <v>1302</v>
      </c>
      <c r="F810" t="s">
        <v>1942</v>
      </c>
      <c r="G810" t="s">
        <v>1404</v>
      </c>
      <c r="H810" t="s">
        <v>2643</v>
      </c>
      <c r="I810" t="s">
        <v>2738</v>
      </c>
      <c r="J810" t="s">
        <v>2750</v>
      </c>
      <c r="K810" t="s">
        <v>1478</v>
      </c>
      <c r="L810" t="s">
        <v>2782</v>
      </c>
      <c r="M810" t="s">
        <v>2565</v>
      </c>
      <c r="N810" t="s">
        <v>2583</v>
      </c>
      <c r="O810" t="s">
        <v>2604</v>
      </c>
      <c r="P810" t="s">
        <v>2565</v>
      </c>
      <c r="Q810" t="s">
        <v>2583</v>
      </c>
      <c r="R810" t="s">
        <v>2604</v>
      </c>
      <c r="S810" t="s">
        <v>2608</v>
      </c>
      <c r="T810">
        <v>2</v>
      </c>
      <c r="U810" s="2">
        <v>44125.88</v>
      </c>
      <c r="V810" s="3">
        <v>0.25</v>
      </c>
      <c r="W810" s="2">
        <v>66188.820000000007</v>
      </c>
      <c r="X810" s="2">
        <v>-2440.56</v>
      </c>
      <c r="Y810" s="3">
        <v>-3.6872692397296097E-2</v>
      </c>
      <c r="Z810" t="s">
        <v>1495</v>
      </c>
      <c r="AA810" t="s">
        <v>1498</v>
      </c>
      <c r="AB810" t="s">
        <v>1501</v>
      </c>
      <c r="AC810">
        <v>1</v>
      </c>
      <c r="AD810">
        <v>2025</v>
      </c>
      <c r="AE810" t="s">
        <v>2816</v>
      </c>
      <c r="AF810" t="s">
        <v>2840</v>
      </c>
      <c r="AG810" t="s">
        <v>2846</v>
      </c>
      <c r="AH810" t="s">
        <v>2848</v>
      </c>
      <c r="AI810">
        <v>1</v>
      </c>
    </row>
    <row r="811" spans="1:35" x14ac:dyDescent="0.3">
      <c r="A811" t="s">
        <v>781</v>
      </c>
      <c r="B811">
        <v>1</v>
      </c>
      <c r="C811" s="1">
        <v>45914</v>
      </c>
      <c r="D811" s="1">
        <v>45917</v>
      </c>
      <c r="E811" t="s">
        <v>1251</v>
      </c>
      <c r="F811" t="s">
        <v>1979</v>
      </c>
      <c r="G811" t="s">
        <v>1330</v>
      </c>
      <c r="H811" t="s">
        <v>2685</v>
      </c>
      <c r="I811" t="s">
        <v>2739</v>
      </c>
      <c r="J811" t="s">
        <v>2759</v>
      </c>
      <c r="K811" t="s">
        <v>1480</v>
      </c>
      <c r="L811" t="s">
        <v>2789</v>
      </c>
      <c r="M811" t="s">
        <v>2554</v>
      </c>
      <c r="N811" t="s">
        <v>2577</v>
      </c>
      <c r="O811" t="s">
        <v>2601</v>
      </c>
      <c r="R811" t="s">
        <v>2790</v>
      </c>
      <c r="S811" t="s">
        <v>2606</v>
      </c>
      <c r="T811">
        <v>2</v>
      </c>
      <c r="U811" s="2">
        <v>2393.8200000000002</v>
      </c>
      <c r="V811" s="3">
        <v>0</v>
      </c>
      <c r="W811" s="2">
        <v>4787.6400000000003</v>
      </c>
      <c r="X811" s="2">
        <v>1547.74</v>
      </c>
      <c r="Y811" s="3">
        <v>0.32327827489117811</v>
      </c>
      <c r="Z811" t="s">
        <v>1496</v>
      </c>
      <c r="AA811" t="s">
        <v>1498</v>
      </c>
      <c r="AB811" t="s">
        <v>1501</v>
      </c>
      <c r="AC811">
        <v>3</v>
      </c>
      <c r="AD811">
        <v>2025</v>
      </c>
      <c r="AE811" t="s">
        <v>2816</v>
      </c>
      <c r="AF811" t="s">
        <v>2840</v>
      </c>
      <c r="AG811" t="s">
        <v>2846</v>
      </c>
      <c r="AH811" t="s">
        <v>2848</v>
      </c>
      <c r="AI811">
        <v>1</v>
      </c>
    </row>
    <row r="812" spans="1:35" x14ac:dyDescent="0.3">
      <c r="A812" t="s">
        <v>782</v>
      </c>
      <c r="B812">
        <v>1</v>
      </c>
      <c r="C812" s="1">
        <v>45914</v>
      </c>
      <c r="D812" s="1">
        <v>45915</v>
      </c>
      <c r="E812" t="s">
        <v>1002</v>
      </c>
      <c r="F812" t="s">
        <v>1654</v>
      </c>
      <c r="G812" t="s">
        <v>1364</v>
      </c>
      <c r="H812" t="s">
        <v>2699</v>
      </c>
      <c r="I812" t="s">
        <v>2740</v>
      </c>
      <c r="J812" t="s">
        <v>2762</v>
      </c>
      <c r="K812" t="s">
        <v>1480</v>
      </c>
      <c r="L812" t="s">
        <v>2789</v>
      </c>
      <c r="M812" t="s">
        <v>2550</v>
      </c>
      <c r="N812" t="s">
        <v>2573</v>
      </c>
      <c r="O812" t="s">
        <v>2601</v>
      </c>
      <c r="R812" t="s">
        <v>2790</v>
      </c>
      <c r="S812" t="s">
        <v>2607</v>
      </c>
      <c r="T812">
        <v>1</v>
      </c>
      <c r="U812" s="2">
        <v>590.01</v>
      </c>
      <c r="V812" s="3">
        <v>0</v>
      </c>
      <c r="W812" s="2">
        <v>590.01</v>
      </c>
      <c r="X812" s="2">
        <v>72.55</v>
      </c>
      <c r="Y812" s="3">
        <v>0.12296401755902441</v>
      </c>
      <c r="Z812" t="s">
        <v>1495</v>
      </c>
      <c r="AA812" t="s">
        <v>1498</v>
      </c>
      <c r="AB812" t="s">
        <v>1501</v>
      </c>
      <c r="AC812">
        <v>1</v>
      </c>
      <c r="AD812">
        <v>2025</v>
      </c>
      <c r="AE812" t="s">
        <v>2816</v>
      </c>
      <c r="AF812" t="s">
        <v>2840</v>
      </c>
      <c r="AG812" t="s">
        <v>2846</v>
      </c>
      <c r="AH812" t="s">
        <v>2848</v>
      </c>
      <c r="AI812">
        <v>1</v>
      </c>
    </row>
    <row r="813" spans="1:35" x14ac:dyDescent="0.3">
      <c r="A813" t="s">
        <v>783</v>
      </c>
      <c r="B813">
        <v>1</v>
      </c>
      <c r="C813" s="1">
        <v>45914</v>
      </c>
      <c r="E813" t="s">
        <v>1303</v>
      </c>
      <c r="F813" t="s">
        <v>1774</v>
      </c>
      <c r="G813" t="s">
        <v>1357</v>
      </c>
      <c r="H813" t="s">
        <v>2689</v>
      </c>
      <c r="I813" t="s">
        <v>2740</v>
      </c>
      <c r="J813" t="s">
        <v>2760</v>
      </c>
      <c r="K813" t="s">
        <v>1489</v>
      </c>
      <c r="L813" t="s">
        <v>2787</v>
      </c>
      <c r="M813" t="s">
        <v>2564</v>
      </c>
      <c r="N813" t="s">
        <v>2582</v>
      </c>
      <c r="O813" t="s">
        <v>2601</v>
      </c>
      <c r="P813" t="s">
        <v>2566</v>
      </c>
      <c r="Q813" t="s">
        <v>2584</v>
      </c>
      <c r="R813" t="s">
        <v>2601</v>
      </c>
      <c r="S813" t="s">
        <v>2606</v>
      </c>
      <c r="T813">
        <v>2</v>
      </c>
      <c r="U813" s="2">
        <v>986.91</v>
      </c>
      <c r="V813" s="3">
        <v>0</v>
      </c>
      <c r="W813" s="2">
        <v>1973.82</v>
      </c>
      <c r="X813" s="2">
        <v>257.45999999999998</v>
      </c>
      <c r="Y813" s="3">
        <v>0.13043742590509769</v>
      </c>
      <c r="Z813" t="s">
        <v>1496</v>
      </c>
      <c r="AA813" t="s">
        <v>1498</v>
      </c>
      <c r="AB813" t="s">
        <v>1503</v>
      </c>
      <c r="AD813">
        <v>2025</v>
      </c>
      <c r="AE813" t="s">
        <v>2816</v>
      </c>
      <c r="AF813" t="s">
        <v>2840</v>
      </c>
      <c r="AG813" t="s">
        <v>2846</v>
      </c>
      <c r="AH813" t="s">
        <v>2848</v>
      </c>
      <c r="AI813">
        <v>1</v>
      </c>
    </row>
    <row r="814" spans="1:35" x14ac:dyDescent="0.3">
      <c r="A814" t="s">
        <v>784</v>
      </c>
      <c r="B814">
        <v>1</v>
      </c>
      <c r="C814" s="1">
        <v>45915</v>
      </c>
      <c r="D814" s="1">
        <v>45916</v>
      </c>
      <c r="E814" t="s">
        <v>1233</v>
      </c>
      <c r="F814" t="s">
        <v>2004</v>
      </c>
      <c r="G814" t="s">
        <v>1450</v>
      </c>
      <c r="H814" t="s">
        <v>2723</v>
      </c>
      <c r="I814" t="s">
        <v>2742</v>
      </c>
      <c r="J814" t="s">
        <v>2770</v>
      </c>
      <c r="K814" t="s">
        <v>1492</v>
      </c>
      <c r="L814" t="s">
        <v>2788</v>
      </c>
      <c r="M814" t="s">
        <v>2554</v>
      </c>
      <c r="N814" t="s">
        <v>2577</v>
      </c>
      <c r="O814" t="s">
        <v>2601</v>
      </c>
      <c r="P814" t="s">
        <v>2554</v>
      </c>
      <c r="Q814" t="s">
        <v>2577</v>
      </c>
      <c r="R814" t="s">
        <v>2601</v>
      </c>
      <c r="S814" t="s">
        <v>2606</v>
      </c>
      <c r="T814">
        <v>1</v>
      </c>
      <c r="U814" s="2">
        <v>7983.56</v>
      </c>
      <c r="V814" s="3">
        <v>0</v>
      </c>
      <c r="W814" s="2">
        <v>7983.56</v>
      </c>
      <c r="X814" s="2">
        <v>1968.35</v>
      </c>
      <c r="Y814" s="3">
        <v>0.2465504110947998</v>
      </c>
      <c r="Z814" t="s">
        <v>1496</v>
      </c>
      <c r="AA814" t="s">
        <v>1498</v>
      </c>
      <c r="AB814" t="s">
        <v>1501</v>
      </c>
      <c r="AC814">
        <v>1</v>
      </c>
      <c r="AD814">
        <v>2025</v>
      </c>
      <c r="AE814" t="s">
        <v>2816</v>
      </c>
      <c r="AF814" t="s">
        <v>2840</v>
      </c>
      <c r="AG814" t="s">
        <v>2846</v>
      </c>
      <c r="AH814" t="s">
        <v>2848</v>
      </c>
      <c r="AI814">
        <v>1</v>
      </c>
    </row>
    <row r="815" spans="1:35" x14ac:dyDescent="0.3">
      <c r="A815" t="s">
        <v>785</v>
      </c>
      <c r="B815">
        <v>1</v>
      </c>
      <c r="C815" s="1">
        <v>45916</v>
      </c>
      <c r="D815" s="1">
        <v>45917</v>
      </c>
      <c r="E815" t="s">
        <v>1013</v>
      </c>
      <c r="F815" t="s">
        <v>1651</v>
      </c>
      <c r="G815" t="s">
        <v>1422</v>
      </c>
      <c r="H815" t="s">
        <v>2642</v>
      </c>
      <c r="I815" t="s">
        <v>2738</v>
      </c>
      <c r="J815" t="s">
        <v>2750</v>
      </c>
      <c r="K815" t="s">
        <v>1484</v>
      </c>
      <c r="L815" t="s">
        <v>2778</v>
      </c>
      <c r="M815" t="s">
        <v>2552</v>
      </c>
      <c r="N815" t="s">
        <v>2575</v>
      </c>
      <c r="O815" t="s">
        <v>2603</v>
      </c>
      <c r="P815" t="s">
        <v>2559</v>
      </c>
      <c r="Q815" t="s">
        <v>2559</v>
      </c>
      <c r="R815" t="s">
        <v>2603</v>
      </c>
      <c r="S815" t="s">
        <v>2606</v>
      </c>
      <c r="T815">
        <v>1</v>
      </c>
      <c r="U815" s="2">
        <v>27508.38</v>
      </c>
      <c r="V815" s="3">
        <v>0.1</v>
      </c>
      <c r="W815" s="2">
        <v>24757.54</v>
      </c>
      <c r="X815" s="2">
        <v>1469.51</v>
      </c>
      <c r="Y815" s="3">
        <v>5.9356058800672441E-2</v>
      </c>
      <c r="Z815" t="s">
        <v>1493</v>
      </c>
      <c r="AA815" t="s">
        <v>1498</v>
      </c>
      <c r="AB815" t="s">
        <v>1501</v>
      </c>
      <c r="AC815">
        <v>1</v>
      </c>
      <c r="AD815">
        <v>2025</v>
      </c>
      <c r="AE815" t="s">
        <v>2816</v>
      </c>
      <c r="AF815" t="s">
        <v>2840</v>
      </c>
      <c r="AG815" t="s">
        <v>2846</v>
      </c>
      <c r="AH815" t="s">
        <v>2848</v>
      </c>
      <c r="AI815">
        <v>1</v>
      </c>
    </row>
    <row r="816" spans="1:35" x14ac:dyDescent="0.3">
      <c r="A816" t="s">
        <v>786</v>
      </c>
      <c r="B816">
        <v>1</v>
      </c>
      <c r="C816" s="1">
        <v>45917</v>
      </c>
      <c r="D816" s="1">
        <v>45918</v>
      </c>
      <c r="E816" t="s">
        <v>1173</v>
      </c>
      <c r="F816" t="s">
        <v>2036</v>
      </c>
      <c r="G816" t="s">
        <v>1346</v>
      </c>
      <c r="H816" t="s">
        <v>2670</v>
      </c>
      <c r="I816" t="s">
        <v>2739</v>
      </c>
      <c r="J816" t="s">
        <v>2756</v>
      </c>
      <c r="K816" t="s">
        <v>1479</v>
      </c>
      <c r="L816" t="s">
        <v>2786</v>
      </c>
      <c r="M816" t="s">
        <v>2564</v>
      </c>
      <c r="N816" t="s">
        <v>2582</v>
      </c>
      <c r="O816" t="s">
        <v>2601</v>
      </c>
      <c r="P816" t="s">
        <v>2564</v>
      </c>
      <c r="Q816" t="s">
        <v>2582</v>
      </c>
      <c r="R816" t="s">
        <v>2601</v>
      </c>
      <c r="S816" t="s">
        <v>2606</v>
      </c>
      <c r="T816">
        <v>1</v>
      </c>
      <c r="U816" s="2">
        <v>3324.39</v>
      </c>
      <c r="V816" s="3">
        <v>0</v>
      </c>
      <c r="W816" s="2">
        <v>3324.39</v>
      </c>
      <c r="X816" s="2">
        <v>1234.02</v>
      </c>
      <c r="Y816" s="3">
        <v>0.37120193479104441</v>
      </c>
      <c r="Z816" t="s">
        <v>1494</v>
      </c>
      <c r="AA816" t="s">
        <v>1500</v>
      </c>
      <c r="AB816" t="s">
        <v>1501</v>
      </c>
      <c r="AC816">
        <v>1</v>
      </c>
      <c r="AD816">
        <v>2025</v>
      </c>
      <c r="AE816" t="s">
        <v>2816</v>
      </c>
      <c r="AF816" t="s">
        <v>2840</v>
      </c>
      <c r="AG816" t="s">
        <v>2846</v>
      </c>
      <c r="AH816" t="s">
        <v>2848</v>
      </c>
      <c r="AI816">
        <v>1</v>
      </c>
    </row>
    <row r="817" spans="1:35" x14ac:dyDescent="0.3">
      <c r="A817" t="s">
        <v>787</v>
      </c>
      <c r="B817">
        <v>1</v>
      </c>
      <c r="C817" s="1">
        <v>45917</v>
      </c>
      <c r="D817" s="1">
        <v>45917</v>
      </c>
      <c r="E817" t="s">
        <v>1142</v>
      </c>
      <c r="F817" t="s">
        <v>1852</v>
      </c>
      <c r="G817" t="s">
        <v>1477</v>
      </c>
      <c r="H817" t="s">
        <v>2656</v>
      </c>
      <c r="I817" t="s">
        <v>2738</v>
      </c>
      <c r="J817" t="s">
        <v>2753</v>
      </c>
      <c r="K817" t="s">
        <v>1490</v>
      </c>
      <c r="L817" t="s">
        <v>2784</v>
      </c>
      <c r="M817" t="s">
        <v>2563</v>
      </c>
      <c r="N817" t="s">
        <v>2581</v>
      </c>
      <c r="O817" t="s">
        <v>2604</v>
      </c>
      <c r="P817" t="s">
        <v>2567</v>
      </c>
      <c r="Q817" t="s">
        <v>2585</v>
      </c>
      <c r="R817" t="s">
        <v>2604</v>
      </c>
      <c r="S817" t="s">
        <v>2608</v>
      </c>
      <c r="T817">
        <v>4</v>
      </c>
      <c r="U817" s="2">
        <v>43142.95</v>
      </c>
      <c r="V817" s="3">
        <v>0</v>
      </c>
      <c r="W817" s="2">
        <v>172571.8</v>
      </c>
      <c r="X817" s="2">
        <v>32123.48</v>
      </c>
      <c r="Y817" s="3">
        <v>0.1861455927329958</v>
      </c>
      <c r="Z817" t="s">
        <v>1495</v>
      </c>
      <c r="AA817" t="s">
        <v>1498</v>
      </c>
      <c r="AB817" t="s">
        <v>1501</v>
      </c>
      <c r="AC817">
        <v>0</v>
      </c>
      <c r="AD817">
        <v>2025</v>
      </c>
      <c r="AE817" t="s">
        <v>2816</v>
      </c>
      <c r="AF817" t="s">
        <v>2840</v>
      </c>
      <c r="AG817" t="s">
        <v>2846</v>
      </c>
      <c r="AH817" t="s">
        <v>2848</v>
      </c>
      <c r="AI817">
        <v>1</v>
      </c>
    </row>
    <row r="818" spans="1:35" x14ac:dyDescent="0.3">
      <c r="A818" t="s">
        <v>788</v>
      </c>
      <c r="B818">
        <v>2</v>
      </c>
      <c r="C818" s="1">
        <v>45920</v>
      </c>
      <c r="D818" s="1">
        <v>45921</v>
      </c>
      <c r="E818" t="s">
        <v>1055</v>
      </c>
      <c r="F818" t="s">
        <v>2024</v>
      </c>
      <c r="G818" t="s">
        <v>1408</v>
      </c>
      <c r="H818" t="s">
        <v>2680</v>
      </c>
      <c r="I818" t="s">
        <v>2739</v>
      </c>
      <c r="J818" t="s">
        <v>2758</v>
      </c>
      <c r="K818" t="s">
        <v>1489</v>
      </c>
      <c r="L818" t="s">
        <v>2787</v>
      </c>
      <c r="M818" t="s">
        <v>2554</v>
      </c>
      <c r="N818" t="s">
        <v>2577</v>
      </c>
      <c r="O818" t="s">
        <v>2601</v>
      </c>
      <c r="P818" t="s">
        <v>2566</v>
      </c>
      <c r="Q818" t="s">
        <v>2584</v>
      </c>
      <c r="R818" t="s">
        <v>2601</v>
      </c>
      <c r="S818" t="s">
        <v>2606</v>
      </c>
      <c r="T818">
        <v>2</v>
      </c>
      <c r="U818" s="2">
        <v>3284.39</v>
      </c>
      <c r="V818" s="3">
        <v>0</v>
      </c>
      <c r="W818" s="2">
        <v>6568.78</v>
      </c>
      <c r="X818" s="2">
        <v>1775.76</v>
      </c>
      <c r="Y818" s="3">
        <v>0.27033330390118099</v>
      </c>
      <c r="Z818" t="s">
        <v>1493</v>
      </c>
      <c r="AA818" t="s">
        <v>1499</v>
      </c>
      <c r="AB818" t="s">
        <v>1501</v>
      </c>
      <c r="AC818">
        <v>1</v>
      </c>
      <c r="AD818">
        <v>2025</v>
      </c>
      <c r="AE818" t="s">
        <v>2816</v>
      </c>
      <c r="AF818" t="s">
        <v>2840</v>
      </c>
      <c r="AG818" t="s">
        <v>2846</v>
      </c>
      <c r="AH818" t="s">
        <v>2848</v>
      </c>
      <c r="AI818">
        <v>1</v>
      </c>
    </row>
    <row r="819" spans="1:35" x14ac:dyDescent="0.3">
      <c r="A819" t="s">
        <v>789</v>
      </c>
      <c r="B819">
        <v>1</v>
      </c>
      <c r="C819" s="1">
        <v>45920</v>
      </c>
      <c r="D819" s="1">
        <v>45922</v>
      </c>
      <c r="E819" t="s">
        <v>1001</v>
      </c>
      <c r="F819" t="s">
        <v>1873</v>
      </c>
      <c r="G819" t="s">
        <v>1424</v>
      </c>
      <c r="H819" t="s">
        <v>2624</v>
      </c>
      <c r="I819" t="s">
        <v>2737</v>
      </c>
      <c r="J819" t="s">
        <v>2745</v>
      </c>
      <c r="K819" t="s">
        <v>1480</v>
      </c>
      <c r="L819" t="s">
        <v>2789</v>
      </c>
      <c r="M819" t="s">
        <v>2553</v>
      </c>
      <c r="N819" t="s">
        <v>2576</v>
      </c>
      <c r="O819" t="s">
        <v>2602</v>
      </c>
      <c r="R819" t="s">
        <v>2790</v>
      </c>
      <c r="S819" t="s">
        <v>2606</v>
      </c>
      <c r="T819">
        <v>1</v>
      </c>
      <c r="U819" s="2">
        <v>31609.79</v>
      </c>
      <c r="V819" s="3">
        <v>0</v>
      </c>
      <c r="W819" s="2">
        <v>31609.79</v>
      </c>
      <c r="X819" s="2">
        <v>3440.18</v>
      </c>
      <c r="Y819" s="3">
        <v>0.1088327382118008</v>
      </c>
      <c r="Z819" t="s">
        <v>1495</v>
      </c>
      <c r="AA819" t="s">
        <v>1498</v>
      </c>
      <c r="AB819" t="s">
        <v>1501</v>
      </c>
      <c r="AC819">
        <v>2</v>
      </c>
      <c r="AD819">
        <v>2025</v>
      </c>
      <c r="AE819" t="s">
        <v>2816</v>
      </c>
      <c r="AF819" t="s">
        <v>2840</v>
      </c>
      <c r="AG819" t="s">
        <v>2846</v>
      </c>
      <c r="AH819" t="s">
        <v>2848</v>
      </c>
      <c r="AI819">
        <v>1</v>
      </c>
    </row>
    <row r="820" spans="1:35" x14ac:dyDescent="0.3">
      <c r="A820" t="s">
        <v>790</v>
      </c>
      <c r="B820">
        <v>1</v>
      </c>
      <c r="C820" s="1">
        <v>45921</v>
      </c>
      <c r="D820" s="1">
        <v>45921</v>
      </c>
      <c r="E820" t="s">
        <v>1214</v>
      </c>
      <c r="F820" t="s">
        <v>1989</v>
      </c>
      <c r="G820" t="s">
        <v>1435</v>
      </c>
      <c r="H820" t="s">
        <v>2633</v>
      </c>
      <c r="I820" t="s">
        <v>2737</v>
      </c>
      <c r="J820" t="s">
        <v>2747</v>
      </c>
      <c r="K820" t="s">
        <v>1483</v>
      </c>
      <c r="L820" t="s">
        <v>2781</v>
      </c>
      <c r="M820" t="s">
        <v>2558</v>
      </c>
      <c r="N820" t="s">
        <v>2558</v>
      </c>
      <c r="O820" t="s">
        <v>2603</v>
      </c>
      <c r="P820" t="s">
        <v>2568</v>
      </c>
      <c r="Q820" t="s">
        <v>2586</v>
      </c>
      <c r="R820" t="s">
        <v>2603</v>
      </c>
      <c r="S820" t="s">
        <v>2606</v>
      </c>
      <c r="T820">
        <v>3</v>
      </c>
      <c r="U820" s="2">
        <v>62926.96</v>
      </c>
      <c r="V820" s="3">
        <v>0</v>
      </c>
      <c r="W820" s="2">
        <v>188780.88</v>
      </c>
      <c r="X820" s="2">
        <v>27643.439999999999</v>
      </c>
      <c r="Y820" s="3">
        <v>0.1464313547007515</v>
      </c>
      <c r="Z820" t="s">
        <v>1494</v>
      </c>
      <c r="AA820" t="s">
        <v>1500</v>
      </c>
      <c r="AB820" t="s">
        <v>1501</v>
      </c>
      <c r="AC820">
        <v>0</v>
      </c>
      <c r="AD820">
        <v>2025</v>
      </c>
      <c r="AE820" t="s">
        <v>2816</v>
      </c>
      <c r="AF820" t="s">
        <v>2840</v>
      </c>
      <c r="AG820" t="s">
        <v>2846</v>
      </c>
      <c r="AH820" t="s">
        <v>2848</v>
      </c>
      <c r="AI820">
        <v>1</v>
      </c>
    </row>
    <row r="821" spans="1:35" x14ac:dyDescent="0.3">
      <c r="A821" t="s">
        <v>790</v>
      </c>
      <c r="B821">
        <v>2</v>
      </c>
      <c r="C821" s="1">
        <v>45921</v>
      </c>
      <c r="D821" s="1">
        <v>45921</v>
      </c>
      <c r="E821" t="s">
        <v>1214</v>
      </c>
      <c r="F821" t="s">
        <v>1989</v>
      </c>
      <c r="G821" t="s">
        <v>1382</v>
      </c>
      <c r="H821" t="s">
        <v>2697</v>
      </c>
      <c r="I821" t="s">
        <v>2740</v>
      </c>
      <c r="J821" t="s">
        <v>2762</v>
      </c>
      <c r="K821" t="s">
        <v>1483</v>
      </c>
      <c r="L821" t="s">
        <v>2781</v>
      </c>
      <c r="M821" t="s">
        <v>2558</v>
      </c>
      <c r="N821" t="s">
        <v>2558</v>
      </c>
      <c r="O821" t="s">
        <v>2603</v>
      </c>
      <c r="P821" t="s">
        <v>2568</v>
      </c>
      <c r="Q821" t="s">
        <v>2586</v>
      </c>
      <c r="R821" t="s">
        <v>2603</v>
      </c>
      <c r="S821" t="s">
        <v>2606</v>
      </c>
      <c r="T821">
        <v>1</v>
      </c>
      <c r="U821" s="2">
        <v>561.82000000000005</v>
      </c>
      <c r="V821" s="3">
        <v>0.15</v>
      </c>
      <c r="W821" s="2">
        <v>477.55</v>
      </c>
      <c r="X821" s="2">
        <v>-38.51</v>
      </c>
      <c r="Y821" s="3">
        <v>-8.064077059993717E-2</v>
      </c>
      <c r="Z821" t="s">
        <v>1494</v>
      </c>
      <c r="AA821" t="s">
        <v>1500</v>
      </c>
      <c r="AB821" t="s">
        <v>1501</v>
      </c>
      <c r="AC821">
        <v>0</v>
      </c>
      <c r="AD821">
        <v>2025</v>
      </c>
      <c r="AE821" t="s">
        <v>2816</v>
      </c>
      <c r="AF821" t="s">
        <v>2840</v>
      </c>
      <c r="AG821" t="s">
        <v>2846</v>
      </c>
      <c r="AH821" t="s">
        <v>2848</v>
      </c>
      <c r="AI821">
        <v>0</v>
      </c>
    </row>
    <row r="822" spans="1:35" x14ac:dyDescent="0.3">
      <c r="A822" t="s">
        <v>791</v>
      </c>
      <c r="B822">
        <v>1</v>
      </c>
      <c r="C822" s="1">
        <v>45921</v>
      </c>
      <c r="D822" s="1">
        <v>45924</v>
      </c>
      <c r="E822" t="s">
        <v>1143</v>
      </c>
      <c r="F822" t="s">
        <v>2038</v>
      </c>
      <c r="G822" t="s">
        <v>1448</v>
      </c>
      <c r="H822" t="s">
        <v>2679</v>
      </c>
      <c r="I822" t="s">
        <v>2739</v>
      </c>
      <c r="J822" t="s">
        <v>2758</v>
      </c>
      <c r="K822" t="s">
        <v>1480</v>
      </c>
      <c r="L822" t="s">
        <v>2789</v>
      </c>
      <c r="M822" t="s">
        <v>2551</v>
      </c>
      <c r="N822" t="s">
        <v>2574</v>
      </c>
      <c r="O822" t="s">
        <v>2602</v>
      </c>
      <c r="R822" t="s">
        <v>2790</v>
      </c>
      <c r="S822" t="s">
        <v>2606</v>
      </c>
      <c r="T822">
        <v>1</v>
      </c>
      <c r="U822" s="2">
        <v>579.75</v>
      </c>
      <c r="V822" s="3">
        <v>0</v>
      </c>
      <c r="W822" s="2">
        <v>579.75</v>
      </c>
      <c r="X822" s="2">
        <v>188.26</v>
      </c>
      <c r="Y822" s="3">
        <v>0.32472617507546347</v>
      </c>
      <c r="Z822" t="s">
        <v>1494</v>
      </c>
      <c r="AA822" t="s">
        <v>1498</v>
      </c>
      <c r="AB822" t="s">
        <v>1501</v>
      </c>
      <c r="AC822">
        <v>3</v>
      </c>
      <c r="AD822">
        <v>2025</v>
      </c>
      <c r="AE822" t="s">
        <v>2816</v>
      </c>
      <c r="AF822" t="s">
        <v>2840</v>
      </c>
      <c r="AG822" t="s">
        <v>2846</v>
      </c>
      <c r="AH822" t="s">
        <v>2848</v>
      </c>
      <c r="AI822">
        <v>1</v>
      </c>
    </row>
    <row r="823" spans="1:35" x14ac:dyDescent="0.3">
      <c r="A823" t="s">
        <v>792</v>
      </c>
      <c r="B823">
        <v>1</v>
      </c>
      <c r="C823" s="1">
        <v>45921</v>
      </c>
      <c r="D823" s="1">
        <v>45923</v>
      </c>
      <c r="E823" t="s">
        <v>1013</v>
      </c>
      <c r="F823" t="s">
        <v>1651</v>
      </c>
      <c r="G823" t="s">
        <v>1386</v>
      </c>
      <c r="H823" t="s">
        <v>2686</v>
      </c>
      <c r="I823" t="s">
        <v>2740</v>
      </c>
      <c r="J823" t="s">
        <v>2760</v>
      </c>
      <c r="K823" t="s">
        <v>1480</v>
      </c>
      <c r="L823" t="s">
        <v>2789</v>
      </c>
      <c r="M823" t="s">
        <v>2552</v>
      </c>
      <c r="N823" t="s">
        <v>2575</v>
      </c>
      <c r="O823" t="s">
        <v>2603</v>
      </c>
      <c r="R823" t="s">
        <v>2790</v>
      </c>
      <c r="S823" t="s">
        <v>2606</v>
      </c>
      <c r="T823">
        <v>1</v>
      </c>
      <c r="U823" s="2">
        <v>1094.7</v>
      </c>
      <c r="V823" s="3">
        <v>0</v>
      </c>
      <c r="W823" s="2">
        <v>1094.7</v>
      </c>
      <c r="X823" s="2">
        <v>63.98</v>
      </c>
      <c r="Y823" s="3">
        <v>5.8445236137754632E-2</v>
      </c>
      <c r="Z823" t="s">
        <v>1496</v>
      </c>
      <c r="AA823" t="s">
        <v>1498</v>
      </c>
      <c r="AB823" t="s">
        <v>1501</v>
      </c>
      <c r="AC823">
        <v>2</v>
      </c>
      <c r="AD823">
        <v>2025</v>
      </c>
      <c r="AE823" t="s">
        <v>2816</v>
      </c>
      <c r="AF823" t="s">
        <v>2840</v>
      </c>
      <c r="AG823" t="s">
        <v>2846</v>
      </c>
      <c r="AH823" t="s">
        <v>2848</v>
      </c>
      <c r="AI823">
        <v>1</v>
      </c>
    </row>
    <row r="824" spans="1:35" x14ac:dyDescent="0.3">
      <c r="A824" t="s">
        <v>793</v>
      </c>
      <c r="B824">
        <v>1</v>
      </c>
      <c r="C824" s="1">
        <v>45922</v>
      </c>
      <c r="D824" s="1">
        <v>45923</v>
      </c>
      <c r="E824" t="s">
        <v>1185</v>
      </c>
      <c r="F824" t="s">
        <v>1723</v>
      </c>
      <c r="G824" t="s">
        <v>1334</v>
      </c>
      <c r="H824" t="s">
        <v>2691</v>
      </c>
      <c r="I824" t="s">
        <v>2740</v>
      </c>
      <c r="J824" t="s">
        <v>2761</v>
      </c>
      <c r="K824" t="s">
        <v>1486</v>
      </c>
      <c r="L824" t="s">
        <v>2776</v>
      </c>
      <c r="M824" t="s">
        <v>2556</v>
      </c>
      <c r="N824" t="s">
        <v>2574</v>
      </c>
      <c r="O824" t="s">
        <v>2602</v>
      </c>
      <c r="P824" t="s">
        <v>2551</v>
      </c>
      <c r="Q824" t="s">
        <v>2574</v>
      </c>
      <c r="R824" t="s">
        <v>2602</v>
      </c>
      <c r="S824" t="s">
        <v>2608</v>
      </c>
      <c r="T824">
        <v>1</v>
      </c>
      <c r="U824" s="2">
        <v>1178.5899999999999</v>
      </c>
      <c r="V824" s="3">
        <v>0</v>
      </c>
      <c r="W824" s="2">
        <v>1178.5899999999999</v>
      </c>
      <c r="X824" s="2">
        <v>152.63999999999999</v>
      </c>
      <c r="Y824" s="3">
        <v>0.12951068649827341</v>
      </c>
      <c r="Z824" t="s">
        <v>1494</v>
      </c>
      <c r="AA824" t="s">
        <v>1498</v>
      </c>
      <c r="AB824" t="s">
        <v>1501</v>
      </c>
      <c r="AC824">
        <v>1</v>
      </c>
      <c r="AD824">
        <v>2025</v>
      </c>
      <c r="AE824" t="s">
        <v>2816</v>
      </c>
      <c r="AF824" t="s">
        <v>2840</v>
      </c>
      <c r="AG824" t="s">
        <v>2846</v>
      </c>
      <c r="AH824" t="s">
        <v>2848</v>
      </c>
      <c r="AI824">
        <v>1</v>
      </c>
    </row>
    <row r="825" spans="1:35" x14ac:dyDescent="0.3">
      <c r="A825" t="s">
        <v>794</v>
      </c>
      <c r="B825">
        <v>1</v>
      </c>
      <c r="C825" s="1">
        <v>45923</v>
      </c>
      <c r="D825" s="1">
        <v>45924</v>
      </c>
      <c r="E825" t="s">
        <v>1106</v>
      </c>
      <c r="F825" t="s">
        <v>1936</v>
      </c>
      <c r="G825" t="s">
        <v>1338</v>
      </c>
      <c r="H825" t="s">
        <v>2693</v>
      </c>
      <c r="I825" t="s">
        <v>2740</v>
      </c>
      <c r="J825" t="s">
        <v>2761</v>
      </c>
      <c r="K825" t="s">
        <v>1487</v>
      </c>
      <c r="L825" t="s">
        <v>2785</v>
      </c>
      <c r="M825" t="s">
        <v>2554</v>
      </c>
      <c r="N825" t="s">
        <v>2577</v>
      </c>
      <c r="O825" t="s">
        <v>2601</v>
      </c>
      <c r="P825" t="s">
        <v>2550</v>
      </c>
      <c r="Q825" t="s">
        <v>2573</v>
      </c>
      <c r="R825" t="s">
        <v>2601</v>
      </c>
      <c r="S825" t="s">
        <v>2608</v>
      </c>
      <c r="T825">
        <v>1</v>
      </c>
      <c r="U825" s="2">
        <v>1151.02</v>
      </c>
      <c r="V825" s="3">
        <v>0</v>
      </c>
      <c r="W825" s="2">
        <v>1151.02</v>
      </c>
      <c r="X825" s="2">
        <v>149.55000000000001</v>
      </c>
      <c r="Y825" s="3">
        <v>0.12992823756320479</v>
      </c>
      <c r="Z825" t="s">
        <v>1496</v>
      </c>
      <c r="AA825" t="s">
        <v>1500</v>
      </c>
      <c r="AB825" t="s">
        <v>1501</v>
      </c>
      <c r="AC825">
        <v>1</v>
      </c>
      <c r="AD825">
        <v>2025</v>
      </c>
      <c r="AE825" t="s">
        <v>2816</v>
      </c>
      <c r="AF825" t="s">
        <v>2840</v>
      </c>
      <c r="AG825" t="s">
        <v>2846</v>
      </c>
      <c r="AH825" t="s">
        <v>2848</v>
      </c>
      <c r="AI825">
        <v>1</v>
      </c>
    </row>
    <row r="826" spans="1:35" x14ac:dyDescent="0.3">
      <c r="A826" t="s">
        <v>795</v>
      </c>
      <c r="B826">
        <v>2</v>
      </c>
      <c r="C826" s="1">
        <v>45923</v>
      </c>
      <c r="D826" s="1">
        <v>45926</v>
      </c>
      <c r="E826" t="s">
        <v>1108</v>
      </c>
      <c r="F826" t="s">
        <v>1775</v>
      </c>
      <c r="G826" t="s">
        <v>1382</v>
      </c>
      <c r="H826" t="s">
        <v>2697</v>
      </c>
      <c r="I826" t="s">
        <v>2740</v>
      </c>
      <c r="J826" t="s">
        <v>2762</v>
      </c>
      <c r="K826" t="s">
        <v>1480</v>
      </c>
      <c r="L826" t="s">
        <v>2789</v>
      </c>
      <c r="M826" t="s">
        <v>2565</v>
      </c>
      <c r="N826" t="s">
        <v>2583</v>
      </c>
      <c r="O826" t="s">
        <v>2604</v>
      </c>
      <c r="R826" t="s">
        <v>2790</v>
      </c>
      <c r="S826" t="s">
        <v>2608</v>
      </c>
      <c r="T826">
        <v>1</v>
      </c>
      <c r="U826" s="2">
        <v>561.82000000000005</v>
      </c>
      <c r="V826" s="3">
        <v>0</v>
      </c>
      <c r="W826" s="2">
        <v>561.82000000000005</v>
      </c>
      <c r="X826" s="2">
        <v>45.76</v>
      </c>
      <c r="Y826" s="3">
        <v>8.1449574596845958E-2</v>
      </c>
      <c r="Z826" t="s">
        <v>1496</v>
      </c>
      <c r="AA826" t="s">
        <v>1498</v>
      </c>
      <c r="AB826" t="s">
        <v>1501</v>
      </c>
      <c r="AC826">
        <v>3</v>
      </c>
      <c r="AD826">
        <v>2025</v>
      </c>
      <c r="AE826" t="s">
        <v>2816</v>
      </c>
      <c r="AF826" t="s">
        <v>2840</v>
      </c>
      <c r="AG826" t="s">
        <v>2846</v>
      </c>
      <c r="AH826" t="s">
        <v>2848</v>
      </c>
      <c r="AI826">
        <v>1</v>
      </c>
    </row>
    <row r="827" spans="1:35" x14ac:dyDescent="0.3">
      <c r="A827" t="s">
        <v>796</v>
      </c>
      <c r="B827">
        <v>1</v>
      </c>
      <c r="C827" s="1">
        <v>45926</v>
      </c>
      <c r="D827" s="1">
        <v>45929</v>
      </c>
      <c r="E827" t="s">
        <v>1009</v>
      </c>
      <c r="F827" t="s">
        <v>1819</v>
      </c>
      <c r="G827" t="s">
        <v>1429</v>
      </c>
      <c r="H827" t="s">
        <v>2626</v>
      </c>
      <c r="I827" t="s">
        <v>2737</v>
      </c>
      <c r="J827" t="s">
        <v>2745</v>
      </c>
      <c r="K827" t="s">
        <v>1480</v>
      </c>
      <c r="L827" t="s">
        <v>2789</v>
      </c>
      <c r="M827" t="s">
        <v>2556</v>
      </c>
      <c r="N827" t="s">
        <v>2574</v>
      </c>
      <c r="O827" t="s">
        <v>2602</v>
      </c>
      <c r="R827" t="s">
        <v>2790</v>
      </c>
      <c r="S827" t="s">
        <v>2608</v>
      </c>
      <c r="T827">
        <v>1</v>
      </c>
      <c r="U827" s="2">
        <v>63166.03</v>
      </c>
      <c r="V827" s="3">
        <v>0</v>
      </c>
      <c r="W827" s="2">
        <v>63166.03</v>
      </c>
      <c r="X827" s="2">
        <v>9252.8799999999992</v>
      </c>
      <c r="Y827" s="3">
        <v>0.14648506483627349</v>
      </c>
      <c r="Z827" t="s">
        <v>1496</v>
      </c>
      <c r="AA827" t="s">
        <v>1498</v>
      </c>
      <c r="AB827" t="s">
        <v>1501</v>
      </c>
      <c r="AC827">
        <v>3</v>
      </c>
      <c r="AD827">
        <v>2025</v>
      </c>
      <c r="AE827" t="s">
        <v>2816</v>
      </c>
      <c r="AF827" t="s">
        <v>2840</v>
      </c>
      <c r="AG827" t="s">
        <v>2846</v>
      </c>
      <c r="AH827" t="s">
        <v>2848</v>
      </c>
      <c r="AI827">
        <v>1</v>
      </c>
    </row>
    <row r="828" spans="1:35" x14ac:dyDescent="0.3">
      <c r="A828" t="s">
        <v>797</v>
      </c>
      <c r="B828">
        <v>1</v>
      </c>
      <c r="C828" s="1">
        <v>45926</v>
      </c>
      <c r="D828" s="1">
        <v>45927</v>
      </c>
      <c r="E828" t="s">
        <v>1127</v>
      </c>
      <c r="F828" t="s">
        <v>1689</v>
      </c>
      <c r="G828" t="s">
        <v>1401</v>
      </c>
      <c r="H828" t="s">
        <v>2618</v>
      </c>
      <c r="I828" t="s">
        <v>2737</v>
      </c>
      <c r="J828" t="s">
        <v>2744</v>
      </c>
      <c r="K828" t="s">
        <v>1478</v>
      </c>
      <c r="L828" t="s">
        <v>2782</v>
      </c>
      <c r="M828" t="s">
        <v>2565</v>
      </c>
      <c r="N828" t="s">
        <v>2589</v>
      </c>
      <c r="O828" t="s">
        <v>2604</v>
      </c>
      <c r="P828" t="s">
        <v>2565</v>
      </c>
      <c r="Q828" t="s">
        <v>2583</v>
      </c>
      <c r="R828" t="s">
        <v>2604</v>
      </c>
      <c r="S828" t="s">
        <v>2606</v>
      </c>
      <c r="T828">
        <v>3</v>
      </c>
      <c r="U828" s="2">
        <v>50900.49</v>
      </c>
      <c r="V828" s="3">
        <v>0</v>
      </c>
      <c r="W828" s="2">
        <v>152701.47</v>
      </c>
      <c r="X828" s="2">
        <v>23792.22</v>
      </c>
      <c r="Y828" s="3">
        <v>0.15580871618328229</v>
      </c>
      <c r="Z828" t="s">
        <v>1494</v>
      </c>
      <c r="AA828" t="s">
        <v>1498</v>
      </c>
      <c r="AB828" t="s">
        <v>1501</v>
      </c>
      <c r="AC828">
        <v>1</v>
      </c>
      <c r="AD828">
        <v>2025</v>
      </c>
      <c r="AE828" t="s">
        <v>2816</v>
      </c>
      <c r="AF828" t="s">
        <v>2840</v>
      </c>
      <c r="AG828" t="s">
        <v>2846</v>
      </c>
      <c r="AH828" t="s">
        <v>2848</v>
      </c>
      <c r="AI828">
        <v>1</v>
      </c>
    </row>
    <row r="829" spans="1:35" x14ac:dyDescent="0.3">
      <c r="A829" t="s">
        <v>798</v>
      </c>
      <c r="B829">
        <v>2</v>
      </c>
      <c r="C829" s="1">
        <v>45926</v>
      </c>
      <c r="D829" s="1">
        <v>45927</v>
      </c>
      <c r="E829" t="s">
        <v>1139</v>
      </c>
      <c r="F829" t="s">
        <v>1720</v>
      </c>
      <c r="G829" t="s">
        <v>1401</v>
      </c>
      <c r="H829" t="s">
        <v>2618</v>
      </c>
      <c r="I829" t="s">
        <v>2737</v>
      </c>
      <c r="J829" t="s">
        <v>2744</v>
      </c>
      <c r="K829" t="s">
        <v>1480</v>
      </c>
      <c r="L829" t="s">
        <v>2789</v>
      </c>
      <c r="M829" t="s">
        <v>2554</v>
      </c>
      <c r="N829" t="s">
        <v>2577</v>
      </c>
      <c r="O829" t="s">
        <v>2601</v>
      </c>
      <c r="R829" t="s">
        <v>2790</v>
      </c>
      <c r="S829" t="s">
        <v>2608</v>
      </c>
      <c r="T829">
        <v>1</v>
      </c>
      <c r="U829" s="2">
        <v>50900.49</v>
      </c>
      <c r="V829" s="3">
        <v>0.25</v>
      </c>
      <c r="W829" s="2">
        <v>38175.370000000003</v>
      </c>
      <c r="X829" s="2">
        <v>-4794.38</v>
      </c>
      <c r="Y829" s="3">
        <v>-0.1255883047106027</v>
      </c>
      <c r="Z829" t="s">
        <v>1497</v>
      </c>
      <c r="AA829" t="s">
        <v>1498</v>
      </c>
      <c r="AB829" t="s">
        <v>1501</v>
      </c>
      <c r="AC829">
        <v>1</v>
      </c>
      <c r="AD829">
        <v>2025</v>
      </c>
      <c r="AE829" t="s">
        <v>2816</v>
      </c>
      <c r="AF829" t="s">
        <v>2840</v>
      </c>
      <c r="AG829" t="s">
        <v>2846</v>
      </c>
      <c r="AH829" t="s">
        <v>2848</v>
      </c>
      <c r="AI829">
        <v>1</v>
      </c>
    </row>
    <row r="830" spans="1:35" x14ac:dyDescent="0.3">
      <c r="A830" t="s">
        <v>799</v>
      </c>
      <c r="B830">
        <v>1</v>
      </c>
      <c r="C830" s="1">
        <v>45926</v>
      </c>
      <c r="E830" t="s">
        <v>1182</v>
      </c>
      <c r="F830" t="s">
        <v>1905</v>
      </c>
      <c r="G830" t="s">
        <v>1438</v>
      </c>
      <c r="H830" t="s">
        <v>2621</v>
      </c>
      <c r="I830" t="s">
        <v>2737</v>
      </c>
      <c r="J830" t="s">
        <v>2744</v>
      </c>
      <c r="K830" t="s">
        <v>1480</v>
      </c>
      <c r="L830" t="s">
        <v>2789</v>
      </c>
      <c r="M830" t="s">
        <v>2571</v>
      </c>
      <c r="N830" t="s">
        <v>2590</v>
      </c>
      <c r="O830" t="s">
        <v>2605</v>
      </c>
      <c r="R830" t="s">
        <v>2790</v>
      </c>
      <c r="S830" t="s">
        <v>2606</v>
      </c>
      <c r="T830">
        <v>3</v>
      </c>
      <c r="U830" s="2">
        <v>77432.27</v>
      </c>
      <c r="V830" s="3">
        <v>0.15</v>
      </c>
      <c r="W830" s="2">
        <v>197452.29</v>
      </c>
      <c r="X830" s="2">
        <v>-8691.9599999999991</v>
      </c>
      <c r="Y830" s="3">
        <v>-4.4020558080131653E-2</v>
      </c>
      <c r="Z830" t="s">
        <v>1496</v>
      </c>
      <c r="AA830" t="s">
        <v>1498</v>
      </c>
      <c r="AB830" t="s">
        <v>1503</v>
      </c>
      <c r="AD830">
        <v>2025</v>
      </c>
      <c r="AE830" t="s">
        <v>2816</v>
      </c>
      <c r="AF830" t="s">
        <v>2840</v>
      </c>
      <c r="AG830" t="s">
        <v>2846</v>
      </c>
      <c r="AH830" t="s">
        <v>2848</v>
      </c>
      <c r="AI830">
        <v>1</v>
      </c>
    </row>
    <row r="831" spans="1:35" x14ac:dyDescent="0.3">
      <c r="A831" t="s">
        <v>800</v>
      </c>
      <c r="B831">
        <v>1</v>
      </c>
      <c r="C831" s="1">
        <v>45927</v>
      </c>
      <c r="D831" s="1">
        <v>45928</v>
      </c>
      <c r="E831" t="s">
        <v>1071</v>
      </c>
      <c r="F831" t="s">
        <v>1663</v>
      </c>
      <c r="G831" t="s">
        <v>1406</v>
      </c>
      <c r="H831" t="s">
        <v>2712</v>
      </c>
      <c r="I831" t="s">
        <v>2741</v>
      </c>
      <c r="J831" t="s">
        <v>2766</v>
      </c>
      <c r="K831" t="s">
        <v>1486</v>
      </c>
      <c r="L831" t="s">
        <v>2776</v>
      </c>
      <c r="M831" t="s">
        <v>2562</v>
      </c>
      <c r="N831" t="s">
        <v>2574</v>
      </c>
      <c r="O831" t="s">
        <v>2602</v>
      </c>
      <c r="P831" t="s">
        <v>2551</v>
      </c>
      <c r="Q831" t="s">
        <v>2574</v>
      </c>
      <c r="R831" t="s">
        <v>2602</v>
      </c>
      <c r="S831" t="s">
        <v>2606</v>
      </c>
      <c r="T831">
        <v>1</v>
      </c>
      <c r="U831" s="2">
        <v>150.38</v>
      </c>
      <c r="V831" s="3">
        <v>0</v>
      </c>
      <c r="W831" s="2">
        <v>150.38</v>
      </c>
      <c r="X831" s="2">
        <v>48.61</v>
      </c>
      <c r="Y831" s="3">
        <v>0.32324777231014762</v>
      </c>
      <c r="Z831" t="s">
        <v>1495</v>
      </c>
      <c r="AA831" t="s">
        <v>1498</v>
      </c>
      <c r="AB831" t="s">
        <v>1501</v>
      </c>
      <c r="AC831">
        <v>1</v>
      </c>
      <c r="AD831">
        <v>2025</v>
      </c>
      <c r="AE831" t="s">
        <v>2816</v>
      </c>
      <c r="AF831" t="s">
        <v>2840</v>
      </c>
      <c r="AG831" t="s">
        <v>2846</v>
      </c>
      <c r="AH831" t="s">
        <v>2848</v>
      </c>
      <c r="AI831">
        <v>1</v>
      </c>
    </row>
    <row r="832" spans="1:35" x14ac:dyDescent="0.3">
      <c r="A832" t="s">
        <v>801</v>
      </c>
      <c r="B832">
        <v>1</v>
      </c>
      <c r="C832" s="1">
        <v>45927</v>
      </c>
      <c r="D832" s="1">
        <v>45930</v>
      </c>
      <c r="E832" t="s">
        <v>1105</v>
      </c>
      <c r="F832" t="s">
        <v>1870</v>
      </c>
      <c r="G832" t="s">
        <v>1374</v>
      </c>
      <c r="H832" t="s">
        <v>2707</v>
      </c>
      <c r="I832" t="s">
        <v>2741</v>
      </c>
      <c r="J832" t="s">
        <v>2765</v>
      </c>
      <c r="K832" t="s">
        <v>1480</v>
      </c>
      <c r="L832" t="s">
        <v>2789</v>
      </c>
      <c r="M832" t="s">
        <v>2571</v>
      </c>
      <c r="N832" t="s">
        <v>2590</v>
      </c>
      <c r="O832" t="s">
        <v>2605</v>
      </c>
      <c r="R832" t="s">
        <v>2790</v>
      </c>
      <c r="S832" t="s">
        <v>2606</v>
      </c>
      <c r="T832">
        <v>1</v>
      </c>
      <c r="U832" s="2">
        <v>1645.17</v>
      </c>
      <c r="V832" s="3">
        <v>0</v>
      </c>
      <c r="W832" s="2">
        <v>1645.17</v>
      </c>
      <c r="X832" s="2">
        <v>340.93</v>
      </c>
      <c r="Y832" s="3">
        <v>0.20723086367974131</v>
      </c>
      <c r="Z832" t="s">
        <v>1496</v>
      </c>
      <c r="AA832" t="s">
        <v>1498</v>
      </c>
      <c r="AB832" t="s">
        <v>1501</v>
      </c>
      <c r="AC832">
        <v>3</v>
      </c>
      <c r="AD832">
        <v>2025</v>
      </c>
      <c r="AE832" t="s">
        <v>2816</v>
      </c>
      <c r="AF832" t="s">
        <v>2840</v>
      </c>
      <c r="AG832" t="s">
        <v>2846</v>
      </c>
      <c r="AH832" t="s">
        <v>2848</v>
      </c>
      <c r="AI832">
        <v>1</v>
      </c>
    </row>
    <row r="833" spans="1:35" x14ac:dyDescent="0.3">
      <c r="A833" t="s">
        <v>802</v>
      </c>
      <c r="B833">
        <v>2</v>
      </c>
      <c r="C833" s="1">
        <v>45929</v>
      </c>
      <c r="D833" s="1">
        <v>45931</v>
      </c>
      <c r="E833" t="s">
        <v>965</v>
      </c>
      <c r="F833" t="s">
        <v>1685</v>
      </c>
      <c r="G833" t="s">
        <v>1414</v>
      </c>
      <c r="H833" t="s">
        <v>2641</v>
      </c>
      <c r="I833" t="s">
        <v>2738</v>
      </c>
      <c r="J833" t="s">
        <v>2749</v>
      </c>
      <c r="K833" t="s">
        <v>1480</v>
      </c>
      <c r="L833" t="s">
        <v>2789</v>
      </c>
      <c r="M833" t="s">
        <v>2569</v>
      </c>
      <c r="N833" t="s">
        <v>2587</v>
      </c>
      <c r="O833" t="s">
        <v>2604</v>
      </c>
      <c r="R833" t="s">
        <v>2790</v>
      </c>
      <c r="S833" t="s">
        <v>2608</v>
      </c>
      <c r="T833">
        <v>1</v>
      </c>
      <c r="U833" s="2">
        <v>20329.61</v>
      </c>
      <c r="V833" s="3">
        <v>0.2</v>
      </c>
      <c r="W833" s="2">
        <v>16263.69</v>
      </c>
      <c r="X833" s="2">
        <v>896.46</v>
      </c>
      <c r="Y833" s="3">
        <v>5.5120332470675472E-2</v>
      </c>
      <c r="Z833" t="s">
        <v>1495</v>
      </c>
      <c r="AA833" t="s">
        <v>1498</v>
      </c>
      <c r="AB833" t="s">
        <v>1501</v>
      </c>
      <c r="AC833">
        <v>2</v>
      </c>
      <c r="AD833">
        <v>2025</v>
      </c>
      <c r="AE833" t="s">
        <v>2816</v>
      </c>
      <c r="AF833" t="s">
        <v>2840</v>
      </c>
      <c r="AG833" t="s">
        <v>2846</v>
      </c>
      <c r="AH833" t="s">
        <v>2848</v>
      </c>
      <c r="AI833">
        <v>1</v>
      </c>
    </row>
    <row r="834" spans="1:35" x14ac:dyDescent="0.3">
      <c r="A834" t="s">
        <v>803</v>
      </c>
      <c r="B834">
        <v>1</v>
      </c>
      <c r="C834" s="1">
        <v>45929</v>
      </c>
      <c r="D834" s="1">
        <v>45930</v>
      </c>
      <c r="E834" t="s">
        <v>1020</v>
      </c>
      <c r="F834" t="s">
        <v>1746</v>
      </c>
      <c r="G834" t="s">
        <v>1432</v>
      </c>
      <c r="H834" t="s">
        <v>2651</v>
      </c>
      <c r="I834" t="s">
        <v>2738</v>
      </c>
      <c r="J834" t="s">
        <v>2751</v>
      </c>
      <c r="K834" t="s">
        <v>1480</v>
      </c>
      <c r="L834" t="s">
        <v>2789</v>
      </c>
      <c r="M834" t="s">
        <v>2569</v>
      </c>
      <c r="N834" t="s">
        <v>2587</v>
      </c>
      <c r="O834" t="s">
        <v>2604</v>
      </c>
      <c r="R834" t="s">
        <v>2790</v>
      </c>
      <c r="S834" t="s">
        <v>2608</v>
      </c>
      <c r="T834">
        <v>1</v>
      </c>
      <c r="U834" s="2">
        <v>2490.0500000000002</v>
      </c>
      <c r="V834" s="3">
        <v>0</v>
      </c>
      <c r="W834" s="2">
        <v>2490.0500000000002</v>
      </c>
      <c r="X834" s="2">
        <v>580.75</v>
      </c>
      <c r="Y834" s="3">
        <v>0.2332282484287464</v>
      </c>
      <c r="Z834" t="s">
        <v>1493</v>
      </c>
      <c r="AA834" t="s">
        <v>1498</v>
      </c>
      <c r="AB834" t="s">
        <v>1501</v>
      </c>
      <c r="AC834">
        <v>1</v>
      </c>
      <c r="AD834">
        <v>2025</v>
      </c>
      <c r="AE834" t="s">
        <v>2816</v>
      </c>
      <c r="AF834" t="s">
        <v>2840</v>
      </c>
      <c r="AG834" t="s">
        <v>2846</v>
      </c>
      <c r="AH834" t="s">
        <v>2848</v>
      </c>
      <c r="AI834">
        <v>1</v>
      </c>
    </row>
    <row r="835" spans="1:35" x14ac:dyDescent="0.3">
      <c r="A835" t="s">
        <v>804</v>
      </c>
      <c r="B835">
        <v>1</v>
      </c>
      <c r="C835" s="1">
        <v>45929</v>
      </c>
      <c r="D835" s="1">
        <v>45930</v>
      </c>
      <c r="E835" t="s">
        <v>1189</v>
      </c>
      <c r="F835" t="s">
        <v>1731</v>
      </c>
      <c r="G835" t="s">
        <v>1436</v>
      </c>
      <c r="H835" t="s">
        <v>2677</v>
      </c>
      <c r="I835" t="s">
        <v>2739</v>
      </c>
      <c r="J835" t="s">
        <v>2758</v>
      </c>
      <c r="K835" t="s">
        <v>1488</v>
      </c>
      <c r="L835" t="s">
        <v>2780</v>
      </c>
      <c r="M835" t="s">
        <v>2568</v>
      </c>
      <c r="N835" t="s">
        <v>2586</v>
      </c>
      <c r="O835" t="s">
        <v>2603</v>
      </c>
      <c r="P835" t="s">
        <v>2552</v>
      </c>
      <c r="Q835" t="s">
        <v>2575</v>
      </c>
      <c r="R835" t="s">
        <v>2603</v>
      </c>
      <c r="S835" t="s">
        <v>2606</v>
      </c>
      <c r="T835">
        <v>2</v>
      </c>
      <c r="U835" s="2">
        <v>546.80999999999995</v>
      </c>
      <c r="V835" s="3">
        <v>0</v>
      </c>
      <c r="W835" s="2">
        <v>1093.6199999999999</v>
      </c>
      <c r="X835" s="2">
        <v>313.10000000000002</v>
      </c>
      <c r="Y835" s="3">
        <v>0.28629688557268518</v>
      </c>
      <c r="Z835" t="s">
        <v>1494</v>
      </c>
      <c r="AA835" t="s">
        <v>1499</v>
      </c>
      <c r="AB835" t="s">
        <v>1501</v>
      </c>
      <c r="AC835">
        <v>1</v>
      </c>
      <c r="AD835">
        <v>2025</v>
      </c>
      <c r="AE835" t="s">
        <v>2816</v>
      </c>
      <c r="AF835" t="s">
        <v>2840</v>
      </c>
      <c r="AG835" t="s">
        <v>2846</v>
      </c>
      <c r="AH835" t="s">
        <v>2848</v>
      </c>
      <c r="AI835">
        <v>1</v>
      </c>
    </row>
    <row r="836" spans="1:35" x14ac:dyDescent="0.3">
      <c r="A836" t="s">
        <v>805</v>
      </c>
      <c r="B836">
        <v>1</v>
      </c>
      <c r="C836" s="1">
        <v>45930</v>
      </c>
      <c r="D836" s="1">
        <v>45930</v>
      </c>
      <c r="E836" t="s">
        <v>1166</v>
      </c>
      <c r="F836" t="s">
        <v>1725</v>
      </c>
      <c r="G836" t="s">
        <v>1374</v>
      </c>
      <c r="H836" t="s">
        <v>2707</v>
      </c>
      <c r="I836" t="s">
        <v>2741</v>
      </c>
      <c r="J836" t="s">
        <v>2765</v>
      </c>
      <c r="K836" t="s">
        <v>1479</v>
      </c>
      <c r="L836" t="s">
        <v>2786</v>
      </c>
      <c r="M836" t="s">
        <v>2572</v>
      </c>
      <c r="N836" t="s">
        <v>2582</v>
      </c>
      <c r="O836" t="s">
        <v>2601</v>
      </c>
      <c r="P836" t="s">
        <v>2564</v>
      </c>
      <c r="Q836" t="s">
        <v>2582</v>
      </c>
      <c r="R836" t="s">
        <v>2601</v>
      </c>
      <c r="S836" t="s">
        <v>2608</v>
      </c>
      <c r="T836">
        <v>2</v>
      </c>
      <c r="U836" s="2">
        <v>1645.17</v>
      </c>
      <c r="V836" s="3">
        <v>0</v>
      </c>
      <c r="W836" s="2">
        <v>3290.34</v>
      </c>
      <c r="X836" s="2">
        <v>681.86</v>
      </c>
      <c r="Y836" s="3">
        <v>0.20723086367974131</v>
      </c>
      <c r="Z836" t="s">
        <v>1496</v>
      </c>
      <c r="AA836" t="s">
        <v>1499</v>
      </c>
      <c r="AB836" t="s">
        <v>1501</v>
      </c>
      <c r="AC836">
        <v>0</v>
      </c>
      <c r="AD836">
        <v>2025</v>
      </c>
      <c r="AE836" t="s">
        <v>2816</v>
      </c>
      <c r="AF836" t="s">
        <v>2840</v>
      </c>
      <c r="AG836" t="s">
        <v>2846</v>
      </c>
      <c r="AH836" t="s">
        <v>2848</v>
      </c>
      <c r="AI836">
        <v>1</v>
      </c>
    </row>
    <row r="837" spans="1:35" x14ac:dyDescent="0.3">
      <c r="A837" t="s">
        <v>806</v>
      </c>
      <c r="B837">
        <v>1</v>
      </c>
      <c r="C837" s="1">
        <v>45930</v>
      </c>
      <c r="D837" s="1">
        <v>45932</v>
      </c>
      <c r="E837" t="s">
        <v>1304</v>
      </c>
      <c r="F837" t="s">
        <v>1732</v>
      </c>
      <c r="G837" t="s">
        <v>1375</v>
      </c>
      <c r="H837" t="s">
        <v>2622</v>
      </c>
      <c r="I837" t="s">
        <v>2737</v>
      </c>
      <c r="J837" t="s">
        <v>2745</v>
      </c>
      <c r="K837" t="s">
        <v>1480</v>
      </c>
      <c r="L837" t="s">
        <v>2789</v>
      </c>
      <c r="M837" t="s">
        <v>2560</v>
      </c>
      <c r="N837" t="s">
        <v>2579</v>
      </c>
      <c r="O837" t="s">
        <v>2604</v>
      </c>
      <c r="R837" t="s">
        <v>2790</v>
      </c>
      <c r="S837" t="s">
        <v>2606</v>
      </c>
      <c r="T837">
        <v>2</v>
      </c>
      <c r="U837" s="2">
        <v>35534</v>
      </c>
      <c r="V837" s="3">
        <v>0.1</v>
      </c>
      <c r="W837" s="2">
        <v>63961.2</v>
      </c>
      <c r="X837" s="2">
        <v>4496.32</v>
      </c>
      <c r="Y837" s="3">
        <v>7.0297617930870596E-2</v>
      </c>
      <c r="Z837" t="s">
        <v>1496</v>
      </c>
      <c r="AA837" t="s">
        <v>1498</v>
      </c>
      <c r="AB837" t="s">
        <v>1501</v>
      </c>
      <c r="AC837">
        <v>2</v>
      </c>
      <c r="AD837">
        <v>2025</v>
      </c>
      <c r="AE837" t="s">
        <v>2816</v>
      </c>
      <c r="AF837" t="s">
        <v>2840</v>
      </c>
      <c r="AG837" t="s">
        <v>2846</v>
      </c>
      <c r="AH837" t="s">
        <v>2848</v>
      </c>
      <c r="AI837">
        <v>1</v>
      </c>
    </row>
    <row r="838" spans="1:35" x14ac:dyDescent="0.3">
      <c r="A838" t="s">
        <v>807</v>
      </c>
      <c r="B838">
        <v>2</v>
      </c>
      <c r="C838" s="1">
        <v>45931</v>
      </c>
      <c r="D838" s="1">
        <v>45932</v>
      </c>
      <c r="E838" t="s">
        <v>1091</v>
      </c>
      <c r="F838" t="s">
        <v>1709</v>
      </c>
      <c r="G838" t="s">
        <v>1350</v>
      </c>
      <c r="H838" t="s">
        <v>2634</v>
      </c>
      <c r="I838" t="s">
        <v>2737</v>
      </c>
      <c r="J838" t="s">
        <v>2747</v>
      </c>
      <c r="K838" t="s">
        <v>1485</v>
      </c>
      <c r="L838" t="s">
        <v>2775</v>
      </c>
      <c r="M838" t="s">
        <v>2553</v>
      </c>
      <c r="N838" t="s">
        <v>2576</v>
      </c>
      <c r="O838" t="s">
        <v>2602</v>
      </c>
      <c r="P838" t="s">
        <v>2562</v>
      </c>
      <c r="Q838" t="s">
        <v>2574</v>
      </c>
      <c r="R838" t="s">
        <v>2602</v>
      </c>
      <c r="S838" t="s">
        <v>2608</v>
      </c>
      <c r="T838">
        <v>1</v>
      </c>
      <c r="U838" s="2">
        <v>53290.400000000001</v>
      </c>
      <c r="V838" s="3">
        <v>0.1</v>
      </c>
      <c r="W838" s="2">
        <v>47961.36</v>
      </c>
      <c r="X838" s="2">
        <v>1902.64</v>
      </c>
      <c r="Y838" s="3">
        <v>3.9670267898992022E-2</v>
      </c>
      <c r="Z838" t="s">
        <v>1495</v>
      </c>
      <c r="AA838" t="s">
        <v>1499</v>
      </c>
      <c r="AB838" t="s">
        <v>1501</v>
      </c>
      <c r="AC838">
        <v>1</v>
      </c>
      <c r="AD838">
        <v>2025</v>
      </c>
      <c r="AE838" t="s">
        <v>2817</v>
      </c>
      <c r="AF838" t="s">
        <v>2841</v>
      </c>
      <c r="AG838" t="s">
        <v>2847</v>
      </c>
      <c r="AH838" t="s">
        <v>2848</v>
      </c>
      <c r="AI838">
        <v>1</v>
      </c>
    </row>
    <row r="839" spans="1:35" x14ac:dyDescent="0.3">
      <c r="A839" t="s">
        <v>808</v>
      </c>
      <c r="B839">
        <v>1</v>
      </c>
      <c r="C839" s="1">
        <v>45931</v>
      </c>
      <c r="D839" s="1">
        <v>45932</v>
      </c>
      <c r="E839" t="s">
        <v>1057</v>
      </c>
      <c r="F839" t="s">
        <v>1793</v>
      </c>
      <c r="G839" t="s">
        <v>1408</v>
      </c>
      <c r="H839" t="s">
        <v>2680</v>
      </c>
      <c r="I839" t="s">
        <v>2739</v>
      </c>
      <c r="J839" t="s">
        <v>2758</v>
      </c>
      <c r="K839" t="s">
        <v>1483</v>
      </c>
      <c r="L839" t="s">
        <v>2781</v>
      </c>
      <c r="M839" t="s">
        <v>2552</v>
      </c>
      <c r="N839" t="s">
        <v>2575</v>
      </c>
      <c r="O839" t="s">
        <v>2603</v>
      </c>
      <c r="P839" t="s">
        <v>2568</v>
      </c>
      <c r="Q839" t="s">
        <v>2586</v>
      </c>
      <c r="R839" t="s">
        <v>2603</v>
      </c>
      <c r="S839" t="s">
        <v>2606</v>
      </c>
      <c r="T839">
        <v>2</v>
      </c>
      <c r="U839" s="2">
        <v>3284.39</v>
      </c>
      <c r="V839" s="3">
        <v>0</v>
      </c>
      <c r="W839" s="2">
        <v>6568.78</v>
      </c>
      <c r="X839" s="2">
        <v>1775.76</v>
      </c>
      <c r="Y839" s="3">
        <v>0.27033330390118099</v>
      </c>
      <c r="Z839" t="s">
        <v>1495</v>
      </c>
      <c r="AA839" t="s">
        <v>1498</v>
      </c>
      <c r="AB839" t="s">
        <v>1501</v>
      </c>
      <c r="AC839">
        <v>1</v>
      </c>
      <c r="AD839">
        <v>2025</v>
      </c>
      <c r="AE839" t="s">
        <v>2817</v>
      </c>
      <c r="AF839" t="s">
        <v>2841</v>
      </c>
      <c r="AG839" t="s">
        <v>2847</v>
      </c>
      <c r="AH839" t="s">
        <v>2848</v>
      </c>
      <c r="AI839">
        <v>1</v>
      </c>
    </row>
    <row r="840" spans="1:35" x14ac:dyDescent="0.3">
      <c r="A840" t="s">
        <v>809</v>
      </c>
      <c r="B840">
        <v>1</v>
      </c>
      <c r="C840" s="1">
        <v>45932</v>
      </c>
      <c r="D840" s="1">
        <v>45933</v>
      </c>
      <c r="E840" t="s">
        <v>1235</v>
      </c>
      <c r="F840" t="s">
        <v>1688</v>
      </c>
      <c r="G840" t="s">
        <v>1469</v>
      </c>
      <c r="H840" t="s">
        <v>2727</v>
      </c>
      <c r="I840" t="s">
        <v>2742</v>
      </c>
      <c r="J840" t="s">
        <v>2771</v>
      </c>
      <c r="K840" t="s">
        <v>1481</v>
      </c>
      <c r="L840" t="s">
        <v>2777</v>
      </c>
      <c r="M840" t="s">
        <v>2556</v>
      </c>
      <c r="N840" t="s">
        <v>2574</v>
      </c>
      <c r="O840" t="s">
        <v>2602</v>
      </c>
      <c r="P840" t="s">
        <v>2557</v>
      </c>
      <c r="Q840" t="s">
        <v>2576</v>
      </c>
      <c r="R840" t="s">
        <v>2602</v>
      </c>
      <c r="S840" t="s">
        <v>2608</v>
      </c>
      <c r="T840">
        <v>1</v>
      </c>
      <c r="U840" s="2">
        <v>13987.04</v>
      </c>
      <c r="V840" s="3">
        <v>0.1</v>
      </c>
      <c r="W840" s="2">
        <v>12588.34</v>
      </c>
      <c r="X840" s="2">
        <v>2225.0500000000002</v>
      </c>
      <c r="Y840" s="3">
        <v>0.17675483820742049</v>
      </c>
      <c r="Z840" t="s">
        <v>1496</v>
      </c>
      <c r="AA840" t="s">
        <v>1499</v>
      </c>
      <c r="AB840" t="s">
        <v>1501</v>
      </c>
      <c r="AC840">
        <v>1</v>
      </c>
      <c r="AD840">
        <v>2025</v>
      </c>
      <c r="AE840" t="s">
        <v>2817</v>
      </c>
      <c r="AF840" t="s">
        <v>2841</v>
      </c>
      <c r="AG840" t="s">
        <v>2847</v>
      </c>
      <c r="AH840" t="s">
        <v>2848</v>
      </c>
      <c r="AI840">
        <v>1</v>
      </c>
    </row>
    <row r="841" spans="1:35" x14ac:dyDescent="0.3">
      <c r="A841" t="s">
        <v>810</v>
      </c>
      <c r="B841">
        <v>2</v>
      </c>
      <c r="C841" s="1">
        <v>45932</v>
      </c>
      <c r="D841" s="1">
        <v>45933</v>
      </c>
      <c r="E841" t="s">
        <v>1299</v>
      </c>
      <c r="F841" t="s">
        <v>2010</v>
      </c>
      <c r="G841" t="s">
        <v>1364</v>
      </c>
      <c r="H841" t="s">
        <v>2699</v>
      </c>
      <c r="I841" t="s">
        <v>2740</v>
      </c>
      <c r="J841" t="s">
        <v>2762</v>
      </c>
      <c r="K841" t="s">
        <v>1480</v>
      </c>
      <c r="L841" t="s">
        <v>2789</v>
      </c>
      <c r="M841" t="s">
        <v>2570</v>
      </c>
      <c r="N841" t="s">
        <v>2590</v>
      </c>
      <c r="O841" t="s">
        <v>2605</v>
      </c>
      <c r="R841" t="s">
        <v>2790</v>
      </c>
      <c r="S841" t="s">
        <v>2606</v>
      </c>
      <c r="T841">
        <v>1</v>
      </c>
      <c r="U841" s="2">
        <v>590.01</v>
      </c>
      <c r="V841" s="3">
        <v>0</v>
      </c>
      <c r="W841" s="2">
        <v>590.01</v>
      </c>
      <c r="X841" s="2">
        <v>72.55</v>
      </c>
      <c r="Y841" s="3">
        <v>0.12296401755902441</v>
      </c>
      <c r="Z841" t="s">
        <v>1494</v>
      </c>
      <c r="AA841" t="s">
        <v>1498</v>
      </c>
      <c r="AB841" t="s">
        <v>1501</v>
      </c>
      <c r="AC841">
        <v>1</v>
      </c>
      <c r="AD841">
        <v>2025</v>
      </c>
      <c r="AE841" t="s">
        <v>2817</v>
      </c>
      <c r="AF841" t="s">
        <v>2841</v>
      </c>
      <c r="AG841" t="s">
        <v>2847</v>
      </c>
      <c r="AH841" t="s">
        <v>2848</v>
      </c>
      <c r="AI841">
        <v>1</v>
      </c>
    </row>
    <row r="842" spans="1:35" x14ac:dyDescent="0.3">
      <c r="A842" t="s">
        <v>811</v>
      </c>
      <c r="B842">
        <v>1</v>
      </c>
      <c r="C842" s="1">
        <v>45934</v>
      </c>
      <c r="E842" t="s">
        <v>1008</v>
      </c>
      <c r="F842" t="s">
        <v>1884</v>
      </c>
      <c r="G842" t="s">
        <v>1395</v>
      </c>
      <c r="H842" t="s">
        <v>2727</v>
      </c>
      <c r="I842" t="s">
        <v>2742</v>
      </c>
      <c r="J842" t="s">
        <v>2771</v>
      </c>
      <c r="K842" t="s">
        <v>1489</v>
      </c>
      <c r="L842" t="s">
        <v>2787</v>
      </c>
      <c r="M842" t="s">
        <v>2564</v>
      </c>
      <c r="N842" t="s">
        <v>2582</v>
      </c>
      <c r="O842" t="s">
        <v>2601</v>
      </c>
      <c r="P842" t="s">
        <v>2566</v>
      </c>
      <c r="Q842" t="s">
        <v>2584</v>
      </c>
      <c r="R842" t="s">
        <v>2601</v>
      </c>
      <c r="S842" t="s">
        <v>2606</v>
      </c>
      <c r="T842">
        <v>1</v>
      </c>
      <c r="U842" s="2">
        <v>5383.63</v>
      </c>
      <c r="V842" s="3">
        <v>0</v>
      </c>
      <c r="W842" s="2">
        <v>5383.63</v>
      </c>
      <c r="X842" s="2">
        <v>1175.04</v>
      </c>
      <c r="Y842" s="3">
        <v>0.2182616561687932</v>
      </c>
      <c r="Z842" t="s">
        <v>1496</v>
      </c>
      <c r="AA842" t="s">
        <v>1499</v>
      </c>
      <c r="AB842" t="s">
        <v>1503</v>
      </c>
      <c r="AD842">
        <v>2025</v>
      </c>
      <c r="AE842" t="s">
        <v>2817</v>
      </c>
      <c r="AF842" t="s">
        <v>2841</v>
      </c>
      <c r="AG842" t="s">
        <v>2847</v>
      </c>
      <c r="AH842" t="s">
        <v>2848</v>
      </c>
      <c r="AI842">
        <v>1</v>
      </c>
    </row>
    <row r="843" spans="1:35" x14ac:dyDescent="0.3">
      <c r="A843" t="s">
        <v>812</v>
      </c>
      <c r="B843">
        <v>1</v>
      </c>
      <c r="C843" s="1">
        <v>45935</v>
      </c>
      <c r="D843" s="1">
        <v>45937</v>
      </c>
      <c r="E843" t="s">
        <v>1075</v>
      </c>
      <c r="F843" t="s">
        <v>1664</v>
      </c>
      <c r="G843" t="s">
        <v>1361</v>
      </c>
      <c r="H843" t="s">
        <v>2669</v>
      </c>
      <c r="I843" t="s">
        <v>2739</v>
      </c>
      <c r="J843" t="s">
        <v>2756</v>
      </c>
      <c r="K843" t="s">
        <v>1480</v>
      </c>
      <c r="L843" t="s">
        <v>2789</v>
      </c>
      <c r="M843" t="s">
        <v>2570</v>
      </c>
      <c r="N843" t="s">
        <v>2590</v>
      </c>
      <c r="O843" t="s">
        <v>2605</v>
      </c>
      <c r="R843" t="s">
        <v>2790</v>
      </c>
      <c r="S843" t="s">
        <v>2606</v>
      </c>
      <c r="T843">
        <v>1</v>
      </c>
      <c r="U843" s="2">
        <v>4840.8599999999997</v>
      </c>
      <c r="V843" s="3">
        <v>0.1</v>
      </c>
      <c r="W843" s="2">
        <v>4356.7700000000004</v>
      </c>
      <c r="X843" s="2">
        <v>951.36</v>
      </c>
      <c r="Y843" s="3">
        <v>0.21836360422973899</v>
      </c>
      <c r="Z843" t="s">
        <v>1495</v>
      </c>
      <c r="AA843" t="s">
        <v>1499</v>
      </c>
      <c r="AB843" t="s">
        <v>1501</v>
      </c>
      <c r="AC843">
        <v>2</v>
      </c>
      <c r="AD843">
        <v>2025</v>
      </c>
      <c r="AE843" t="s">
        <v>2817</v>
      </c>
      <c r="AF843" t="s">
        <v>2841</v>
      </c>
      <c r="AG843" t="s">
        <v>2847</v>
      </c>
      <c r="AH843" t="s">
        <v>2848</v>
      </c>
      <c r="AI843">
        <v>1</v>
      </c>
    </row>
    <row r="844" spans="1:35" x14ac:dyDescent="0.3">
      <c r="A844" t="s">
        <v>813</v>
      </c>
      <c r="B844">
        <v>1</v>
      </c>
      <c r="C844" s="1">
        <v>45935</v>
      </c>
      <c r="D844" s="1">
        <v>45936</v>
      </c>
      <c r="E844" t="s">
        <v>1287</v>
      </c>
      <c r="F844" t="s">
        <v>1935</v>
      </c>
      <c r="G844" t="s">
        <v>1435</v>
      </c>
      <c r="H844" t="s">
        <v>2633</v>
      </c>
      <c r="I844" t="s">
        <v>2737</v>
      </c>
      <c r="J844" t="s">
        <v>2747</v>
      </c>
      <c r="K844" t="s">
        <v>1492</v>
      </c>
      <c r="L844" t="s">
        <v>2788</v>
      </c>
      <c r="M844" t="s">
        <v>2566</v>
      </c>
      <c r="N844" t="s">
        <v>2584</v>
      </c>
      <c r="O844" t="s">
        <v>2601</v>
      </c>
      <c r="P844" t="s">
        <v>2554</v>
      </c>
      <c r="Q844" t="s">
        <v>2577</v>
      </c>
      <c r="R844" t="s">
        <v>2601</v>
      </c>
      <c r="S844" t="s">
        <v>2608</v>
      </c>
      <c r="T844">
        <v>1</v>
      </c>
      <c r="U844" s="2">
        <v>62926.96</v>
      </c>
      <c r="V844" s="3">
        <v>0</v>
      </c>
      <c r="W844" s="2">
        <v>62926.96</v>
      </c>
      <c r="X844" s="2">
        <v>9214.48</v>
      </c>
      <c r="Y844" s="3">
        <v>0.1464313547007515</v>
      </c>
      <c r="Z844" t="s">
        <v>1494</v>
      </c>
      <c r="AA844" t="s">
        <v>1498</v>
      </c>
      <c r="AB844" t="s">
        <v>1502</v>
      </c>
      <c r="AC844">
        <v>1</v>
      </c>
      <c r="AD844">
        <v>2025</v>
      </c>
      <c r="AE844" t="s">
        <v>2817</v>
      </c>
      <c r="AF844" t="s">
        <v>2841</v>
      </c>
      <c r="AG844" t="s">
        <v>2847</v>
      </c>
      <c r="AH844" t="s">
        <v>2848</v>
      </c>
      <c r="AI844">
        <v>1</v>
      </c>
    </row>
    <row r="845" spans="1:35" x14ac:dyDescent="0.3">
      <c r="A845" t="s">
        <v>814</v>
      </c>
      <c r="B845">
        <v>1</v>
      </c>
      <c r="C845" s="1">
        <v>45935</v>
      </c>
      <c r="D845" s="1">
        <v>45937</v>
      </c>
      <c r="E845" t="s">
        <v>1216</v>
      </c>
      <c r="F845" t="s">
        <v>1854</v>
      </c>
      <c r="G845" t="s">
        <v>1453</v>
      </c>
      <c r="H845" t="s">
        <v>2706</v>
      </c>
      <c r="I845" t="s">
        <v>2741</v>
      </c>
      <c r="J845" t="s">
        <v>2765</v>
      </c>
      <c r="K845" t="s">
        <v>1480</v>
      </c>
      <c r="L845" t="s">
        <v>2789</v>
      </c>
      <c r="M845" t="s">
        <v>2565</v>
      </c>
      <c r="N845" t="s">
        <v>2583</v>
      </c>
      <c r="O845" t="s">
        <v>2604</v>
      </c>
      <c r="R845" t="s">
        <v>2790</v>
      </c>
      <c r="S845" t="s">
        <v>2607</v>
      </c>
      <c r="T845">
        <v>2</v>
      </c>
      <c r="U845" s="2">
        <v>507.34</v>
      </c>
      <c r="V845" s="3">
        <v>0.2</v>
      </c>
      <c r="W845" s="2">
        <v>811.74</v>
      </c>
      <c r="X845" s="2">
        <v>184.8</v>
      </c>
      <c r="Y845" s="3">
        <v>0.22765910266834211</v>
      </c>
      <c r="Z845" t="s">
        <v>1496</v>
      </c>
      <c r="AA845" t="s">
        <v>1500</v>
      </c>
      <c r="AB845" t="s">
        <v>1501</v>
      </c>
      <c r="AC845">
        <v>2</v>
      </c>
      <c r="AD845">
        <v>2025</v>
      </c>
      <c r="AE845" t="s">
        <v>2817</v>
      </c>
      <c r="AF845" t="s">
        <v>2841</v>
      </c>
      <c r="AG845" t="s">
        <v>2847</v>
      </c>
      <c r="AH845" t="s">
        <v>2848</v>
      </c>
      <c r="AI845">
        <v>1</v>
      </c>
    </row>
    <row r="846" spans="1:35" x14ac:dyDescent="0.3">
      <c r="A846" t="s">
        <v>815</v>
      </c>
      <c r="B846">
        <v>1</v>
      </c>
      <c r="C846" s="1">
        <v>45935</v>
      </c>
      <c r="D846" s="1">
        <v>45936</v>
      </c>
      <c r="E846" t="s">
        <v>1305</v>
      </c>
      <c r="F846" t="s">
        <v>1677</v>
      </c>
      <c r="G846" t="s">
        <v>1368</v>
      </c>
      <c r="H846" t="s">
        <v>2736</v>
      </c>
      <c r="I846" t="s">
        <v>2742</v>
      </c>
      <c r="J846" t="s">
        <v>2772</v>
      </c>
      <c r="K846" t="s">
        <v>1479</v>
      </c>
      <c r="L846" t="s">
        <v>2786</v>
      </c>
      <c r="M846" t="s">
        <v>2554</v>
      </c>
      <c r="N846" t="s">
        <v>2577</v>
      </c>
      <c r="O846" t="s">
        <v>2601</v>
      </c>
      <c r="P846" t="s">
        <v>2564</v>
      </c>
      <c r="Q846" t="s">
        <v>2582</v>
      </c>
      <c r="R846" t="s">
        <v>2601</v>
      </c>
      <c r="S846" t="s">
        <v>2606</v>
      </c>
      <c r="T846">
        <v>1</v>
      </c>
      <c r="U846" s="2">
        <v>1640.09</v>
      </c>
      <c r="V846" s="3">
        <v>0</v>
      </c>
      <c r="W846" s="2">
        <v>1640.09</v>
      </c>
      <c r="X846" s="2">
        <v>324.18</v>
      </c>
      <c r="Y846" s="3">
        <v>0.1976598845185325</v>
      </c>
      <c r="Z846" t="s">
        <v>1495</v>
      </c>
      <c r="AA846" t="s">
        <v>1500</v>
      </c>
      <c r="AB846" t="s">
        <v>1501</v>
      </c>
      <c r="AC846">
        <v>1</v>
      </c>
      <c r="AD846">
        <v>2025</v>
      </c>
      <c r="AE846" t="s">
        <v>2817</v>
      </c>
      <c r="AF846" t="s">
        <v>2841</v>
      </c>
      <c r="AG846" t="s">
        <v>2847</v>
      </c>
      <c r="AH846" t="s">
        <v>2848</v>
      </c>
      <c r="AI846">
        <v>1</v>
      </c>
    </row>
    <row r="847" spans="1:35" x14ac:dyDescent="0.3">
      <c r="A847" t="s">
        <v>816</v>
      </c>
      <c r="B847">
        <v>2</v>
      </c>
      <c r="C847" s="1">
        <v>45936</v>
      </c>
      <c r="D847" s="1">
        <v>45939</v>
      </c>
      <c r="E847" t="s">
        <v>1079</v>
      </c>
      <c r="F847" t="s">
        <v>1930</v>
      </c>
      <c r="G847" t="s">
        <v>1439</v>
      </c>
      <c r="H847" t="s">
        <v>2641</v>
      </c>
      <c r="I847" t="s">
        <v>2738</v>
      </c>
      <c r="J847" t="s">
        <v>2749</v>
      </c>
      <c r="K847" t="s">
        <v>1480</v>
      </c>
      <c r="L847" t="s">
        <v>2789</v>
      </c>
      <c r="M847" t="s">
        <v>2560</v>
      </c>
      <c r="N847" t="s">
        <v>2579</v>
      </c>
      <c r="O847" t="s">
        <v>2604</v>
      </c>
      <c r="R847" t="s">
        <v>2790</v>
      </c>
      <c r="S847" t="s">
        <v>2608</v>
      </c>
      <c r="T847">
        <v>1</v>
      </c>
      <c r="U847" s="2">
        <v>2679.96</v>
      </c>
      <c r="V847" s="3">
        <v>0.05</v>
      </c>
      <c r="W847" s="2">
        <v>2545.96</v>
      </c>
      <c r="X847" s="2">
        <v>466.58</v>
      </c>
      <c r="Y847" s="3">
        <v>0.18326289493943351</v>
      </c>
      <c r="Z847" t="s">
        <v>1496</v>
      </c>
      <c r="AA847" t="s">
        <v>1498</v>
      </c>
      <c r="AB847" t="s">
        <v>1501</v>
      </c>
      <c r="AC847">
        <v>3</v>
      </c>
      <c r="AD847">
        <v>2025</v>
      </c>
      <c r="AE847" t="s">
        <v>2817</v>
      </c>
      <c r="AF847" t="s">
        <v>2841</v>
      </c>
      <c r="AG847" t="s">
        <v>2847</v>
      </c>
      <c r="AH847" t="s">
        <v>2848</v>
      </c>
      <c r="AI847">
        <v>1</v>
      </c>
    </row>
    <row r="848" spans="1:35" x14ac:dyDescent="0.3">
      <c r="A848" t="s">
        <v>817</v>
      </c>
      <c r="B848">
        <v>1</v>
      </c>
      <c r="C848" s="1">
        <v>45937</v>
      </c>
      <c r="D848" s="1">
        <v>45937</v>
      </c>
      <c r="E848" t="s">
        <v>1185</v>
      </c>
      <c r="F848" t="s">
        <v>1723</v>
      </c>
      <c r="G848" t="s">
        <v>1430</v>
      </c>
      <c r="H848" t="s">
        <v>2698</v>
      </c>
      <c r="I848" t="s">
        <v>2740</v>
      </c>
      <c r="J848" t="s">
        <v>2762</v>
      </c>
      <c r="K848" t="s">
        <v>1485</v>
      </c>
      <c r="L848" t="s">
        <v>2775</v>
      </c>
      <c r="M848" t="s">
        <v>2556</v>
      </c>
      <c r="N848" t="s">
        <v>2574</v>
      </c>
      <c r="O848" t="s">
        <v>2602</v>
      </c>
      <c r="P848" t="s">
        <v>2562</v>
      </c>
      <c r="Q848" t="s">
        <v>2574</v>
      </c>
      <c r="R848" t="s">
        <v>2602</v>
      </c>
      <c r="S848" t="s">
        <v>2608</v>
      </c>
      <c r="T848">
        <v>1</v>
      </c>
      <c r="U848" s="2">
        <v>1148.97</v>
      </c>
      <c r="V848" s="3">
        <v>0</v>
      </c>
      <c r="W848" s="2">
        <v>1148.97</v>
      </c>
      <c r="X848" s="2">
        <v>88.53</v>
      </c>
      <c r="Y848" s="3">
        <v>7.7051620146740121E-2</v>
      </c>
      <c r="Z848" t="s">
        <v>1494</v>
      </c>
      <c r="AA848" t="s">
        <v>1499</v>
      </c>
      <c r="AB848" t="s">
        <v>1501</v>
      </c>
      <c r="AC848">
        <v>0</v>
      </c>
      <c r="AD848">
        <v>2025</v>
      </c>
      <c r="AE848" t="s">
        <v>2817</v>
      </c>
      <c r="AF848" t="s">
        <v>2841</v>
      </c>
      <c r="AG848" t="s">
        <v>2847</v>
      </c>
      <c r="AH848" t="s">
        <v>2848</v>
      </c>
      <c r="AI848">
        <v>1</v>
      </c>
    </row>
    <row r="849" spans="1:35" x14ac:dyDescent="0.3">
      <c r="A849" t="s">
        <v>818</v>
      </c>
      <c r="B849">
        <v>1</v>
      </c>
      <c r="C849" s="1">
        <v>45937</v>
      </c>
      <c r="D849" s="1">
        <v>45940</v>
      </c>
      <c r="E849" t="s">
        <v>1146</v>
      </c>
      <c r="F849" t="s">
        <v>1704</v>
      </c>
      <c r="G849" t="s">
        <v>1336</v>
      </c>
      <c r="H849" t="s">
        <v>2721</v>
      </c>
      <c r="I849" t="s">
        <v>2742</v>
      </c>
      <c r="J849" t="s">
        <v>2769</v>
      </c>
      <c r="K849" t="s">
        <v>1480</v>
      </c>
      <c r="L849" t="s">
        <v>2789</v>
      </c>
      <c r="M849" t="s">
        <v>2553</v>
      </c>
      <c r="N849" t="s">
        <v>2576</v>
      </c>
      <c r="O849" t="s">
        <v>2602</v>
      </c>
      <c r="R849" t="s">
        <v>2790</v>
      </c>
      <c r="S849" t="s">
        <v>2606</v>
      </c>
      <c r="T849">
        <v>1</v>
      </c>
      <c r="U849" s="2">
        <v>18469.3</v>
      </c>
      <c r="V849" s="3">
        <v>0.05</v>
      </c>
      <c r="W849" s="2">
        <v>17545.830000000002</v>
      </c>
      <c r="X849" s="2">
        <v>3975.19</v>
      </c>
      <c r="Y849" s="3">
        <v>0.22656038500316031</v>
      </c>
      <c r="Z849" t="s">
        <v>1494</v>
      </c>
      <c r="AA849" t="s">
        <v>1499</v>
      </c>
      <c r="AB849" t="s">
        <v>1502</v>
      </c>
      <c r="AC849">
        <v>3</v>
      </c>
      <c r="AD849">
        <v>2025</v>
      </c>
      <c r="AE849" t="s">
        <v>2817</v>
      </c>
      <c r="AF849" t="s">
        <v>2841</v>
      </c>
      <c r="AG849" t="s">
        <v>2847</v>
      </c>
      <c r="AH849" t="s">
        <v>2848</v>
      </c>
      <c r="AI849">
        <v>1</v>
      </c>
    </row>
    <row r="850" spans="1:35" x14ac:dyDescent="0.3">
      <c r="A850" t="s">
        <v>819</v>
      </c>
      <c r="B850">
        <v>2</v>
      </c>
      <c r="C850" s="1">
        <v>45939</v>
      </c>
      <c r="D850" s="1">
        <v>45939</v>
      </c>
      <c r="E850" t="s">
        <v>1017</v>
      </c>
      <c r="F850" t="s">
        <v>1898</v>
      </c>
      <c r="G850" t="s">
        <v>1370</v>
      </c>
      <c r="H850" t="s">
        <v>2633</v>
      </c>
      <c r="I850" t="s">
        <v>2737</v>
      </c>
      <c r="J850" t="s">
        <v>2747</v>
      </c>
      <c r="K850" t="s">
        <v>1485</v>
      </c>
      <c r="L850" t="s">
        <v>2775</v>
      </c>
      <c r="M850" t="s">
        <v>2551</v>
      </c>
      <c r="N850" t="s">
        <v>2574</v>
      </c>
      <c r="O850" t="s">
        <v>2602</v>
      </c>
      <c r="P850" t="s">
        <v>2562</v>
      </c>
      <c r="Q850" t="s">
        <v>2574</v>
      </c>
      <c r="R850" t="s">
        <v>2602</v>
      </c>
      <c r="S850" t="s">
        <v>2606</v>
      </c>
      <c r="T850">
        <v>1</v>
      </c>
      <c r="U850" s="2">
        <v>19480.22</v>
      </c>
      <c r="V850" s="3">
        <v>0</v>
      </c>
      <c r="W850" s="2">
        <v>19480.22</v>
      </c>
      <c r="X850" s="2">
        <v>1671.99</v>
      </c>
      <c r="Y850" s="3">
        <v>8.5830139495344501E-2</v>
      </c>
      <c r="Z850" t="s">
        <v>1494</v>
      </c>
      <c r="AA850" t="s">
        <v>1498</v>
      </c>
      <c r="AB850" t="s">
        <v>1501</v>
      </c>
      <c r="AC850">
        <v>0</v>
      </c>
      <c r="AD850">
        <v>2025</v>
      </c>
      <c r="AE850" t="s">
        <v>2817</v>
      </c>
      <c r="AF850" t="s">
        <v>2841</v>
      </c>
      <c r="AG850" t="s">
        <v>2847</v>
      </c>
      <c r="AH850" t="s">
        <v>2848</v>
      </c>
      <c r="AI850">
        <v>1</v>
      </c>
    </row>
    <row r="851" spans="1:35" x14ac:dyDescent="0.3">
      <c r="A851" t="s">
        <v>820</v>
      </c>
      <c r="B851">
        <v>1</v>
      </c>
      <c r="C851" s="1">
        <v>45939</v>
      </c>
      <c r="D851" s="1">
        <v>45942</v>
      </c>
      <c r="E851" t="s">
        <v>1051</v>
      </c>
      <c r="F851" t="s">
        <v>1941</v>
      </c>
      <c r="G851" t="s">
        <v>1411</v>
      </c>
      <c r="H851" t="s">
        <v>2617</v>
      </c>
      <c r="I851" t="s">
        <v>2737</v>
      </c>
      <c r="J851" t="s">
        <v>2744</v>
      </c>
      <c r="K851" t="s">
        <v>1480</v>
      </c>
      <c r="L851" t="s">
        <v>2789</v>
      </c>
      <c r="M851" t="s">
        <v>2564</v>
      </c>
      <c r="N851" t="s">
        <v>2582</v>
      </c>
      <c r="O851" t="s">
        <v>2601</v>
      </c>
      <c r="R851" t="s">
        <v>2790</v>
      </c>
      <c r="S851" t="s">
        <v>2608</v>
      </c>
      <c r="T851">
        <v>2</v>
      </c>
      <c r="U851" s="2">
        <v>65997.17</v>
      </c>
      <c r="V851" s="3">
        <v>0</v>
      </c>
      <c r="W851" s="2">
        <v>131994.34</v>
      </c>
      <c r="X851" s="2">
        <v>16412.36</v>
      </c>
      <c r="Y851" s="3">
        <v>0.1243413922142419</v>
      </c>
      <c r="Z851" t="s">
        <v>1493</v>
      </c>
      <c r="AA851" t="s">
        <v>1499</v>
      </c>
      <c r="AB851" t="s">
        <v>1501</v>
      </c>
      <c r="AC851">
        <v>3</v>
      </c>
      <c r="AD851">
        <v>2025</v>
      </c>
      <c r="AE851" t="s">
        <v>2817</v>
      </c>
      <c r="AF851" t="s">
        <v>2841</v>
      </c>
      <c r="AG851" t="s">
        <v>2847</v>
      </c>
      <c r="AH851" t="s">
        <v>2848</v>
      </c>
      <c r="AI851">
        <v>1</v>
      </c>
    </row>
    <row r="852" spans="1:35" x14ac:dyDescent="0.3">
      <c r="A852" t="s">
        <v>821</v>
      </c>
      <c r="B852">
        <v>1</v>
      </c>
      <c r="C852" s="1">
        <v>45939</v>
      </c>
      <c r="D852" s="1">
        <v>45940</v>
      </c>
      <c r="E852" t="s">
        <v>1159</v>
      </c>
      <c r="F852" t="s">
        <v>1910</v>
      </c>
      <c r="G852" t="s">
        <v>1364</v>
      </c>
      <c r="H852" t="s">
        <v>2699</v>
      </c>
      <c r="I852" t="s">
        <v>2740</v>
      </c>
      <c r="J852" t="s">
        <v>2762</v>
      </c>
      <c r="K852" t="s">
        <v>1480</v>
      </c>
      <c r="L852" t="s">
        <v>2789</v>
      </c>
      <c r="M852" t="s">
        <v>2555</v>
      </c>
      <c r="N852" t="s">
        <v>2578</v>
      </c>
      <c r="O852" t="s">
        <v>2603</v>
      </c>
      <c r="R852" t="s">
        <v>2790</v>
      </c>
      <c r="S852" t="s">
        <v>2606</v>
      </c>
      <c r="T852">
        <v>1</v>
      </c>
      <c r="U852" s="2">
        <v>590.01</v>
      </c>
      <c r="V852" s="3">
        <v>0</v>
      </c>
      <c r="W852" s="2">
        <v>590.01</v>
      </c>
      <c r="X852" s="2">
        <v>72.55</v>
      </c>
      <c r="Y852" s="3">
        <v>0.12296401755902441</v>
      </c>
      <c r="Z852" t="s">
        <v>1497</v>
      </c>
      <c r="AA852" t="s">
        <v>1499</v>
      </c>
      <c r="AB852" t="s">
        <v>1501</v>
      </c>
      <c r="AC852">
        <v>1</v>
      </c>
      <c r="AD852">
        <v>2025</v>
      </c>
      <c r="AE852" t="s">
        <v>2817</v>
      </c>
      <c r="AF852" t="s">
        <v>2841</v>
      </c>
      <c r="AG852" t="s">
        <v>2847</v>
      </c>
      <c r="AH852" t="s">
        <v>2848</v>
      </c>
      <c r="AI852">
        <v>1</v>
      </c>
    </row>
    <row r="853" spans="1:35" x14ac:dyDescent="0.3">
      <c r="A853" t="s">
        <v>822</v>
      </c>
      <c r="B853">
        <v>1</v>
      </c>
      <c r="C853" s="1">
        <v>45939</v>
      </c>
      <c r="D853" s="1">
        <v>45941</v>
      </c>
      <c r="E853" t="s">
        <v>1106</v>
      </c>
      <c r="F853" t="s">
        <v>1936</v>
      </c>
      <c r="G853" t="s">
        <v>1451</v>
      </c>
      <c r="H853" t="s">
        <v>2644</v>
      </c>
      <c r="I853" t="s">
        <v>2738</v>
      </c>
      <c r="J853" t="s">
        <v>2750</v>
      </c>
      <c r="K853" t="s">
        <v>1480</v>
      </c>
      <c r="L853" t="s">
        <v>2789</v>
      </c>
      <c r="M853" t="s">
        <v>2554</v>
      </c>
      <c r="N853" t="s">
        <v>2577</v>
      </c>
      <c r="O853" t="s">
        <v>2601</v>
      </c>
      <c r="R853" t="s">
        <v>2790</v>
      </c>
      <c r="S853" t="s">
        <v>2608</v>
      </c>
      <c r="T853">
        <v>1</v>
      </c>
      <c r="U853" s="2">
        <v>43188.76</v>
      </c>
      <c r="V853" s="3">
        <v>0</v>
      </c>
      <c r="W853" s="2">
        <v>43188.76</v>
      </c>
      <c r="X853" s="2">
        <v>10182.15</v>
      </c>
      <c r="Y853" s="3">
        <v>0.23575925773279899</v>
      </c>
      <c r="Z853" t="s">
        <v>1494</v>
      </c>
      <c r="AA853" t="s">
        <v>1498</v>
      </c>
      <c r="AB853" t="s">
        <v>1501</v>
      </c>
      <c r="AC853">
        <v>2</v>
      </c>
      <c r="AD853">
        <v>2025</v>
      </c>
      <c r="AE853" t="s">
        <v>2817</v>
      </c>
      <c r="AF853" t="s">
        <v>2841</v>
      </c>
      <c r="AG853" t="s">
        <v>2847</v>
      </c>
      <c r="AH853" t="s">
        <v>2848</v>
      </c>
      <c r="AI853">
        <v>1</v>
      </c>
    </row>
    <row r="854" spans="1:35" x14ac:dyDescent="0.3">
      <c r="A854" t="s">
        <v>823</v>
      </c>
      <c r="B854">
        <v>1</v>
      </c>
      <c r="C854" s="1">
        <v>45941</v>
      </c>
      <c r="D854" s="1">
        <v>45943</v>
      </c>
      <c r="E854" t="s">
        <v>1228</v>
      </c>
      <c r="F854" t="s">
        <v>1992</v>
      </c>
      <c r="G854" t="s">
        <v>1449</v>
      </c>
      <c r="H854" t="s">
        <v>2642</v>
      </c>
      <c r="I854" t="s">
        <v>2738</v>
      </c>
      <c r="J854" t="s">
        <v>2750</v>
      </c>
      <c r="K854" t="s">
        <v>1480</v>
      </c>
      <c r="L854" t="s">
        <v>2789</v>
      </c>
      <c r="M854" t="s">
        <v>2566</v>
      </c>
      <c r="N854" t="s">
        <v>2584</v>
      </c>
      <c r="O854" t="s">
        <v>2601</v>
      </c>
      <c r="R854" t="s">
        <v>2790</v>
      </c>
      <c r="S854" t="s">
        <v>2606</v>
      </c>
      <c r="T854">
        <v>1</v>
      </c>
      <c r="U854" s="2">
        <v>22795.96</v>
      </c>
      <c r="V854" s="3">
        <v>0</v>
      </c>
      <c r="W854" s="2">
        <v>22795.96</v>
      </c>
      <c r="X854" s="2">
        <v>5097.3100000000004</v>
      </c>
      <c r="Y854" s="3">
        <v>0.2236058494575355</v>
      </c>
      <c r="Z854" t="s">
        <v>1496</v>
      </c>
      <c r="AA854" t="s">
        <v>1499</v>
      </c>
      <c r="AB854" t="s">
        <v>1501</v>
      </c>
      <c r="AC854">
        <v>2</v>
      </c>
      <c r="AD854">
        <v>2025</v>
      </c>
      <c r="AE854" t="s">
        <v>2817</v>
      </c>
      <c r="AF854" t="s">
        <v>2841</v>
      </c>
      <c r="AG854" t="s">
        <v>2847</v>
      </c>
      <c r="AH854" t="s">
        <v>2848</v>
      </c>
      <c r="AI854">
        <v>1</v>
      </c>
    </row>
    <row r="855" spans="1:35" x14ac:dyDescent="0.3">
      <c r="A855" t="s">
        <v>824</v>
      </c>
      <c r="B855">
        <v>1</v>
      </c>
      <c r="C855" s="1">
        <v>45942</v>
      </c>
      <c r="D855" s="1">
        <v>45943</v>
      </c>
      <c r="E855" t="s">
        <v>1306</v>
      </c>
      <c r="F855" t="s">
        <v>1913</v>
      </c>
      <c r="G855" t="s">
        <v>1370</v>
      </c>
      <c r="H855" t="s">
        <v>2633</v>
      </c>
      <c r="I855" t="s">
        <v>2737</v>
      </c>
      <c r="J855" t="s">
        <v>2747</v>
      </c>
      <c r="K855" t="s">
        <v>1480</v>
      </c>
      <c r="L855" t="s">
        <v>2789</v>
      </c>
      <c r="M855" t="s">
        <v>2570</v>
      </c>
      <c r="N855" t="s">
        <v>2590</v>
      </c>
      <c r="O855" t="s">
        <v>2605</v>
      </c>
      <c r="R855" t="s">
        <v>2790</v>
      </c>
      <c r="S855" t="s">
        <v>2606</v>
      </c>
      <c r="T855">
        <v>1</v>
      </c>
      <c r="U855" s="2">
        <v>19480.22</v>
      </c>
      <c r="V855" s="3">
        <v>0</v>
      </c>
      <c r="W855" s="2">
        <v>19480.22</v>
      </c>
      <c r="X855" s="2">
        <v>1671.99</v>
      </c>
      <c r="Y855" s="3">
        <v>8.5830139495344501E-2</v>
      </c>
      <c r="Z855" t="s">
        <v>1494</v>
      </c>
      <c r="AA855" t="s">
        <v>1498</v>
      </c>
      <c r="AB855" t="s">
        <v>1501</v>
      </c>
      <c r="AC855">
        <v>1</v>
      </c>
      <c r="AD855">
        <v>2025</v>
      </c>
      <c r="AE855" t="s">
        <v>2817</v>
      </c>
      <c r="AF855" t="s">
        <v>2841</v>
      </c>
      <c r="AG855" t="s">
        <v>2847</v>
      </c>
      <c r="AH855" t="s">
        <v>2848</v>
      </c>
      <c r="AI855">
        <v>1</v>
      </c>
    </row>
    <row r="856" spans="1:35" x14ac:dyDescent="0.3">
      <c r="A856" t="s">
        <v>824</v>
      </c>
      <c r="B856">
        <v>2</v>
      </c>
      <c r="C856" s="1">
        <v>45942</v>
      </c>
      <c r="D856" s="1">
        <v>45943</v>
      </c>
      <c r="E856" t="s">
        <v>1306</v>
      </c>
      <c r="F856" t="s">
        <v>1913</v>
      </c>
      <c r="G856" t="s">
        <v>1433</v>
      </c>
      <c r="H856" t="s">
        <v>2675</v>
      </c>
      <c r="I856" t="s">
        <v>2739</v>
      </c>
      <c r="J856" t="s">
        <v>2757</v>
      </c>
      <c r="K856" t="s">
        <v>1480</v>
      </c>
      <c r="L856" t="s">
        <v>2789</v>
      </c>
      <c r="M856" t="s">
        <v>2570</v>
      </c>
      <c r="N856" t="s">
        <v>2590</v>
      </c>
      <c r="O856" t="s">
        <v>2605</v>
      </c>
      <c r="R856" t="s">
        <v>2790</v>
      </c>
      <c r="S856" t="s">
        <v>2606</v>
      </c>
      <c r="T856">
        <v>2</v>
      </c>
      <c r="U856" s="2">
        <v>2067.91</v>
      </c>
      <c r="V856" s="3">
        <v>0</v>
      </c>
      <c r="W856" s="2">
        <v>4135.82</v>
      </c>
      <c r="X856" s="2">
        <v>1152.96</v>
      </c>
      <c r="Y856" s="3">
        <v>0.27877422131524099</v>
      </c>
      <c r="Z856" t="s">
        <v>1494</v>
      </c>
      <c r="AA856" t="s">
        <v>1498</v>
      </c>
      <c r="AB856" t="s">
        <v>1501</v>
      </c>
      <c r="AC856">
        <v>1</v>
      </c>
      <c r="AD856">
        <v>2025</v>
      </c>
      <c r="AE856" t="s">
        <v>2817</v>
      </c>
      <c r="AF856" t="s">
        <v>2841</v>
      </c>
      <c r="AG856" t="s">
        <v>2847</v>
      </c>
      <c r="AH856" t="s">
        <v>2848</v>
      </c>
      <c r="AI856">
        <v>0</v>
      </c>
    </row>
    <row r="857" spans="1:35" x14ac:dyDescent="0.3">
      <c r="A857" t="s">
        <v>825</v>
      </c>
      <c r="B857">
        <v>1</v>
      </c>
      <c r="C857" s="1">
        <v>45945</v>
      </c>
      <c r="D857" s="1">
        <v>45948</v>
      </c>
      <c r="E857" t="s">
        <v>1058</v>
      </c>
      <c r="F857" t="s">
        <v>2044</v>
      </c>
      <c r="G857" t="s">
        <v>1418</v>
      </c>
      <c r="H857" t="s">
        <v>2648</v>
      </c>
      <c r="I857" t="s">
        <v>2738</v>
      </c>
      <c r="J857" t="s">
        <v>2751</v>
      </c>
      <c r="K857" t="s">
        <v>1480</v>
      </c>
      <c r="L857" t="s">
        <v>2789</v>
      </c>
      <c r="M857" t="s">
        <v>2570</v>
      </c>
      <c r="N857" t="s">
        <v>2590</v>
      </c>
      <c r="O857" t="s">
        <v>2605</v>
      </c>
      <c r="R857" t="s">
        <v>2790</v>
      </c>
      <c r="S857" t="s">
        <v>2607</v>
      </c>
      <c r="T857">
        <v>1</v>
      </c>
      <c r="U857" s="2">
        <v>30604.9</v>
      </c>
      <c r="V857" s="3">
        <v>0</v>
      </c>
      <c r="W857" s="2">
        <v>30604.9</v>
      </c>
      <c r="X857" s="2">
        <v>7928.17</v>
      </c>
      <c r="Y857" s="3">
        <v>0.25904904116661048</v>
      </c>
      <c r="Z857" t="s">
        <v>1496</v>
      </c>
      <c r="AA857" t="s">
        <v>1500</v>
      </c>
      <c r="AB857" t="s">
        <v>1501</v>
      </c>
      <c r="AC857">
        <v>3</v>
      </c>
      <c r="AD857">
        <v>2025</v>
      </c>
      <c r="AE857" t="s">
        <v>2817</v>
      </c>
      <c r="AF857" t="s">
        <v>2841</v>
      </c>
      <c r="AG857" t="s">
        <v>2847</v>
      </c>
      <c r="AH857" t="s">
        <v>2848</v>
      </c>
      <c r="AI857">
        <v>1</v>
      </c>
    </row>
    <row r="858" spans="1:35" x14ac:dyDescent="0.3">
      <c r="A858" t="s">
        <v>826</v>
      </c>
      <c r="B858">
        <v>1</v>
      </c>
      <c r="C858" s="1">
        <v>45945</v>
      </c>
      <c r="D858" s="1">
        <v>45946</v>
      </c>
      <c r="E858" t="s">
        <v>1263</v>
      </c>
      <c r="F858" t="s">
        <v>1757</v>
      </c>
      <c r="G858" t="s">
        <v>1432</v>
      </c>
      <c r="H858" t="s">
        <v>2651</v>
      </c>
      <c r="I858" t="s">
        <v>2738</v>
      </c>
      <c r="J858" t="s">
        <v>2751</v>
      </c>
      <c r="K858" t="s">
        <v>1480</v>
      </c>
      <c r="L858" t="s">
        <v>2789</v>
      </c>
      <c r="M858" t="s">
        <v>2565</v>
      </c>
      <c r="N858" t="s">
        <v>2583</v>
      </c>
      <c r="O858" t="s">
        <v>2604</v>
      </c>
      <c r="R858" t="s">
        <v>2790</v>
      </c>
      <c r="S858" t="s">
        <v>2607</v>
      </c>
      <c r="T858">
        <v>1</v>
      </c>
      <c r="U858" s="2">
        <v>2490.0500000000002</v>
      </c>
      <c r="V858" s="3">
        <v>0.15</v>
      </c>
      <c r="W858" s="2">
        <v>2116.54</v>
      </c>
      <c r="X858" s="2">
        <v>207.24</v>
      </c>
      <c r="Y858" s="3">
        <v>9.7914520868965391E-2</v>
      </c>
      <c r="Z858" t="s">
        <v>1495</v>
      </c>
      <c r="AA858" t="s">
        <v>1498</v>
      </c>
      <c r="AB858" t="s">
        <v>1501</v>
      </c>
      <c r="AC858">
        <v>1</v>
      </c>
      <c r="AD858">
        <v>2025</v>
      </c>
      <c r="AE858" t="s">
        <v>2817</v>
      </c>
      <c r="AF858" t="s">
        <v>2841</v>
      </c>
      <c r="AG858" t="s">
        <v>2847</v>
      </c>
      <c r="AH858" t="s">
        <v>2848</v>
      </c>
      <c r="AI858">
        <v>1</v>
      </c>
    </row>
    <row r="859" spans="1:35" x14ac:dyDescent="0.3">
      <c r="A859" t="s">
        <v>827</v>
      </c>
      <c r="B859">
        <v>2</v>
      </c>
      <c r="C859" s="1">
        <v>45946</v>
      </c>
      <c r="D859" s="1">
        <v>45949</v>
      </c>
      <c r="E859" t="s">
        <v>1009</v>
      </c>
      <c r="F859" t="s">
        <v>1819</v>
      </c>
      <c r="G859" t="s">
        <v>1370</v>
      </c>
      <c r="H859" t="s">
        <v>2633</v>
      </c>
      <c r="I859" t="s">
        <v>2737</v>
      </c>
      <c r="J859" t="s">
        <v>2747</v>
      </c>
      <c r="K859" t="s">
        <v>1480</v>
      </c>
      <c r="L859" t="s">
        <v>2789</v>
      </c>
      <c r="M859" t="s">
        <v>2556</v>
      </c>
      <c r="N859" t="s">
        <v>2574</v>
      </c>
      <c r="O859" t="s">
        <v>2602</v>
      </c>
      <c r="R859" t="s">
        <v>2790</v>
      </c>
      <c r="S859" t="s">
        <v>2608</v>
      </c>
      <c r="T859">
        <v>1</v>
      </c>
      <c r="U859" s="2">
        <v>19480.22</v>
      </c>
      <c r="V859" s="3">
        <v>0</v>
      </c>
      <c r="W859" s="2">
        <v>19480.22</v>
      </c>
      <c r="X859" s="2">
        <v>1671.99</v>
      </c>
      <c r="Y859" s="3">
        <v>8.5830139495344501E-2</v>
      </c>
      <c r="Z859" t="s">
        <v>1495</v>
      </c>
      <c r="AA859" t="s">
        <v>1498</v>
      </c>
      <c r="AB859" t="s">
        <v>1501</v>
      </c>
      <c r="AC859">
        <v>3</v>
      </c>
      <c r="AD859">
        <v>2025</v>
      </c>
      <c r="AE859" t="s">
        <v>2817</v>
      </c>
      <c r="AF859" t="s">
        <v>2841</v>
      </c>
      <c r="AG859" t="s">
        <v>2847</v>
      </c>
      <c r="AH859" t="s">
        <v>2848</v>
      </c>
      <c r="AI859">
        <v>1</v>
      </c>
    </row>
    <row r="860" spans="1:35" x14ac:dyDescent="0.3">
      <c r="A860" t="s">
        <v>828</v>
      </c>
      <c r="B860">
        <v>2</v>
      </c>
      <c r="C860" s="1">
        <v>45946</v>
      </c>
      <c r="D860" s="1">
        <v>45949</v>
      </c>
      <c r="E860" t="s">
        <v>1003</v>
      </c>
      <c r="F860" t="s">
        <v>1792</v>
      </c>
      <c r="G860" t="s">
        <v>1410</v>
      </c>
      <c r="H860" t="s">
        <v>2715</v>
      </c>
      <c r="I860" t="s">
        <v>2741</v>
      </c>
      <c r="J860" t="s">
        <v>2767</v>
      </c>
      <c r="K860" t="s">
        <v>1480</v>
      </c>
      <c r="L860" t="s">
        <v>2789</v>
      </c>
      <c r="M860" t="s">
        <v>2553</v>
      </c>
      <c r="N860" t="s">
        <v>2576</v>
      </c>
      <c r="O860" t="s">
        <v>2602</v>
      </c>
      <c r="R860" t="s">
        <v>2790</v>
      </c>
      <c r="S860" t="s">
        <v>2606</v>
      </c>
      <c r="T860">
        <v>2</v>
      </c>
      <c r="U860" s="2">
        <v>1753.24</v>
      </c>
      <c r="V860" s="3">
        <v>0</v>
      </c>
      <c r="W860" s="2">
        <v>3506.48</v>
      </c>
      <c r="X860" s="2">
        <v>1156.5999999999999</v>
      </c>
      <c r="Y860" s="3">
        <v>0.32984645570486643</v>
      </c>
      <c r="Z860" t="s">
        <v>1496</v>
      </c>
      <c r="AA860" t="s">
        <v>1499</v>
      </c>
      <c r="AB860" t="s">
        <v>1501</v>
      </c>
      <c r="AC860">
        <v>3</v>
      </c>
      <c r="AD860">
        <v>2025</v>
      </c>
      <c r="AE860" t="s">
        <v>2817</v>
      </c>
      <c r="AF860" t="s">
        <v>2841</v>
      </c>
      <c r="AG860" t="s">
        <v>2847</v>
      </c>
      <c r="AH860" t="s">
        <v>2848</v>
      </c>
      <c r="AI860">
        <v>1</v>
      </c>
    </row>
    <row r="861" spans="1:35" x14ac:dyDescent="0.3">
      <c r="A861" t="s">
        <v>829</v>
      </c>
      <c r="B861">
        <v>1</v>
      </c>
      <c r="C861" s="1">
        <v>45946</v>
      </c>
      <c r="D861" s="1">
        <v>45948</v>
      </c>
      <c r="E861" t="s">
        <v>967</v>
      </c>
      <c r="F861" t="s">
        <v>1849</v>
      </c>
      <c r="G861" t="s">
        <v>1434</v>
      </c>
      <c r="H861" t="s">
        <v>2695</v>
      </c>
      <c r="I861" t="s">
        <v>2740</v>
      </c>
      <c r="J861" t="s">
        <v>2762</v>
      </c>
      <c r="K861" t="s">
        <v>1480</v>
      </c>
      <c r="L861" t="s">
        <v>2789</v>
      </c>
      <c r="M861" t="s">
        <v>2550</v>
      </c>
      <c r="N861" t="s">
        <v>2573</v>
      </c>
      <c r="O861" t="s">
        <v>2601</v>
      </c>
      <c r="R861" t="s">
        <v>2790</v>
      </c>
      <c r="S861" t="s">
        <v>2607</v>
      </c>
      <c r="T861">
        <v>1</v>
      </c>
      <c r="U861" s="2">
        <v>994.69</v>
      </c>
      <c r="V861" s="3">
        <v>0</v>
      </c>
      <c r="W861" s="2">
        <v>994.69</v>
      </c>
      <c r="X861" s="2">
        <v>91.37</v>
      </c>
      <c r="Y861" s="3">
        <v>9.1857764730720118E-2</v>
      </c>
      <c r="Z861" t="s">
        <v>1495</v>
      </c>
      <c r="AA861" t="s">
        <v>1498</v>
      </c>
      <c r="AB861" t="s">
        <v>1501</v>
      </c>
      <c r="AC861">
        <v>2</v>
      </c>
      <c r="AD861">
        <v>2025</v>
      </c>
      <c r="AE861" t="s">
        <v>2817</v>
      </c>
      <c r="AF861" t="s">
        <v>2841</v>
      </c>
      <c r="AG861" t="s">
        <v>2847</v>
      </c>
      <c r="AH861" t="s">
        <v>2848</v>
      </c>
      <c r="AI861">
        <v>1</v>
      </c>
    </row>
    <row r="862" spans="1:35" x14ac:dyDescent="0.3">
      <c r="A862" t="s">
        <v>830</v>
      </c>
      <c r="B862">
        <v>3</v>
      </c>
      <c r="C862" s="1">
        <v>45949</v>
      </c>
      <c r="D862" s="1">
        <v>45952</v>
      </c>
      <c r="E862" t="s">
        <v>1077</v>
      </c>
      <c r="F862" t="s">
        <v>1802</v>
      </c>
      <c r="G862" t="s">
        <v>1442</v>
      </c>
      <c r="H862" t="s">
        <v>2676</v>
      </c>
      <c r="I862" t="s">
        <v>2739</v>
      </c>
      <c r="J862" t="s">
        <v>2757</v>
      </c>
      <c r="K862" t="s">
        <v>1480</v>
      </c>
      <c r="L862" t="s">
        <v>2789</v>
      </c>
      <c r="M862" t="s">
        <v>2559</v>
      </c>
      <c r="N862" t="s">
        <v>2559</v>
      </c>
      <c r="O862" t="s">
        <v>2603</v>
      </c>
      <c r="R862" t="s">
        <v>2790</v>
      </c>
      <c r="S862" t="s">
        <v>2608</v>
      </c>
      <c r="T862">
        <v>1</v>
      </c>
      <c r="U862" s="2">
        <v>603.28</v>
      </c>
      <c r="V862" s="3">
        <v>0.05</v>
      </c>
      <c r="W862" s="2">
        <v>573.12</v>
      </c>
      <c r="X862" s="2">
        <v>191.99</v>
      </c>
      <c r="Y862" s="3">
        <v>0.33499092685650478</v>
      </c>
      <c r="Z862" t="s">
        <v>1496</v>
      </c>
      <c r="AA862" t="s">
        <v>1498</v>
      </c>
      <c r="AB862" t="s">
        <v>1501</v>
      </c>
      <c r="AC862">
        <v>3</v>
      </c>
      <c r="AD862">
        <v>2025</v>
      </c>
      <c r="AE862" t="s">
        <v>2817</v>
      </c>
      <c r="AF862" t="s">
        <v>2841</v>
      </c>
      <c r="AG862" t="s">
        <v>2847</v>
      </c>
      <c r="AH862" t="s">
        <v>2848</v>
      </c>
      <c r="AI862">
        <v>1</v>
      </c>
    </row>
    <row r="863" spans="1:35" x14ac:dyDescent="0.3">
      <c r="A863" t="s">
        <v>831</v>
      </c>
      <c r="B863">
        <v>1</v>
      </c>
      <c r="C863" s="1">
        <v>45949</v>
      </c>
      <c r="D863" s="1">
        <v>45951</v>
      </c>
      <c r="E863" t="s">
        <v>1048</v>
      </c>
      <c r="F863" t="s">
        <v>1875</v>
      </c>
      <c r="G863" t="s">
        <v>1381</v>
      </c>
      <c r="H863" t="s">
        <v>2682</v>
      </c>
      <c r="I863" t="s">
        <v>2739</v>
      </c>
      <c r="J863" t="s">
        <v>2759</v>
      </c>
      <c r="K863" t="s">
        <v>1480</v>
      </c>
      <c r="L863" t="s">
        <v>2789</v>
      </c>
      <c r="M863" t="s">
        <v>2555</v>
      </c>
      <c r="N863" t="s">
        <v>2578</v>
      </c>
      <c r="O863" t="s">
        <v>2603</v>
      </c>
      <c r="R863" t="s">
        <v>2790</v>
      </c>
      <c r="S863" t="s">
        <v>2608</v>
      </c>
      <c r="T863">
        <v>2</v>
      </c>
      <c r="U863" s="2">
        <v>4870.55</v>
      </c>
      <c r="V863" s="3">
        <v>0</v>
      </c>
      <c r="W863" s="2">
        <v>9741.1</v>
      </c>
      <c r="X863" s="2">
        <v>3953.86</v>
      </c>
      <c r="Y863" s="3">
        <v>0.40589461149151529</v>
      </c>
      <c r="Z863" t="s">
        <v>1496</v>
      </c>
      <c r="AA863" t="s">
        <v>1498</v>
      </c>
      <c r="AB863" t="s">
        <v>1501</v>
      </c>
      <c r="AC863">
        <v>2</v>
      </c>
      <c r="AD863">
        <v>2025</v>
      </c>
      <c r="AE863" t="s">
        <v>2817</v>
      </c>
      <c r="AF863" t="s">
        <v>2841</v>
      </c>
      <c r="AG863" t="s">
        <v>2847</v>
      </c>
      <c r="AH863" t="s">
        <v>2848</v>
      </c>
      <c r="AI863">
        <v>1</v>
      </c>
    </row>
    <row r="864" spans="1:35" x14ac:dyDescent="0.3">
      <c r="A864" t="s">
        <v>832</v>
      </c>
      <c r="B864">
        <v>2</v>
      </c>
      <c r="C864" s="1">
        <v>45950</v>
      </c>
      <c r="D864" s="1">
        <v>45951</v>
      </c>
      <c r="E864" t="s">
        <v>1258</v>
      </c>
      <c r="F864" t="s">
        <v>1828</v>
      </c>
      <c r="G864" t="s">
        <v>1453</v>
      </c>
      <c r="H864" t="s">
        <v>2706</v>
      </c>
      <c r="I864" t="s">
        <v>2741</v>
      </c>
      <c r="J864" t="s">
        <v>2765</v>
      </c>
      <c r="K864" t="s">
        <v>1480</v>
      </c>
      <c r="L864" t="s">
        <v>2789</v>
      </c>
      <c r="M864" t="s">
        <v>2571</v>
      </c>
      <c r="N864" t="s">
        <v>2590</v>
      </c>
      <c r="O864" t="s">
        <v>2605</v>
      </c>
      <c r="R864" t="s">
        <v>2790</v>
      </c>
      <c r="S864" t="s">
        <v>2608</v>
      </c>
      <c r="T864">
        <v>1</v>
      </c>
      <c r="U864" s="2">
        <v>507.34</v>
      </c>
      <c r="V864" s="3">
        <v>0</v>
      </c>
      <c r="W864" s="2">
        <v>507.34</v>
      </c>
      <c r="X864" s="2">
        <v>193.87</v>
      </c>
      <c r="Y864" s="3">
        <v>0.38213032680253878</v>
      </c>
      <c r="Z864" t="s">
        <v>1496</v>
      </c>
      <c r="AA864" t="s">
        <v>1499</v>
      </c>
      <c r="AB864" t="s">
        <v>1501</v>
      </c>
      <c r="AC864">
        <v>1</v>
      </c>
      <c r="AD864">
        <v>2025</v>
      </c>
      <c r="AE864" t="s">
        <v>2817</v>
      </c>
      <c r="AF864" t="s">
        <v>2841</v>
      </c>
      <c r="AG864" t="s">
        <v>2847</v>
      </c>
      <c r="AH864" t="s">
        <v>2848</v>
      </c>
      <c r="AI864">
        <v>1</v>
      </c>
    </row>
    <row r="865" spans="1:35" x14ac:dyDescent="0.3">
      <c r="A865" t="s">
        <v>833</v>
      </c>
      <c r="B865">
        <v>2</v>
      </c>
      <c r="C865" s="1">
        <v>45950</v>
      </c>
      <c r="D865" s="1">
        <v>45951</v>
      </c>
      <c r="E865" t="s">
        <v>1259</v>
      </c>
      <c r="F865" t="s">
        <v>1770</v>
      </c>
      <c r="G865" t="s">
        <v>1428</v>
      </c>
      <c r="H865" t="s">
        <v>2702</v>
      </c>
      <c r="I865" t="s">
        <v>2740</v>
      </c>
      <c r="J865" t="s">
        <v>2764</v>
      </c>
      <c r="K865" t="s">
        <v>1480</v>
      </c>
      <c r="L865" t="s">
        <v>2789</v>
      </c>
      <c r="M865" t="s">
        <v>2567</v>
      </c>
      <c r="N865" t="s">
        <v>2585</v>
      </c>
      <c r="O865" t="s">
        <v>2604</v>
      </c>
      <c r="R865" t="s">
        <v>2790</v>
      </c>
      <c r="S865" t="s">
        <v>2608</v>
      </c>
      <c r="T865">
        <v>3</v>
      </c>
      <c r="U865" s="2">
        <v>460.36</v>
      </c>
      <c r="V865" s="3">
        <v>0</v>
      </c>
      <c r="W865" s="2">
        <v>1381.08</v>
      </c>
      <c r="X865" s="2">
        <v>132.38999999999999</v>
      </c>
      <c r="Y865" s="3">
        <v>9.5859761925449649E-2</v>
      </c>
      <c r="Z865" t="s">
        <v>1496</v>
      </c>
      <c r="AA865" t="s">
        <v>1498</v>
      </c>
      <c r="AB865" t="s">
        <v>1501</v>
      </c>
      <c r="AC865">
        <v>1</v>
      </c>
      <c r="AD865">
        <v>2025</v>
      </c>
      <c r="AE865" t="s">
        <v>2817</v>
      </c>
      <c r="AF865" t="s">
        <v>2841</v>
      </c>
      <c r="AG865" t="s">
        <v>2847</v>
      </c>
      <c r="AH865" t="s">
        <v>2848</v>
      </c>
      <c r="AI865">
        <v>1</v>
      </c>
    </row>
    <row r="866" spans="1:35" x14ac:dyDescent="0.3">
      <c r="A866" t="s">
        <v>834</v>
      </c>
      <c r="B866">
        <v>1</v>
      </c>
      <c r="C866" s="1">
        <v>45950</v>
      </c>
      <c r="D866" s="1">
        <v>45951</v>
      </c>
      <c r="E866" t="s">
        <v>1175</v>
      </c>
      <c r="F866" t="s">
        <v>1850</v>
      </c>
      <c r="G866" t="s">
        <v>1342</v>
      </c>
      <c r="H866" t="s">
        <v>2623</v>
      </c>
      <c r="I866" t="s">
        <v>2737</v>
      </c>
      <c r="J866" t="s">
        <v>2745</v>
      </c>
      <c r="K866" t="s">
        <v>1480</v>
      </c>
      <c r="L866" t="s">
        <v>2789</v>
      </c>
      <c r="M866" t="s">
        <v>2569</v>
      </c>
      <c r="N866" t="s">
        <v>2587</v>
      </c>
      <c r="O866" t="s">
        <v>2604</v>
      </c>
      <c r="R866" t="s">
        <v>2790</v>
      </c>
      <c r="S866" t="s">
        <v>2606</v>
      </c>
      <c r="T866">
        <v>1</v>
      </c>
      <c r="U866" s="2">
        <v>18924.84</v>
      </c>
      <c r="V866" s="3">
        <v>0</v>
      </c>
      <c r="W866" s="2">
        <v>18924.84</v>
      </c>
      <c r="X866" s="2">
        <v>2781.6</v>
      </c>
      <c r="Y866" s="3">
        <v>0.1469814275840641</v>
      </c>
      <c r="Z866" t="s">
        <v>1497</v>
      </c>
      <c r="AA866" t="s">
        <v>1498</v>
      </c>
      <c r="AB866" t="s">
        <v>1501</v>
      </c>
      <c r="AC866">
        <v>1</v>
      </c>
      <c r="AD866">
        <v>2025</v>
      </c>
      <c r="AE866" t="s">
        <v>2817</v>
      </c>
      <c r="AF866" t="s">
        <v>2841</v>
      </c>
      <c r="AG866" t="s">
        <v>2847</v>
      </c>
      <c r="AH866" t="s">
        <v>2848</v>
      </c>
      <c r="AI866">
        <v>1</v>
      </c>
    </row>
    <row r="867" spans="1:35" x14ac:dyDescent="0.3">
      <c r="A867" t="s">
        <v>835</v>
      </c>
      <c r="B867">
        <v>1</v>
      </c>
      <c r="C867" s="1">
        <v>45950</v>
      </c>
      <c r="D867" s="1">
        <v>45953</v>
      </c>
      <c r="E867" t="s">
        <v>1241</v>
      </c>
      <c r="F867" t="s">
        <v>1724</v>
      </c>
      <c r="G867" t="s">
        <v>1433</v>
      </c>
      <c r="H867" t="s">
        <v>2675</v>
      </c>
      <c r="I867" t="s">
        <v>2739</v>
      </c>
      <c r="J867" t="s">
        <v>2757</v>
      </c>
      <c r="K867" t="s">
        <v>1480</v>
      </c>
      <c r="L867" t="s">
        <v>2789</v>
      </c>
      <c r="M867" t="s">
        <v>2572</v>
      </c>
      <c r="N867" t="s">
        <v>2582</v>
      </c>
      <c r="O867" t="s">
        <v>2601</v>
      </c>
      <c r="R867" t="s">
        <v>2790</v>
      </c>
      <c r="S867" t="s">
        <v>2608</v>
      </c>
      <c r="T867">
        <v>1</v>
      </c>
      <c r="U867" s="2">
        <v>2067.91</v>
      </c>
      <c r="V867" s="3">
        <v>0</v>
      </c>
      <c r="W867" s="2">
        <v>2067.91</v>
      </c>
      <c r="X867" s="2">
        <v>576.48</v>
      </c>
      <c r="Y867" s="3">
        <v>0.27877422131524099</v>
      </c>
      <c r="Z867" t="s">
        <v>1494</v>
      </c>
      <c r="AA867" t="s">
        <v>1498</v>
      </c>
      <c r="AB867" t="s">
        <v>1501</v>
      </c>
      <c r="AC867">
        <v>3</v>
      </c>
      <c r="AD867">
        <v>2025</v>
      </c>
      <c r="AE867" t="s">
        <v>2817</v>
      </c>
      <c r="AF867" t="s">
        <v>2841</v>
      </c>
      <c r="AG867" t="s">
        <v>2847</v>
      </c>
      <c r="AH867" t="s">
        <v>2848</v>
      </c>
      <c r="AI867">
        <v>1</v>
      </c>
    </row>
    <row r="868" spans="1:35" x14ac:dyDescent="0.3">
      <c r="A868" t="s">
        <v>836</v>
      </c>
      <c r="B868">
        <v>1</v>
      </c>
      <c r="C868" s="1">
        <v>45950</v>
      </c>
      <c r="D868" s="1">
        <v>45952</v>
      </c>
      <c r="E868" t="s">
        <v>1046</v>
      </c>
      <c r="F868" t="s">
        <v>1843</v>
      </c>
      <c r="G868" t="s">
        <v>1379</v>
      </c>
      <c r="H868" t="s">
        <v>2729</v>
      </c>
      <c r="I868" t="s">
        <v>2742</v>
      </c>
      <c r="J868" t="s">
        <v>2771</v>
      </c>
      <c r="K868" t="s">
        <v>1480</v>
      </c>
      <c r="L868" t="s">
        <v>2789</v>
      </c>
      <c r="M868" t="s">
        <v>2555</v>
      </c>
      <c r="N868" t="s">
        <v>2578</v>
      </c>
      <c r="O868" t="s">
        <v>2603</v>
      </c>
      <c r="R868" t="s">
        <v>2790</v>
      </c>
      <c r="S868" t="s">
        <v>2606</v>
      </c>
      <c r="T868">
        <v>1</v>
      </c>
      <c r="U868" s="2">
        <v>20939.349999999999</v>
      </c>
      <c r="V868" s="3">
        <v>0</v>
      </c>
      <c r="W868" s="2">
        <v>20939.349999999999</v>
      </c>
      <c r="X868" s="2">
        <v>5833.44</v>
      </c>
      <c r="Y868" s="3">
        <v>0.27858744421388443</v>
      </c>
      <c r="Z868" t="s">
        <v>1496</v>
      </c>
      <c r="AA868" t="s">
        <v>1499</v>
      </c>
      <c r="AB868" t="s">
        <v>1501</v>
      </c>
      <c r="AC868">
        <v>2</v>
      </c>
      <c r="AD868">
        <v>2025</v>
      </c>
      <c r="AE868" t="s">
        <v>2817</v>
      </c>
      <c r="AF868" t="s">
        <v>2841</v>
      </c>
      <c r="AG868" t="s">
        <v>2847</v>
      </c>
      <c r="AH868" t="s">
        <v>2848</v>
      </c>
      <c r="AI868">
        <v>1</v>
      </c>
    </row>
    <row r="869" spans="1:35" x14ac:dyDescent="0.3">
      <c r="A869" t="s">
        <v>837</v>
      </c>
      <c r="B869">
        <v>1</v>
      </c>
      <c r="C869" s="1">
        <v>45951</v>
      </c>
      <c r="D869" s="1">
        <v>45951</v>
      </c>
      <c r="E869" t="s">
        <v>1150</v>
      </c>
      <c r="F869" t="s">
        <v>1897</v>
      </c>
      <c r="G869" t="s">
        <v>1467</v>
      </c>
      <c r="H869" t="s">
        <v>2735</v>
      </c>
      <c r="I869" t="s">
        <v>2742</v>
      </c>
      <c r="J869" t="s">
        <v>2772</v>
      </c>
      <c r="K869" t="s">
        <v>1479</v>
      </c>
      <c r="L869" t="s">
        <v>2786</v>
      </c>
      <c r="M869" t="s">
        <v>2550</v>
      </c>
      <c r="N869" t="s">
        <v>2573</v>
      </c>
      <c r="O869" t="s">
        <v>2601</v>
      </c>
      <c r="P869" t="s">
        <v>2564</v>
      </c>
      <c r="Q869" t="s">
        <v>2582</v>
      </c>
      <c r="R869" t="s">
        <v>2601</v>
      </c>
      <c r="S869" t="s">
        <v>2607</v>
      </c>
      <c r="T869">
        <v>2</v>
      </c>
      <c r="U869" s="2">
        <v>16820.04</v>
      </c>
      <c r="V869" s="3">
        <v>0</v>
      </c>
      <c r="W869" s="2">
        <v>33640.080000000002</v>
      </c>
      <c r="X869" s="2">
        <v>8382.34</v>
      </c>
      <c r="Y869" s="3">
        <v>0.24917717199245659</v>
      </c>
      <c r="Z869" t="s">
        <v>1496</v>
      </c>
      <c r="AA869" t="s">
        <v>1498</v>
      </c>
      <c r="AB869" t="s">
        <v>1501</v>
      </c>
      <c r="AC869">
        <v>0</v>
      </c>
      <c r="AD869">
        <v>2025</v>
      </c>
      <c r="AE869" t="s">
        <v>2817</v>
      </c>
      <c r="AF869" t="s">
        <v>2841</v>
      </c>
      <c r="AG869" t="s">
        <v>2847</v>
      </c>
      <c r="AH869" t="s">
        <v>2848</v>
      </c>
      <c r="AI869">
        <v>1</v>
      </c>
    </row>
    <row r="870" spans="1:35" x14ac:dyDescent="0.3">
      <c r="A870" t="s">
        <v>838</v>
      </c>
      <c r="B870">
        <v>1</v>
      </c>
      <c r="C870" s="1">
        <v>45952</v>
      </c>
      <c r="D870" s="1">
        <v>45954</v>
      </c>
      <c r="E870" t="s">
        <v>1230</v>
      </c>
      <c r="F870" t="s">
        <v>1701</v>
      </c>
      <c r="G870" t="s">
        <v>1454</v>
      </c>
      <c r="H870" t="s">
        <v>2631</v>
      </c>
      <c r="I870" t="s">
        <v>2737</v>
      </c>
      <c r="J870" t="s">
        <v>2746</v>
      </c>
      <c r="K870" t="s">
        <v>1480</v>
      </c>
      <c r="L870" t="s">
        <v>2789</v>
      </c>
      <c r="M870" t="s">
        <v>2555</v>
      </c>
      <c r="N870" t="s">
        <v>2578</v>
      </c>
      <c r="O870" t="s">
        <v>2603</v>
      </c>
      <c r="R870" t="s">
        <v>2790</v>
      </c>
      <c r="S870" t="s">
        <v>2608</v>
      </c>
      <c r="T870">
        <v>1</v>
      </c>
      <c r="U870" s="2">
        <v>51141.75</v>
      </c>
      <c r="V870" s="3">
        <v>0</v>
      </c>
      <c r="W870" s="2">
        <v>51141.75</v>
      </c>
      <c r="X870" s="2">
        <v>6922.44</v>
      </c>
      <c r="Y870" s="3">
        <v>0.13535790230095759</v>
      </c>
      <c r="Z870" t="s">
        <v>1495</v>
      </c>
      <c r="AA870" t="s">
        <v>1499</v>
      </c>
      <c r="AB870" t="s">
        <v>1502</v>
      </c>
      <c r="AC870">
        <v>2</v>
      </c>
      <c r="AD870">
        <v>2025</v>
      </c>
      <c r="AE870" t="s">
        <v>2817</v>
      </c>
      <c r="AF870" t="s">
        <v>2841</v>
      </c>
      <c r="AG870" t="s">
        <v>2847</v>
      </c>
      <c r="AH870" t="s">
        <v>2848</v>
      </c>
      <c r="AI870">
        <v>1</v>
      </c>
    </row>
    <row r="871" spans="1:35" x14ac:dyDescent="0.3">
      <c r="A871" t="s">
        <v>839</v>
      </c>
      <c r="B871">
        <v>1</v>
      </c>
      <c r="C871" s="1">
        <v>45952</v>
      </c>
      <c r="D871" s="1">
        <v>45953</v>
      </c>
      <c r="E871" t="s">
        <v>1024</v>
      </c>
      <c r="F871" t="s">
        <v>1827</v>
      </c>
      <c r="G871" t="s">
        <v>1346</v>
      </c>
      <c r="H871" t="s">
        <v>2670</v>
      </c>
      <c r="I871" t="s">
        <v>2739</v>
      </c>
      <c r="J871" t="s">
        <v>2756</v>
      </c>
      <c r="K871" t="s">
        <v>1481</v>
      </c>
      <c r="L871" t="s">
        <v>2777</v>
      </c>
      <c r="M871" t="s">
        <v>2553</v>
      </c>
      <c r="N871" t="s">
        <v>2576</v>
      </c>
      <c r="O871" t="s">
        <v>2602</v>
      </c>
      <c r="P871" t="s">
        <v>2557</v>
      </c>
      <c r="Q871" t="s">
        <v>2576</v>
      </c>
      <c r="R871" t="s">
        <v>2602</v>
      </c>
      <c r="S871" t="s">
        <v>2606</v>
      </c>
      <c r="T871">
        <v>1</v>
      </c>
      <c r="U871" s="2">
        <v>3324.39</v>
      </c>
      <c r="V871" s="3">
        <v>0</v>
      </c>
      <c r="W871" s="2">
        <v>3324.39</v>
      </c>
      <c r="X871" s="2">
        <v>1234.02</v>
      </c>
      <c r="Y871" s="3">
        <v>0.37120193479104441</v>
      </c>
      <c r="Z871" t="s">
        <v>1497</v>
      </c>
      <c r="AA871" t="s">
        <v>1498</v>
      </c>
      <c r="AB871" t="s">
        <v>1501</v>
      </c>
      <c r="AC871">
        <v>1</v>
      </c>
      <c r="AD871">
        <v>2025</v>
      </c>
      <c r="AE871" t="s">
        <v>2817</v>
      </c>
      <c r="AF871" t="s">
        <v>2841</v>
      </c>
      <c r="AG871" t="s">
        <v>2847</v>
      </c>
      <c r="AH871" t="s">
        <v>2848</v>
      </c>
      <c r="AI871">
        <v>1</v>
      </c>
    </row>
    <row r="872" spans="1:35" x14ac:dyDescent="0.3">
      <c r="A872" t="s">
        <v>840</v>
      </c>
      <c r="B872">
        <v>1</v>
      </c>
      <c r="C872" s="1">
        <v>45952</v>
      </c>
      <c r="D872" s="1">
        <v>45954</v>
      </c>
      <c r="E872" t="s">
        <v>1279</v>
      </c>
      <c r="F872" t="s">
        <v>1664</v>
      </c>
      <c r="G872" t="s">
        <v>1349</v>
      </c>
      <c r="H872" t="s">
        <v>2668</v>
      </c>
      <c r="I872" t="s">
        <v>2739</v>
      </c>
      <c r="J872" t="s">
        <v>2756</v>
      </c>
      <c r="K872" t="s">
        <v>1480</v>
      </c>
      <c r="L872" t="s">
        <v>2789</v>
      </c>
      <c r="M872" t="s">
        <v>2569</v>
      </c>
      <c r="N872" t="s">
        <v>2587</v>
      </c>
      <c r="O872" t="s">
        <v>2604</v>
      </c>
      <c r="R872" t="s">
        <v>2790</v>
      </c>
      <c r="S872" t="s">
        <v>2606</v>
      </c>
      <c r="T872">
        <v>4</v>
      </c>
      <c r="U872" s="2">
        <v>2650.66</v>
      </c>
      <c r="V872" s="3">
        <v>0.05</v>
      </c>
      <c r="W872" s="2">
        <v>10072.51</v>
      </c>
      <c r="X872" s="2">
        <v>2913.99</v>
      </c>
      <c r="Y872" s="3">
        <v>0.28930127644450088</v>
      </c>
      <c r="Z872" t="s">
        <v>1493</v>
      </c>
      <c r="AA872" t="s">
        <v>1499</v>
      </c>
      <c r="AB872" t="s">
        <v>1501</v>
      </c>
      <c r="AC872">
        <v>2</v>
      </c>
      <c r="AD872">
        <v>2025</v>
      </c>
      <c r="AE872" t="s">
        <v>2817</v>
      </c>
      <c r="AF872" t="s">
        <v>2841</v>
      </c>
      <c r="AG872" t="s">
        <v>2847</v>
      </c>
      <c r="AH872" t="s">
        <v>2848</v>
      </c>
      <c r="AI872">
        <v>1</v>
      </c>
    </row>
    <row r="873" spans="1:35" x14ac:dyDescent="0.3">
      <c r="A873" t="s">
        <v>841</v>
      </c>
      <c r="B873">
        <v>1</v>
      </c>
      <c r="C873" s="1">
        <v>45954</v>
      </c>
      <c r="D873" s="1">
        <v>45956</v>
      </c>
      <c r="E873" t="s">
        <v>1307</v>
      </c>
      <c r="F873" t="s">
        <v>1891</v>
      </c>
      <c r="G873" t="s">
        <v>1453</v>
      </c>
      <c r="H873" t="s">
        <v>2706</v>
      </c>
      <c r="I873" t="s">
        <v>2741</v>
      </c>
      <c r="J873" t="s">
        <v>2765</v>
      </c>
      <c r="K873" t="s">
        <v>1480</v>
      </c>
      <c r="L873" t="s">
        <v>2789</v>
      </c>
      <c r="M873" t="s">
        <v>2572</v>
      </c>
      <c r="N873" t="s">
        <v>2582</v>
      </c>
      <c r="O873" t="s">
        <v>2601</v>
      </c>
      <c r="R873" t="s">
        <v>2790</v>
      </c>
      <c r="S873" t="s">
        <v>2606</v>
      </c>
      <c r="T873">
        <v>2</v>
      </c>
      <c r="U873" s="2">
        <v>507.34</v>
      </c>
      <c r="V873" s="3">
        <v>0</v>
      </c>
      <c r="W873" s="2">
        <v>1014.68</v>
      </c>
      <c r="X873" s="2">
        <v>387.74</v>
      </c>
      <c r="Y873" s="3">
        <v>0.38213032680253878</v>
      </c>
      <c r="Z873" t="s">
        <v>1496</v>
      </c>
      <c r="AA873" t="s">
        <v>1499</v>
      </c>
      <c r="AB873" t="s">
        <v>1501</v>
      </c>
      <c r="AC873">
        <v>2</v>
      </c>
      <c r="AD873">
        <v>2025</v>
      </c>
      <c r="AE873" t="s">
        <v>2817</v>
      </c>
      <c r="AF873" t="s">
        <v>2841</v>
      </c>
      <c r="AG873" t="s">
        <v>2847</v>
      </c>
      <c r="AH873" t="s">
        <v>2848</v>
      </c>
      <c r="AI873">
        <v>1</v>
      </c>
    </row>
    <row r="874" spans="1:35" x14ac:dyDescent="0.3">
      <c r="A874" t="s">
        <v>842</v>
      </c>
      <c r="B874">
        <v>1</v>
      </c>
      <c r="C874" s="1">
        <v>45955</v>
      </c>
      <c r="D874" s="1">
        <v>45957</v>
      </c>
      <c r="E874" t="s">
        <v>1308</v>
      </c>
      <c r="F874" t="s">
        <v>2019</v>
      </c>
      <c r="G874" t="s">
        <v>1465</v>
      </c>
      <c r="H874" t="s">
        <v>2665</v>
      </c>
      <c r="I874" t="s">
        <v>2739</v>
      </c>
      <c r="J874" t="s">
        <v>2755</v>
      </c>
      <c r="K874" t="s">
        <v>1480</v>
      </c>
      <c r="L874" t="s">
        <v>2789</v>
      </c>
      <c r="M874" t="s">
        <v>2566</v>
      </c>
      <c r="N874" t="s">
        <v>2600</v>
      </c>
      <c r="O874" t="s">
        <v>2601</v>
      </c>
      <c r="R874" t="s">
        <v>2790</v>
      </c>
      <c r="S874" t="s">
        <v>2608</v>
      </c>
      <c r="T874">
        <v>1</v>
      </c>
      <c r="U874" s="2">
        <v>2687.95</v>
      </c>
      <c r="V874" s="3">
        <v>0.05</v>
      </c>
      <c r="W874" s="2">
        <v>2553.5500000000002</v>
      </c>
      <c r="X874" s="2">
        <v>1057.02</v>
      </c>
      <c r="Y874" s="3">
        <v>0.41394137573182432</v>
      </c>
      <c r="Z874" t="s">
        <v>1496</v>
      </c>
      <c r="AA874" t="s">
        <v>1499</v>
      </c>
      <c r="AB874" t="s">
        <v>1501</v>
      </c>
      <c r="AC874">
        <v>2</v>
      </c>
      <c r="AD874">
        <v>2025</v>
      </c>
      <c r="AE874" t="s">
        <v>2817</v>
      </c>
      <c r="AF874" t="s">
        <v>2841</v>
      </c>
      <c r="AG874" t="s">
        <v>2847</v>
      </c>
      <c r="AH874" t="s">
        <v>2848</v>
      </c>
      <c r="AI874">
        <v>1</v>
      </c>
    </row>
    <row r="875" spans="1:35" x14ac:dyDescent="0.3">
      <c r="A875" t="s">
        <v>843</v>
      </c>
      <c r="B875">
        <v>1</v>
      </c>
      <c r="C875" s="1">
        <v>45955</v>
      </c>
      <c r="D875" s="1">
        <v>45958</v>
      </c>
      <c r="E875" t="s">
        <v>1123</v>
      </c>
      <c r="F875" t="s">
        <v>1824</v>
      </c>
      <c r="G875" t="s">
        <v>1459</v>
      </c>
      <c r="H875" t="s">
        <v>2688</v>
      </c>
      <c r="I875" t="s">
        <v>2740</v>
      </c>
      <c r="J875" t="s">
        <v>2760</v>
      </c>
      <c r="K875" t="s">
        <v>1480</v>
      </c>
      <c r="L875" t="s">
        <v>2789</v>
      </c>
      <c r="M875" t="s">
        <v>2554</v>
      </c>
      <c r="N875" t="s">
        <v>2577</v>
      </c>
      <c r="O875" t="s">
        <v>2601</v>
      </c>
      <c r="R875" t="s">
        <v>2790</v>
      </c>
      <c r="S875" t="s">
        <v>2606</v>
      </c>
      <c r="T875">
        <v>1</v>
      </c>
      <c r="U875" s="2">
        <v>814.23</v>
      </c>
      <c r="V875" s="3">
        <v>0</v>
      </c>
      <c r="W875" s="2">
        <v>814.23</v>
      </c>
      <c r="X875" s="2">
        <v>109.8</v>
      </c>
      <c r="Y875" s="3">
        <v>0.13485133193323751</v>
      </c>
      <c r="Z875" t="s">
        <v>1494</v>
      </c>
      <c r="AA875" t="s">
        <v>1500</v>
      </c>
      <c r="AB875" t="s">
        <v>1501</v>
      </c>
      <c r="AC875">
        <v>3</v>
      </c>
      <c r="AD875">
        <v>2025</v>
      </c>
      <c r="AE875" t="s">
        <v>2817</v>
      </c>
      <c r="AF875" t="s">
        <v>2841</v>
      </c>
      <c r="AG875" t="s">
        <v>2847</v>
      </c>
      <c r="AH875" t="s">
        <v>2848</v>
      </c>
      <c r="AI875">
        <v>1</v>
      </c>
    </row>
    <row r="876" spans="1:35" x14ac:dyDescent="0.3">
      <c r="A876" t="s">
        <v>844</v>
      </c>
      <c r="B876">
        <v>2</v>
      </c>
      <c r="C876" s="1">
        <v>45955</v>
      </c>
      <c r="D876" s="1">
        <v>45956</v>
      </c>
      <c r="E876" t="s">
        <v>1124</v>
      </c>
      <c r="F876" t="s">
        <v>1869</v>
      </c>
      <c r="G876" t="s">
        <v>1450</v>
      </c>
      <c r="H876" t="s">
        <v>2723</v>
      </c>
      <c r="I876" t="s">
        <v>2742</v>
      </c>
      <c r="J876" t="s">
        <v>2770</v>
      </c>
      <c r="K876" t="s">
        <v>1479</v>
      </c>
      <c r="L876" t="s">
        <v>2786</v>
      </c>
      <c r="M876" t="s">
        <v>2564</v>
      </c>
      <c r="N876" t="s">
        <v>2582</v>
      </c>
      <c r="O876" t="s">
        <v>2601</v>
      </c>
      <c r="P876" t="s">
        <v>2564</v>
      </c>
      <c r="Q876" t="s">
        <v>2582</v>
      </c>
      <c r="R876" t="s">
        <v>2601</v>
      </c>
      <c r="S876" t="s">
        <v>2606</v>
      </c>
      <c r="T876">
        <v>1</v>
      </c>
      <c r="U876" s="2">
        <v>7983.56</v>
      </c>
      <c r="V876" s="3">
        <v>0</v>
      </c>
      <c r="W876" s="2">
        <v>7983.56</v>
      </c>
      <c r="X876" s="2">
        <v>1968.35</v>
      </c>
      <c r="Y876" s="3">
        <v>0.2465504110947998</v>
      </c>
      <c r="Z876" t="s">
        <v>1495</v>
      </c>
      <c r="AA876" t="s">
        <v>1498</v>
      </c>
      <c r="AB876" t="s">
        <v>1502</v>
      </c>
      <c r="AC876">
        <v>1</v>
      </c>
      <c r="AD876">
        <v>2025</v>
      </c>
      <c r="AE876" t="s">
        <v>2817</v>
      </c>
      <c r="AF876" t="s">
        <v>2841</v>
      </c>
      <c r="AG876" t="s">
        <v>2847</v>
      </c>
      <c r="AH876" t="s">
        <v>2848</v>
      </c>
      <c r="AI876">
        <v>1</v>
      </c>
    </row>
    <row r="877" spans="1:35" x14ac:dyDescent="0.3">
      <c r="A877" t="s">
        <v>845</v>
      </c>
      <c r="B877">
        <v>1</v>
      </c>
      <c r="C877" s="1">
        <v>45957</v>
      </c>
      <c r="D877" s="1">
        <v>45960</v>
      </c>
      <c r="E877" t="s">
        <v>1050</v>
      </c>
      <c r="F877" t="s">
        <v>1753</v>
      </c>
      <c r="G877" t="s">
        <v>1336</v>
      </c>
      <c r="H877" t="s">
        <v>2721</v>
      </c>
      <c r="I877" t="s">
        <v>2742</v>
      </c>
      <c r="J877" t="s">
        <v>2769</v>
      </c>
      <c r="K877" t="s">
        <v>1480</v>
      </c>
      <c r="L877" t="s">
        <v>2789</v>
      </c>
      <c r="M877" t="s">
        <v>2556</v>
      </c>
      <c r="N877" t="s">
        <v>2574</v>
      </c>
      <c r="O877" t="s">
        <v>2602</v>
      </c>
      <c r="R877" t="s">
        <v>2790</v>
      </c>
      <c r="S877" t="s">
        <v>2608</v>
      </c>
      <c r="T877">
        <v>1</v>
      </c>
      <c r="U877" s="2">
        <v>18469.3</v>
      </c>
      <c r="V877" s="3">
        <v>0.05</v>
      </c>
      <c r="W877" s="2">
        <v>17545.830000000002</v>
      </c>
      <c r="X877" s="2">
        <v>3975.19</v>
      </c>
      <c r="Y877" s="3">
        <v>0.22656038500316031</v>
      </c>
      <c r="Z877" t="s">
        <v>1496</v>
      </c>
      <c r="AA877" t="s">
        <v>1498</v>
      </c>
      <c r="AB877" t="s">
        <v>1501</v>
      </c>
      <c r="AC877">
        <v>3</v>
      </c>
      <c r="AD877">
        <v>2025</v>
      </c>
      <c r="AE877" t="s">
        <v>2817</v>
      </c>
      <c r="AF877" t="s">
        <v>2841</v>
      </c>
      <c r="AG877" t="s">
        <v>2847</v>
      </c>
      <c r="AH877" t="s">
        <v>2848</v>
      </c>
      <c r="AI877">
        <v>1</v>
      </c>
    </row>
    <row r="878" spans="1:35" x14ac:dyDescent="0.3">
      <c r="A878" t="s">
        <v>846</v>
      </c>
      <c r="B878">
        <v>2</v>
      </c>
      <c r="C878" s="1">
        <v>45957</v>
      </c>
      <c r="D878" s="1">
        <v>45958</v>
      </c>
      <c r="E878" t="s">
        <v>1263</v>
      </c>
      <c r="F878" t="s">
        <v>1757</v>
      </c>
      <c r="G878" t="s">
        <v>1453</v>
      </c>
      <c r="H878" t="s">
        <v>2706</v>
      </c>
      <c r="I878" t="s">
        <v>2741</v>
      </c>
      <c r="J878" t="s">
        <v>2765</v>
      </c>
      <c r="K878" t="s">
        <v>1480</v>
      </c>
      <c r="L878" t="s">
        <v>2789</v>
      </c>
      <c r="M878" t="s">
        <v>2565</v>
      </c>
      <c r="N878" t="s">
        <v>2583</v>
      </c>
      <c r="O878" t="s">
        <v>2604</v>
      </c>
      <c r="R878" t="s">
        <v>2790</v>
      </c>
      <c r="S878" t="s">
        <v>2607</v>
      </c>
      <c r="T878">
        <v>2</v>
      </c>
      <c r="U878" s="2">
        <v>507.34</v>
      </c>
      <c r="V878" s="3">
        <v>0</v>
      </c>
      <c r="W878" s="2">
        <v>1014.68</v>
      </c>
      <c r="X878" s="2">
        <v>387.74</v>
      </c>
      <c r="Y878" s="3">
        <v>0.38213032680253878</v>
      </c>
      <c r="Z878" t="s">
        <v>1496</v>
      </c>
      <c r="AA878" t="s">
        <v>1498</v>
      </c>
      <c r="AB878" t="s">
        <v>1501</v>
      </c>
      <c r="AC878">
        <v>1</v>
      </c>
      <c r="AD878">
        <v>2025</v>
      </c>
      <c r="AE878" t="s">
        <v>2817</v>
      </c>
      <c r="AF878" t="s">
        <v>2841</v>
      </c>
      <c r="AG878" t="s">
        <v>2847</v>
      </c>
      <c r="AH878" t="s">
        <v>2848</v>
      </c>
      <c r="AI878">
        <v>1</v>
      </c>
    </row>
    <row r="879" spans="1:35" x14ac:dyDescent="0.3">
      <c r="A879" t="s">
        <v>847</v>
      </c>
      <c r="B879">
        <v>2</v>
      </c>
      <c r="C879" s="1">
        <v>45957</v>
      </c>
      <c r="D879" s="1">
        <v>45960</v>
      </c>
      <c r="E879" t="s">
        <v>1221</v>
      </c>
      <c r="F879" t="s">
        <v>2033</v>
      </c>
      <c r="G879" t="s">
        <v>1369</v>
      </c>
      <c r="H879" t="s">
        <v>2725</v>
      </c>
      <c r="I879" t="s">
        <v>2742</v>
      </c>
      <c r="J879" t="s">
        <v>2770</v>
      </c>
      <c r="K879" t="s">
        <v>1480</v>
      </c>
      <c r="L879" t="s">
        <v>2789</v>
      </c>
      <c r="M879" t="s">
        <v>2563</v>
      </c>
      <c r="N879" t="s">
        <v>2581</v>
      </c>
      <c r="O879" t="s">
        <v>2604</v>
      </c>
      <c r="R879" t="s">
        <v>2790</v>
      </c>
      <c r="S879" t="s">
        <v>2606</v>
      </c>
      <c r="T879">
        <v>1</v>
      </c>
      <c r="U879" s="2">
        <v>23968.04</v>
      </c>
      <c r="V879" s="3">
        <v>0.05</v>
      </c>
      <c r="W879" s="2">
        <v>22769.64</v>
      </c>
      <c r="X879" s="2">
        <v>5498.52</v>
      </c>
      <c r="Y879" s="3">
        <v>0.2414847138558186</v>
      </c>
      <c r="Z879" t="s">
        <v>1495</v>
      </c>
      <c r="AA879" t="s">
        <v>1498</v>
      </c>
      <c r="AB879" t="s">
        <v>1501</v>
      </c>
      <c r="AC879">
        <v>3</v>
      </c>
      <c r="AD879">
        <v>2025</v>
      </c>
      <c r="AE879" t="s">
        <v>2817</v>
      </c>
      <c r="AF879" t="s">
        <v>2841</v>
      </c>
      <c r="AG879" t="s">
        <v>2847</v>
      </c>
      <c r="AH879" t="s">
        <v>2848</v>
      </c>
      <c r="AI879">
        <v>1</v>
      </c>
    </row>
    <row r="880" spans="1:35" x14ac:dyDescent="0.3">
      <c r="A880" t="s">
        <v>848</v>
      </c>
      <c r="B880">
        <v>2</v>
      </c>
      <c r="C880" s="1">
        <v>45957</v>
      </c>
      <c r="D880" s="1">
        <v>45958</v>
      </c>
      <c r="E880" t="s">
        <v>965</v>
      </c>
      <c r="F880" t="s">
        <v>1685</v>
      </c>
      <c r="G880" t="s">
        <v>1342</v>
      </c>
      <c r="H880" t="s">
        <v>2623</v>
      </c>
      <c r="I880" t="s">
        <v>2737</v>
      </c>
      <c r="J880" t="s">
        <v>2745</v>
      </c>
      <c r="K880" t="s">
        <v>1490</v>
      </c>
      <c r="L880" t="s">
        <v>2784</v>
      </c>
      <c r="M880" t="s">
        <v>2569</v>
      </c>
      <c r="N880" t="s">
        <v>2587</v>
      </c>
      <c r="O880" t="s">
        <v>2604</v>
      </c>
      <c r="P880" t="s">
        <v>2567</v>
      </c>
      <c r="Q880" t="s">
        <v>2585</v>
      </c>
      <c r="R880" t="s">
        <v>2604</v>
      </c>
      <c r="S880" t="s">
        <v>2608</v>
      </c>
      <c r="T880">
        <v>1</v>
      </c>
      <c r="U880" s="2">
        <v>18924.84</v>
      </c>
      <c r="V880" s="3">
        <v>0</v>
      </c>
      <c r="W880" s="2">
        <v>18924.84</v>
      </c>
      <c r="X880" s="2">
        <v>2781.6</v>
      </c>
      <c r="Y880" s="3">
        <v>0.1469814275840641</v>
      </c>
      <c r="Z880" t="s">
        <v>1493</v>
      </c>
      <c r="AA880" t="s">
        <v>1499</v>
      </c>
      <c r="AB880" t="s">
        <v>1501</v>
      </c>
      <c r="AC880">
        <v>1</v>
      </c>
      <c r="AD880">
        <v>2025</v>
      </c>
      <c r="AE880" t="s">
        <v>2817</v>
      </c>
      <c r="AF880" t="s">
        <v>2841</v>
      </c>
      <c r="AG880" t="s">
        <v>2847</v>
      </c>
      <c r="AH880" t="s">
        <v>2848</v>
      </c>
      <c r="AI880">
        <v>1</v>
      </c>
    </row>
    <row r="881" spans="1:35" x14ac:dyDescent="0.3">
      <c r="A881" t="s">
        <v>849</v>
      </c>
      <c r="B881">
        <v>1</v>
      </c>
      <c r="C881" s="1">
        <v>45960</v>
      </c>
      <c r="D881" s="1">
        <v>45961</v>
      </c>
      <c r="E881" t="s">
        <v>1075</v>
      </c>
      <c r="F881" t="s">
        <v>1664</v>
      </c>
      <c r="G881" t="s">
        <v>1413</v>
      </c>
      <c r="H881" t="s">
        <v>2716</v>
      </c>
      <c r="I881" t="s">
        <v>2741</v>
      </c>
      <c r="J881" t="s">
        <v>2768</v>
      </c>
      <c r="K881" t="s">
        <v>1480</v>
      </c>
      <c r="L881" t="s">
        <v>2789</v>
      </c>
      <c r="M881" t="s">
        <v>2570</v>
      </c>
      <c r="N881" t="s">
        <v>2590</v>
      </c>
      <c r="O881" t="s">
        <v>2605</v>
      </c>
      <c r="R881" t="s">
        <v>2790</v>
      </c>
      <c r="S881" t="s">
        <v>2606</v>
      </c>
      <c r="T881">
        <v>1</v>
      </c>
      <c r="U881" s="2">
        <v>771.89</v>
      </c>
      <c r="V881" s="3">
        <v>0</v>
      </c>
      <c r="W881" s="2">
        <v>771.89</v>
      </c>
      <c r="X881" s="2">
        <v>220.44</v>
      </c>
      <c r="Y881" s="3">
        <v>0.28558473357602759</v>
      </c>
      <c r="Z881" t="s">
        <v>1496</v>
      </c>
      <c r="AA881" t="s">
        <v>1498</v>
      </c>
      <c r="AB881" t="s">
        <v>1501</v>
      </c>
      <c r="AC881">
        <v>1</v>
      </c>
      <c r="AD881">
        <v>2025</v>
      </c>
      <c r="AE881" t="s">
        <v>2817</v>
      </c>
      <c r="AF881" t="s">
        <v>2841</v>
      </c>
      <c r="AG881" t="s">
        <v>2847</v>
      </c>
      <c r="AH881" t="s">
        <v>2848</v>
      </c>
      <c r="AI881">
        <v>1</v>
      </c>
    </row>
    <row r="882" spans="1:35" x14ac:dyDescent="0.3">
      <c r="A882" t="s">
        <v>850</v>
      </c>
      <c r="B882">
        <v>1</v>
      </c>
      <c r="C882" s="1">
        <v>45961</v>
      </c>
      <c r="D882" s="1">
        <v>45963</v>
      </c>
      <c r="E882" t="s">
        <v>1062</v>
      </c>
      <c r="F882" t="s">
        <v>1836</v>
      </c>
      <c r="G882" t="s">
        <v>1425</v>
      </c>
      <c r="H882" t="s">
        <v>2655</v>
      </c>
      <c r="I882" t="s">
        <v>2738</v>
      </c>
      <c r="J882" t="s">
        <v>2753</v>
      </c>
      <c r="K882" t="s">
        <v>1480</v>
      </c>
      <c r="L882" t="s">
        <v>2789</v>
      </c>
      <c r="M882" t="s">
        <v>2555</v>
      </c>
      <c r="N882" t="s">
        <v>2578</v>
      </c>
      <c r="O882" t="s">
        <v>2603</v>
      </c>
      <c r="R882" t="s">
        <v>2790</v>
      </c>
      <c r="S882" t="s">
        <v>2606</v>
      </c>
      <c r="T882">
        <v>1</v>
      </c>
      <c r="U882" s="2">
        <v>6347.66</v>
      </c>
      <c r="V882" s="3">
        <v>0.05</v>
      </c>
      <c r="W882" s="2">
        <v>6030.28</v>
      </c>
      <c r="X882" s="2">
        <v>1426.11</v>
      </c>
      <c r="Y882" s="3">
        <v>0.23649150619871709</v>
      </c>
      <c r="Z882" t="s">
        <v>1496</v>
      </c>
      <c r="AA882" t="s">
        <v>1499</v>
      </c>
      <c r="AB882" t="s">
        <v>1501</v>
      </c>
      <c r="AC882">
        <v>2</v>
      </c>
      <c r="AD882">
        <v>2025</v>
      </c>
      <c r="AE882" t="s">
        <v>2817</v>
      </c>
      <c r="AF882" t="s">
        <v>2841</v>
      </c>
      <c r="AG882" t="s">
        <v>2847</v>
      </c>
      <c r="AH882" t="s">
        <v>2848</v>
      </c>
      <c r="AI882">
        <v>1</v>
      </c>
    </row>
    <row r="883" spans="1:35" x14ac:dyDescent="0.3">
      <c r="A883" t="s">
        <v>851</v>
      </c>
      <c r="B883">
        <v>1</v>
      </c>
      <c r="C883" s="1">
        <v>45961</v>
      </c>
      <c r="D883" s="1">
        <v>45961</v>
      </c>
      <c r="E883" t="s">
        <v>1009</v>
      </c>
      <c r="F883" t="s">
        <v>1819</v>
      </c>
      <c r="G883" t="s">
        <v>1435</v>
      </c>
      <c r="H883" t="s">
        <v>2633</v>
      </c>
      <c r="I883" t="s">
        <v>2737</v>
      </c>
      <c r="J883" t="s">
        <v>2747</v>
      </c>
      <c r="K883" t="s">
        <v>1481</v>
      </c>
      <c r="L883" t="s">
        <v>2777</v>
      </c>
      <c r="M883" t="s">
        <v>2556</v>
      </c>
      <c r="N883" t="s">
        <v>2574</v>
      </c>
      <c r="O883" t="s">
        <v>2602</v>
      </c>
      <c r="P883" t="s">
        <v>2557</v>
      </c>
      <c r="Q883" t="s">
        <v>2576</v>
      </c>
      <c r="R883" t="s">
        <v>2602</v>
      </c>
      <c r="S883" t="s">
        <v>2608</v>
      </c>
      <c r="T883">
        <v>3</v>
      </c>
      <c r="U883" s="2">
        <v>62926.96</v>
      </c>
      <c r="V883" s="3">
        <v>0.05</v>
      </c>
      <c r="W883" s="2">
        <v>179341.84</v>
      </c>
      <c r="X883" s="2">
        <v>18204.400000000001</v>
      </c>
      <c r="Y883" s="3">
        <v>0.10150670919847821</v>
      </c>
      <c r="Z883" t="s">
        <v>1496</v>
      </c>
      <c r="AA883" t="s">
        <v>1498</v>
      </c>
      <c r="AB883" t="s">
        <v>1501</v>
      </c>
      <c r="AC883">
        <v>0</v>
      </c>
      <c r="AD883">
        <v>2025</v>
      </c>
      <c r="AE883" t="s">
        <v>2817</v>
      </c>
      <c r="AF883" t="s">
        <v>2841</v>
      </c>
      <c r="AG883" t="s">
        <v>2847</v>
      </c>
      <c r="AH883" t="s">
        <v>2848</v>
      </c>
      <c r="AI883">
        <v>1</v>
      </c>
    </row>
    <row r="884" spans="1:35" x14ac:dyDescent="0.3">
      <c r="A884" t="s">
        <v>852</v>
      </c>
      <c r="B884">
        <v>1</v>
      </c>
      <c r="C884" s="1">
        <v>45961</v>
      </c>
      <c r="D884" s="1">
        <v>45962</v>
      </c>
      <c r="E884" t="s">
        <v>1193</v>
      </c>
      <c r="F884" t="s">
        <v>1844</v>
      </c>
      <c r="G884" t="s">
        <v>1476</v>
      </c>
      <c r="H884" t="s">
        <v>2710</v>
      </c>
      <c r="I884" t="s">
        <v>2741</v>
      </c>
      <c r="J884" t="s">
        <v>2766</v>
      </c>
      <c r="K884" t="s">
        <v>1480</v>
      </c>
      <c r="L884" t="s">
        <v>2789</v>
      </c>
      <c r="M884" t="s">
        <v>2563</v>
      </c>
      <c r="N884" t="s">
        <v>2581</v>
      </c>
      <c r="O884" t="s">
        <v>2604</v>
      </c>
      <c r="R884" t="s">
        <v>2790</v>
      </c>
      <c r="S884" t="s">
        <v>2608</v>
      </c>
      <c r="T884">
        <v>3</v>
      </c>
      <c r="U884" s="2">
        <v>114.74</v>
      </c>
      <c r="V884" s="3">
        <v>0</v>
      </c>
      <c r="W884" s="2">
        <v>344.22</v>
      </c>
      <c r="X884" s="2">
        <v>82.74</v>
      </c>
      <c r="Y884" s="3">
        <v>0.2403695311138225</v>
      </c>
      <c r="Z884" t="s">
        <v>1494</v>
      </c>
      <c r="AA884" t="s">
        <v>1498</v>
      </c>
      <c r="AB884" t="s">
        <v>1501</v>
      </c>
      <c r="AC884">
        <v>1</v>
      </c>
      <c r="AD884">
        <v>2025</v>
      </c>
      <c r="AE884" t="s">
        <v>2817</v>
      </c>
      <c r="AF884" t="s">
        <v>2841</v>
      </c>
      <c r="AG884" t="s">
        <v>2847</v>
      </c>
      <c r="AH884" t="s">
        <v>2848</v>
      </c>
      <c r="AI884">
        <v>1</v>
      </c>
    </row>
    <row r="885" spans="1:35" x14ac:dyDescent="0.3">
      <c r="A885" t="s">
        <v>852</v>
      </c>
      <c r="B885">
        <v>2</v>
      </c>
      <c r="C885" s="1">
        <v>45961</v>
      </c>
      <c r="D885" s="1">
        <v>45962</v>
      </c>
      <c r="E885" t="s">
        <v>1193</v>
      </c>
      <c r="F885" t="s">
        <v>1844</v>
      </c>
      <c r="G885" t="s">
        <v>1415</v>
      </c>
      <c r="H885" t="s">
        <v>2668</v>
      </c>
      <c r="I885" t="s">
        <v>2739</v>
      </c>
      <c r="J885" t="s">
        <v>2756</v>
      </c>
      <c r="K885" t="s">
        <v>1480</v>
      </c>
      <c r="L885" t="s">
        <v>2789</v>
      </c>
      <c r="M885" t="s">
        <v>2563</v>
      </c>
      <c r="N885" t="s">
        <v>2581</v>
      </c>
      <c r="O885" t="s">
        <v>2604</v>
      </c>
      <c r="R885" t="s">
        <v>2790</v>
      </c>
      <c r="S885" t="s">
        <v>2608</v>
      </c>
      <c r="T885">
        <v>1</v>
      </c>
      <c r="U885" s="2">
        <v>4772.1499999999996</v>
      </c>
      <c r="V885" s="3">
        <v>0.2</v>
      </c>
      <c r="W885" s="2">
        <v>3817.72</v>
      </c>
      <c r="X885" s="2">
        <v>255.63</v>
      </c>
      <c r="Y885" s="3">
        <v>6.6958813113586119E-2</v>
      </c>
      <c r="Z885" t="s">
        <v>1494</v>
      </c>
      <c r="AA885" t="s">
        <v>1498</v>
      </c>
      <c r="AB885" t="s">
        <v>1501</v>
      </c>
      <c r="AC885">
        <v>1</v>
      </c>
      <c r="AD885">
        <v>2025</v>
      </c>
      <c r="AE885" t="s">
        <v>2817</v>
      </c>
      <c r="AF885" t="s">
        <v>2841</v>
      </c>
      <c r="AG885" t="s">
        <v>2847</v>
      </c>
      <c r="AH885" t="s">
        <v>2848</v>
      </c>
      <c r="AI885">
        <v>0</v>
      </c>
    </row>
    <row r="886" spans="1:35" x14ac:dyDescent="0.3">
      <c r="A886" t="s">
        <v>853</v>
      </c>
      <c r="B886">
        <v>2</v>
      </c>
      <c r="C886" s="1">
        <v>45961</v>
      </c>
      <c r="D886" s="1">
        <v>45962</v>
      </c>
      <c r="E886" t="s">
        <v>973</v>
      </c>
      <c r="F886" t="s">
        <v>1721</v>
      </c>
      <c r="G886" t="s">
        <v>1412</v>
      </c>
      <c r="H886" t="s">
        <v>2615</v>
      </c>
      <c r="I886" t="s">
        <v>2737</v>
      </c>
      <c r="J886" t="s">
        <v>2743</v>
      </c>
      <c r="K886" t="s">
        <v>1490</v>
      </c>
      <c r="L886" t="s">
        <v>2784</v>
      </c>
      <c r="M886" t="s">
        <v>2560</v>
      </c>
      <c r="N886" t="s">
        <v>2579</v>
      </c>
      <c r="O886" t="s">
        <v>2604</v>
      </c>
      <c r="P886" t="s">
        <v>2567</v>
      </c>
      <c r="Q886" t="s">
        <v>2585</v>
      </c>
      <c r="R886" t="s">
        <v>2604</v>
      </c>
      <c r="S886" t="s">
        <v>2608</v>
      </c>
      <c r="T886">
        <v>1</v>
      </c>
      <c r="U886" s="2">
        <v>78073.17</v>
      </c>
      <c r="V886" s="3">
        <v>0</v>
      </c>
      <c r="W886" s="2">
        <v>78073.17</v>
      </c>
      <c r="X886" s="2">
        <v>12188.31</v>
      </c>
      <c r="Y886" s="3">
        <v>0.15611393773302659</v>
      </c>
      <c r="Z886" t="s">
        <v>1495</v>
      </c>
      <c r="AA886" t="s">
        <v>1498</v>
      </c>
      <c r="AB886" t="s">
        <v>1501</v>
      </c>
      <c r="AC886">
        <v>1</v>
      </c>
      <c r="AD886">
        <v>2025</v>
      </c>
      <c r="AE886" t="s">
        <v>2817</v>
      </c>
      <c r="AF886" t="s">
        <v>2841</v>
      </c>
      <c r="AG886" t="s">
        <v>2847</v>
      </c>
      <c r="AH886" t="s">
        <v>2848</v>
      </c>
      <c r="AI886">
        <v>1</v>
      </c>
    </row>
    <row r="887" spans="1:35" x14ac:dyDescent="0.3">
      <c r="A887" t="s">
        <v>854</v>
      </c>
      <c r="B887">
        <v>1</v>
      </c>
      <c r="C887" s="1">
        <v>45962</v>
      </c>
      <c r="D887" s="1">
        <v>45962</v>
      </c>
      <c r="E887" t="s">
        <v>1100</v>
      </c>
      <c r="F887" t="s">
        <v>1954</v>
      </c>
      <c r="G887" t="s">
        <v>1343</v>
      </c>
      <c r="H887" t="s">
        <v>2646</v>
      </c>
      <c r="I887" t="s">
        <v>2738</v>
      </c>
      <c r="J887" t="s">
        <v>2750</v>
      </c>
      <c r="K887" t="s">
        <v>1485</v>
      </c>
      <c r="L887" t="s">
        <v>2775</v>
      </c>
      <c r="M887" t="s">
        <v>2556</v>
      </c>
      <c r="N887" t="s">
        <v>2574</v>
      </c>
      <c r="O887" t="s">
        <v>2602</v>
      </c>
      <c r="P887" t="s">
        <v>2562</v>
      </c>
      <c r="Q887" t="s">
        <v>2574</v>
      </c>
      <c r="R887" t="s">
        <v>2602</v>
      </c>
      <c r="S887" t="s">
        <v>2608</v>
      </c>
      <c r="T887">
        <v>2</v>
      </c>
      <c r="U887" s="2">
        <v>7138.26</v>
      </c>
      <c r="V887" s="3">
        <v>0</v>
      </c>
      <c r="W887" s="2">
        <v>14276.52</v>
      </c>
      <c r="X887" s="2">
        <v>3327.94</v>
      </c>
      <c r="Y887" s="3">
        <v>0.2331058269101994</v>
      </c>
      <c r="Z887" t="s">
        <v>1495</v>
      </c>
      <c r="AA887" t="s">
        <v>1499</v>
      </c>
      <c r="AB887" t="s">
        <v>1501</v>
      </c>
      <c r="AC887">
        <v>0</v>
      </c>
      <c r="AD887">
        <v>2025</v>
      </c>
      <c r="AE887" t="s">
        <v>2818</v>
      </c>
      <c r="AF887" t="s">
        <v>2842</v>
      </c>
      <c r="AG887" t="s">
        <v>2847</v>
      </c>
      <c r="AH887" t="s">
        <v>2848</v>
      </c>
      <c r="AI887">
        <v>1</v>
      </c>
    </row>
    <row r="888" spans="1:35" x14ac:dyDescent="0.3">
      <c r="A888" t="s">
        <v>855</v>
      </c>
      <c r="B888">
        <v>1</v>
      </c>
      <c r="C888" s="1">
        <v>45962</v>
      </c>
      <c r="D888" s="1">
        <v>45962</v>
      </c>
      <c r="E888" t="s">
        <v>998</v>
      </c>
      <c r="F888" t="s">
        <v>1999</v>
      </c>
      <c r="G888" t="s">
        <v>1385</v>
      </c>
      <c r="H888" t="s">
        <v>2638</v>
      </c>
      <c r="I888" t="s">
        <v>2737</v>
      </c>
      <c r="J888" t="s">
        <v>2748</v>
      </c>
      <c r="K888" t="s">
        <v>1484</v>
      </c>
      <c r="L888" t="s">
        <v>2778</v>
      </c>
      <c r="M888" t="s">
        <v>2555</v>
      </c>
      <c r="N888" t="s">
        <v>2578</v>
      </c>
      <c r="O888" t="s">
        <v>2603</v>
      </c>
      <c r="P888" t="s">
        <v>2559</v>
      </c>
      <c r="Q888" t="s">
        <v>2559</v>
      </c>
      <c r="R888" t="s">
        <v>2603</v>
      </c>
      <c r="S888" t="s">
        <v>2606</v>
      </c>
      <c r="T888">
        <v>1</v>
      </c>
      <c r="U888" s="2">
        <v>46757.35</v>
      </c>
      <c r="V888" s="3">
        <v>0.05</v>
      </c>
      <c r="W888" s="2">
        <v>44419.48</v>
      </c>
      <c r="X888" s="2">
        <v>2229.2600000000002</v>
      </c>
      <c r="Y888" s="3">
        <v>5.0186539779394093E-2</v>
      </c>
      <c r="Z888" t="s">
        <v>1496</v>
      </c>
      <c r="AA888" t="s">
        <v>1498</v>
      </c>
      <c r="AB888" t="s">
        <v>1501</v>
      </c>
      <c r="AC888">
        <v>0</v>
      </c>
      <c r="AD888">
        <v>2025</v>
      </c>
      <c r="AE888" t="s">
        <v>2818</v>
      </c>
      <c r="AF888" t="s">
        <v>2842</v>
      </c>
      <c r="AG888" t="s">
        <v>2847</v>
      </c>
      <c r="AH888" t="s">
        <v>2848</v>
      </c>
      <c r="AI888">
        <v>1</v>
      </c>
    </row>
    <row r="889" spans="1:35" x14ac:dyDescent="0.3">
      <c r="A889" t="s">
        <v>856</v>
      </c>
      <c r="B889">
        <v>2</v>
      </c>
      <c r="C889" s="1">
        <v>45963</v>
      </c>
      <c r="D889" s="1">
        <v>45964</v>
      </c>
      <c r="E889" t="s">
        <v>1162</v>
      </c>
      <c r="F889" t="s">
        <v>1810</v>
      </c>
      <c r="G889" t="s">
        <v>1365</v>
      </c>
      <c r="H889" t="s">
        <v>2709</v>
      </c>
      <c r="I889" t="s">
        <v>2741</v>
      </c>
      <c r="J889" t="s">
        <v>2765</v>
      </c>
      <c r="K889" t="s">
        <v>1488</v>
      </c>
      <c r="L889" t="s">
        <v>2780</v>
      </c>
      <c r="M889" t="s">
        <v>2559</v>
      </c>
      <c r="N889" t="s">
        <v>2559</v>
      </c>
      <c r="O889" t="s">
        <v>2603</v>
      </c>
      <c r="P889" t="s">
        <v>2552</v>
      </c>
      <c r="Q889" t="s">
        <v>2575</v>
      </c>
      <c r="R889" t="s">
        <v>2603</v>
      </c>
      <c r="S889" t="s">
        <v>2608</v>
      </c>
      <c r="T889">
        <v>1</v>
      </c>
      <c r="U889" s="2">
        <v>1749.13</v>
      </c>
      <c r="V889" s="3">
        <v>0.15</v>
      </c>
      <c r="W889" s="2">
        <v>1486.76</v>
      </c>
      <c r="X889" s="2">
        <v>380.6</v>
      </c>
      <c r="Y889" s="3">
        <v>0.25599289730689562</v>
      </c>
      <c r="Z889" t="s">
        <v>1496</v>
      </c>
      <c r="AA889" t="s">
        <v>1498</v>
      </c>
      <c r="AB889" t="s">
        <v>1501</v>
      </c>
      <c r="AC889">
        <v>1</v>
      </c>
      <c r="AD889">
        <v>2025</v>
      </c>
      <c r="AE889" t="s">
        <v>2818</v>
      </c>
      <c r="AF889" t="s">
        <v>2842</v>
      </c>
      <c r="AG889" t="s">
        <v>2847</v>
      </c>
      <c r="AH889" t="s">
        <v>2848</v>
      </c>
      <c r="AI889">
        <v>1</v>
      </c>
    </row>
    <row r="890" spans="1:35" x14ac:dyDescent="0.3">
      <c r="A890" t="s">
        <v>857</v>
      </c>
      <c r="B890">
        <v>1</v>
      </c>
      <c r="C890" s="1">
        <v>45963</v>
      </c>
      <c r="E890" t="s">
        <v>1072</v>
      </c>
      <c r="F890" t="s">
        <v>1695</v>
      </c>
      <c r="G890" t="s">
        <v>1331</v>
      </c>
      <c r="H890" t="s">
        <v>2706</v>
      </c>
      <c r="I890" t="s">
        <v>2741</v>
      </c>
      <c r="J890" t="s">
        <v>2765</v>
      </c>
      <c r="K890" t="s">
        <v>1482</v>
      </c>
      <c r="L890" t="s">
        <v>2783</v>
      </c>
      <c r="M890" t="s">
        <v>2569</v>
      </c>
      <c r="N890" t="s">
        <v>2587</v>
      </c>
      <c r="O890" t="s">
        <v>2604</v>
      </c>
      <c r="P890" t="s">
        <v>2560</v>
      </c>
      <c r="Q890" t="s">
        <v>2579</v>
      </c>
      <c r="R890" t="s">
        <v>2604</v>
      </c>
      <c r="S890" t="s">
        <v>2608</v>
      </c>
      <c r="T890">
        <v>1</v>
      </c>
      <c r="U890" s="2">
        <v>1520.12</v>
      </c>
      <c r="V890" s="3">
        <v>0</v>
      </c>
      <c r="W890" s="2">
        <v>1520.12</v>
      </c>
      <c r="X890" s="2">
        <v>547.69000000000005</v>
      </c>
      <c r="Y890" s="3">
        <v>0.36029392416388178</v>
      </c>
      <c r="Z890" t="s">
        <v>1493</v>
      </c>
      <c r="AA890" t="s">
        <v>1499</v>
      </c>
      <c r="AB890" t="s">
        <v>1503</v>
      </c>
      <c r="AD890">
        <v>2025</v>
      </c>
      <c r="AE890" t="s">
        <v>2818</v>
      </c>
      <c r="AF890" t="s">
        <v>2842</v>
      </c>
      <c r="AG890" t="s">
        <v>2847</v>
      </c>
      <c r="AH890" t="s">
        <v>2848</v>
      </c>
      <c r="AI890">
        <v>1</v>
      </c>
    </row>
    <row r="891" spans="1:35" x14ac:dyDescent="0.3">
      <c r="A891" t="s">
        <v>858</v>
      </c>
      <c r="B891">
        <v>1</v>
      </c>
      <c r="C891" s="1">
        <v>45963</v>
      </c>
      <c r="D891" s="1">
        <v>45964</v>
      </c>
      <c r="E891" t="s">
        <v>1086</v>
      </c>
      <c r="F891" t="s">
        <v>1840</v>
      </c>
      <c r="G891" t="s">
        <v>1448</v>
      </c>
      <c r="H891" t="s">
        <v>2679</v>
      </c>
      <c r="I891" t="s">
        <v>2739</v>
      </c>
      <c r="J891" t="s">
        <v>2758</v>
      </c>
      <c r="K891" t="s">
        <v>1487</v>
      </c>
      <c r="L891" t="s">
        <v>2785</v>
      </c>
      <c r="M891" t="s">
        <v>2566</v>
      </c>
      <c r="N891" t="s">
        <v>2584</v>
      </c>
      <c r="O891" t="s">
        <v>2601</v>
      </c>
      <c r="P891" t="s">
        <v>2550</v>
      </c>
      <c r="Q891" t="s">
        <v>2573</v>
      </c>
      <c r="R891" t="s">
        <v>2601</v>
      </c>
      <c r="S891" t="s">
        <v>2607</v>
      </c>
      <c r="T891">
        <v>1</v>
      </c>
      <c r="U891" s="2">
        <v>579.75</v>
      </c>
      <c r="V891" s="3">
        <v>0</v>
      </c>
      <c r="W891" s="2">
        <v>579.75</v>
      </c>
      <c r="X891" s="2">
        <v>188.26</v>
      </c>
      <c r="Y891" s="3">
        <v>0.32472617507546347</v>
      </c>
      <c r="Z891" t="s">
        <v>1497</v>
      </c>
      <c r="AA891" t="s">
        <v>1499</v>
      </c>
      <c r="AB891" t="s">
        <v>1501</v>
      </c>
      <c r="AC891">
        <v>1</v>
      </c>
      <c r="AD891">
        <v>2025</v>
      </c>
      <c r="AE891" t="s">
        <v>2818</v>
      </c>
      <c r="AF891" t="s">
        <v>2842</v>
      </c>
      <c r="AG891" t="s">
        <v>2847</v>
      </c>
      <c r="AH891" t="s">
        <v>2848</v>
      </c>
      <c r="AI891">
        <v>1</v>
      </c>
    </row>
    <row r="892" spans="1:35" x14ac:dyDescent="0.3">
      <c r="A892" t="s">
        <v>859</v>
      </c>
      <c r="B892">
        <v>1</v>
      </c>
      <c r="C892" s="1">
        <v>45963</v>
      </c>
      <c r="D892" s="1">
        <v>45964</v>
      </c>
      <c r="E892" t="s">
        <v>1127</v>
      </c>
      <c r="F892" t="s">
        <v>1689</v>
      </c>
      <c r="G892" t="s">
        <v>1472</v>
      </c>
      <c r="H892" t="s">
        <v>2625</v>
      </c>
      <c r="I892" t="s">
        <v>2737</v>
      </c>
      <c r="J892" t="s">
        <v>2745</v>
      </c>
      <c r="K892" t="s">
        <v>1480</v>
      </c>
      <c r="L892" t="s">
        <v>2789</v>
      </c>
      <c r="M892" t="s">
        <v>2565</v>
      </c>
      <c r="N892" t="s">
        <v>2589</v>
      </c>
      <c r="O892" t="s">
        <v>2604</v>
      </c>
      <c r="R892" t="s">
        <v>2790</v>
      </c>
      <c r="S892" t="s">
        <v>2606</v>
      </c>
      <c r="T892">
        <v>1</v>
      </c>
      <c r="U892" s="2">
        <v>16791.75</v>
      </c>
      <c r="V892" s="3">
        <v>0.1</v>
      </c>
      <c r="W892" s="2">
        <v>15112.58</v>
      </c>
      <c r="X892" s="2">
        <v>-323.47000000000003</v>
      </c>
      <c r="Y892" s="3">
        <v>-2.1404022344298591E-2</v>
      </c>
      <c r="Z892" t="s">
        <v>1496</v>
      </c>
      <c r="AA892" t="s">
        <v>1498</v>
      </c>
      <c r="AB892" t="s">
        <v>1501</v>
      </c>
      <c r="AC892">
        <v>1</v>
      </c>
      <c r="AD892">
        <v>2025</v>
      </c>
      <c r="AE892" t="s">
        <v>2818</v>
      </c>
      <c r="AF892" t="s">
        <v>2842</v>
      </c>
      <c r="AG892" t="s">
        <v>2847</v>
      </c>
      <c r="AH892" t="s">
        <v>2848</v>
      </c>
      <c r="AI892">
        <v>1</v>
      </c>
    </row>
    <row r="893" spans="1:35" x14ac:dyDescent="0.3">
      <c r="A893" t="s">
        <v>860</v>
      </c>
      <c r="B893">
        <v>1</v>
      </c>
      <c r="C893" s="1">
        <v>45963</v>
      </c>
      <c r="D893" s="1">
        <v>45966</v>
      </c>
      <c r="E893" t="s">
        <v>1243</v>
      </c>
      <c r="F893" t="s">
        <v>1939</v>
      </c>
      <c r="G893" t="s">
        <v>1360</v>
      </c>
      <c r="H893" t="s">
        <v>2696</v>
      </c>
      <c r="I893" t="s">
        <v>2740</v>
      </c>
      <c r="J893" t="s">
        <v>2762</v>
      </c>
      <c r="K893" t="s">
        <v>1480</v>
      </c>
      <c r="L893" t="s">
        <v>2789</v>
      </c>
      <c r="M893" t="s">
        <v>2554</v>
      </c>
      <c r="N893" t="s">
        <v>2577</v>
      </c>
      <c r="O893" t="s">
        <v>2601</v>
      </c>
      <c r="R893" t="s">
        <v>2790</v>
      </c>
      <c r="S893" t="s">
        <v>2607</v>
      </c>
      <c r="T893">
        <v>1</v>
      </c>
      <c r="U893" s="2">
        <v>1166.3499999999999</v>
      </c>
      <c r="V893" s="3">
        <v>0</v>
      </c>
      <c r="W893" s="2">
        <v>1166.3499999999999</v>
      </c>
      <c r="X893" s="2">
        <v>136.61000000000001</v>
      </c>
      <c r="Y893" s="3">
        <v>0.11712607707806411</v>
      </c>
      <c r="Z893" t="s">
        <v>1496</v>
      </c>
      <c r="AA893" t="s">
        <v>1499</v>
      </c>
      <c r="AB893" t="s">
        <v>1501</v>
      </c>
      <c r="AC893">
        <v>3</v>
      </c>
      <c r="AD893">
        <v>2025</v>
      </c>
      <c r="AE893" t="s">
        <v>2818</v>
      </c>
      <c r="AF893" t="s">
        <v>2842</v>
      </c>
      <c r="AG893" t="s">
        <v>2847</v>
      </c>
      <c r="AH893" t="s">
        <v>2848</v>
      </c>
      <c r="AI893">
        <v>1</v>
      </c>
    </row>
    <row r="894" spans="1:35" x14ac:dyDescent="0.3">
      <c r="A894" t="s">
        <v>861</v>
      </c>
      <c r="B894">
        <v>1</v>
      </c>
      <c r="C894" s="1">
        <v>45965</v>
      </c>
      <c r="D894" s="1">
        <v>45967</v>
      </c>
      <c r="E894" t="s">
        <v>1039</v>
      </c>
      <c r="F894" t="s">
        <v>1877</v>
      </c>
      <c r="G894" t="s">
        <v>1381</v>
      </c>
      <c r="H894" t="s">
        <v>2682</v>
      </c>
      <c r="I894" t="s">
        <v>2739</v>
      </c>
      <c r="J894" t="s">
        <v>2759</v>
      </c>
      <c r="K894" t="s">
        <v>1480</v>
      </c>
      <c r="L894" t="s">
        <v>2789</v>
      </c>
      <c r="M894" t="s">
        <v>2556</v>
      </c>
      <c r="N894" t="s">
        <v>2574</v>
      </c>
      <c r="O894" t="s">
        <v>2602</v>
      </c>
      <c r="R894" t="s">
        <v>2790</v>
      </c>
      <c r="S894" t="s">
        <v>2606</v>
      </c>
      <c r="T894">
        <v>1</v>
      </c>
      <c r="U894" s="2">
        <v>4870.55</v>
      </c>
      <c r="V894" s="3">
        <v>0.2</v>
      </c>
      <c r="W894" s="2">
        <v>3896.44</v>
      </c>
      <c r="X894" s="2">
        <v>1002.82</v>
      </c>
      <c r="Y894" s="3">
        <v>0.25736826436439419</v>
      </c>
      <c r="Z894" t="s">
        <v>1497</v>
      </c>
      <c r="AA894" t="s">
        <v>1498</v>
      </c>
      <c r="AB894" t="s">
        <v>1501</v>
      </c>
      <c r="AC894">
        <v>2</v>
      </c>
      <c r="AD894">
        <v>2025</v>
      </c>
      <c r="AE894" t="s">
        <v>2818</v>
      </c>
      <c r="AF894" t="s">
        <v>2842</v>
      </c>
      <c r="AG894" t="s">
        <v>2847</v>
      </c>
      <c r="AH894" t="s">
        <v>2848</v>
      </c>
      <c r="AI894">
        <v>1</v>
      </c>
    </row>
    <row r="895" spans="1:35" x14ac:dyDescent="0.3">
      <c r="A895" t="s">
        <v>862</v>
      </c>
      <c r="B895">
        <v>1</v>
      </c>
      <c r="C895" s="1">
        <v>45965</v>
      </c>
      <c r="D895" s="1">
        <v>45968</v>
      </c>
      <c r="E895" t="s">
        <v>1309</v>
      </c>
      <c r="F895" t="s">
        <v>1762</v>
      </c>
      <c r="G895" t="s">
        <v>1476</v>
      </c>
      <c r="H895" t="s">
        <v>2710</v>
      </c>
      <c r="I895" t="s">
        <v>2741</v>
      </c>
      <c r="J895" t="s">
        <v>2766</v>
      </c>
      <c r="K895" t="s">
        <v>1480</v>
      </c>
      <c r="L895" t="s">
        <v>2789</v>
      </c>
      <c r="M895" t="s">
        <v>2566</v>
      </c>
      <c r="N895" t="s">
        <v>2584</v>
      </c>
      <c r="O895" t="s">
        <v>2601</v>
      </c>
      <c r="R895" t="s">
        <v>2790</v>
      </c>
      <c r="S895" t="s">
        <v>2606</v>
      </c>
      <c r="T895">
        <v>1</v>
      </c>
      <c r="U895" s="2">
        <v>114.74</v>
      </c>
      <c r="V895" s="3">
        <v>0</v>
      </c>
      <c r="W895" s="2">
        <v>114.74</v>
      </c>
      <c r="X895" s="2">
        <v>27.58</v>
      </c>
      <c r="Y895" s="3">
        <v>0.24036953111382259</v>
      </c>
      <c r="Z895" t="s">
        <v>1494</v>
      </c>
      <c r="AA895" t="s">
        <v>1499</v>
      </c>
      <c r="AB895" t="s">
        <v>1501</v>
      </c>
      <c r="AC895">
        <v>3</v>
      </c>
      <c r="AD895">
        <v>2025</v>
      </c>
      <c r="AE895" t="s">
        <v>2818</v>
      </c>
      <c r="AF895" t="s">
        <v>2842</v>
      </c>
      <c r="AG895" t="s">
        <v>2847</v>
      </c>
      <c r="AH895" t="s">
        <v>2848</v>
      </c>
      <c r="AI895">
        <v>1</v>
      </c>
    </row>
    <row r="896" spans="1:35" x14ac:dyDescent="0.3">
      <c r="A896" t="s">
        <v>863</v>
      </c>
      <c r="B896">
        <v>1</v>
      </c>
      <c r="C896" s="1">
        <v>45965</v>
      </c>
      <c r="D896" s="1">
        <v>45966</v>
      </c>
      <c r="E896" t="s">
        <v>1125</v>
      </c>
      <c r="F896" t="s">
        <v>1661</v>
      </c>
      <c r="G896" t="s">
        <v>1473</v>
      </c>
      <c r="H896" t="s">
        <v>2720</v>
      </c>
      <c r="I896" t="s">
        <v>2742</v>
      </c>
      <c r="J896" t="s">
        <v>2769</v>
      </c>
      <c r="K896" t="s">
        <v>1478</v>
      </c>
      <c r="L896" t="s">
        <v>2782</v>
      </c>
      <c r="M896" t="s">
        <v>2560</v>
      </c>
      <c r="N896" t="s">
        <v>2579</v>
      </c>
      <c r="O896" t="s">
        <v>2604</v>
      </c>
      <c r="P896" t="s">
        <v>2565</v>
      </c>
      <c r="Q896" t="s">
        <v>2583</v>
      </c>
      <c r="R896" t="s">
        <v>2604</v>
      </c>
      <c r="S896" t="s">
        <v>2606</v>
      </c>
      <c r="T896">
        <v>1</v>
      </c>
      <c r="U896" s="2">
        <v>9143.2999999999993</v>
      </c>
      <c r="V896" s="3">
        <v>0</v>
      </c>
      <c r="W896" s="2">
        <v>9143.2999999999993</v>
      </c>
      <c r="X896" s="2">
        <v>1980.95</v>
      </c>
      <c r="Y896" s="3">
        <v>0.21665591197926351</v>
      </c>
      <c r="Z896" t="s">
        <v>1495</v>
      </c>
      <c r="AA896" t="s">
        <v>1500</v>
      </c>
      <c r="AB896" t="s">
        <v>1501</v>
      </c>
      <c r="AC896">
        <v>1</v>
      </c>
      <c r="AD896">
        <v>2025</v>
      </c>
      <c r="AE896" t="s">
        <v>2818</v>
      </c>
      <c r="AF896" t="s">
        <v>2842</v>
      </c>
      <c r="AG896" t="s">
        <v>2847</v>
      </c>
      <c r="AH896" t="s">
        <v>2848</v>
      </c>
      <c r="AI896">
        <v>1</v>
      </c>
    </row>
    <row r="897" spans="1:35" x14ac:dyDescent="0.3">
      <c r="A897" t="s">
        <v>864</v>
      </c>
      <c r="B897">
        <v>2</v>
      </c>
      <c r="C897" s="1">
        <v>45967</v>
      </c>
      <c r="D897" s="1">
        <v>45968</v>
      </c>
      <c r="E897" t="s">
        <v>975</v>
      </c>
      <c r="F897" t="s">
        <v>1956</v>
      </c>
      <c r="G897" t="s">
        <v>1362</v>
      </c>
      <c r="H897" t="s">
        <v>2714</v>
      </c>
      <c r="I897" t="s">
        <v>2741</v>
      </c>
      <c r="J897" t="s">
        <v>2767</v>
      </c>
      <c r="K897" t="s">
        <v>1484</v>
      </c>
      <c r="L897" t="s">
        <v>2778</v>
      </c>
      <c r="M897" t="s">
        <v>2559</v>
      </c>
      <c r="N897" t="s">
        <v>2559</v>
      </c>
      <c r="O897" t="s">
        <v>2603</v>
      </c>
      <c r="P897" t="s">
        <v>2559</v>
      </c>
      <c r="Q897" t="s">
        <v>2559</v>
      </c>
      <c r="R897" t="s">
        <v>2603</v>
      </c>
      <c r="S897" t="s">
        <v>2608</v>
      </c>
      <c r="T897">
        <v>4</v>
      </c>
      <c r="U897" s="2">
        <v>375.5</v>
      </c>
      <c r="V897" s="3">
        <v>0</v>
      </c>
      <c r="W897" s="2">
        <v>1502</v>
      </c>
      <c r="X897" s="2">
        <v>584.6</v>
      </c>
      <c r="Y897" s="3">
        <v>0.38921438082556592</v>
      </c>
      <c r="Z897" t="s">
        <v>1495</v>
      </c>
      <c r="AA897" t="s">
        <v>1498</v>
      </c>
      <c r="AB897" t="s">
        <v>1501</v>
      </c>
      <c r="AC897">
        <v>1</v>
      </c>
      <c r="AD897">
        <v>2025</v>
      </c>
      <c r="AE897" t="s">
        <v>2818</v>
      </c>
      <c r="AF897" t="s">
        <v>2842</v>
      </c>
      <c r="AG897" t="s">
        <v>2847</v>
      </c>
      <c r="AH897" t="s">
        <v>2848</v>
      </c>
      <c r="AI897">
        <v>1</v>
      </c>
    </row>
    <row r="898" spans="1:35" x14ac:dyDescent="0.3">
      <c r="A898" t="s">
        <v>865</v>
      </c>
      <c r="B898">
        <v>1</v>
      </c>
      <c r="C898" s="1">
        <v>45968</v>
      </c>
      <c r="D898" s="1">
        <v>45969</v>
      </c>
      <c r="E898" t="s">
        <v>1310</v>
      </c>
      <c r="F898" t="s">
        <v>1781</v>
      </c>
      <c r="G898" t="s">
        <v>1367</v>
      </c>
      <c r="H898" t="s">
        <v>2657</v>
      </c>
      <c r="I898" t="s">
        <v>2738</v>
      </c>
      <c r="J898" t="s">
        <v>2754</v>
      </c>
      <c r="K898" t="s">
        <v>1488</v>
      </c>
      <c r="L898" t="s">
        <v>2780</v>
      </c>
      <c r="M898" t="s">
        <v>2555</v>
      </c>
      <c r="N898" t="s">
        <v>2578</v>
      </c>
      <c r="O898" t="s">
        <v>2603</v>
      </c>
      <c r="P898" t="s">
        <v>2552</v>
      </c>
      <c r="Q898" t="s">
        <v>2575</v>
      </c>
      <c r="R898" t="s">
        <v>2603</v>
      </c>
      <c r="S898" t="s">
        <v>2608</v>
      </c>
      <c r="T898">
        <v>2</v>
      </c>
      <c r="U898" s="2">
        <v>27891.1</v>
      </c>
      <c r="V898" s="3">
        <v>0</v>
      </c>
      <c r="W898" s="2">
        <v>55782.2</v>
      </c>
      <c r="X898" s="2">
        <v>15685.08</v>
      </c>
      <c r="Y898" s="3">
        <v>0.28118432044630731</v>
      </c>
      <c r="Z898" t="s">
        <v>1495</v>
      </c>
      <c r="AA898" t="s">
        <v>1500</v>
      </c>
      <c r="AB898" t="s">
        <v>1501</v>
      </c>
      <c r="AC898">
        <v>1</v>
      </c>
      <c r="AD898">
        <v>2025</v>
      </c>
      <c r="AE898" t="s">
        <v>2818</v>
      </c>
      <c r="AF898" t="s">
        <v>2842</v>
      </c>
      <c r="AG898" t="s">
        <v>2847</v>
      </c>
      <c r="AH898" t="s">
        <v>2848</v>
      </c>
      <c r="AI898">
        <v>1</v>
      </c>
    </row>
    <row r="899" spans="1:35" x14ac:dyDescent="0.3">
      <c r="A899" t="s">
        <v>866</v>
      </c>
      <c r="B899">
        <v>2</v>
      </c>
      <c r="C899" s="1">
        <v>45969</v>
      </c>
      <c r="E899" t="s">
        <v>1101</v>
      </c>
      <c r="F899" t="s">
        <v>1736</v>
      </c>
      <c r="G899" t="s">
        <v>1404</v>
      </c>
      <c r="H899" t="s">
        <v>2643</v>
      </c>
      <c r="I899" t="s">
        <v>2738</v>
      </c>
      <c r="J899" t="s">
        <v>2750</v>
      </c>
      <c r="K899" t="s">
        <v>1480</v>
      </c>
      <c r="L899" t="s">
        <v>2789</v>
      </c>
      <c r="M899" t="s">
        <v>2555</v>
      </c>
      <c r="N899" t="s">
        <v>2578</v>
      </c>
      <c r="O899" t="s">
        <v>2603</v>
      </c>
      <c r="R899" t="s">
        <v>2790</v>
      </c>
      <c r="S899" t="s">
        <v>2608</v>
      </c>
      <c r="T899">
        <v>1</v>
      </c>
      <c r="U899" s="2">
        <v>44125.88</v>
      </c>
      <c r="V899" s="3">
        <v>0.15</v>
      </c>
      <c r="W899" s="2">
        <v>37507</v>
      </c>
      <c r="X899" s="2">
        <v>3192.31</v>
      </c>
      <c r="Y899" s="3">
        <v>8.5112379022582452E-2</v>
      </c>
      <c r="Z899" t="s">
        <v>1494</v>
      </c>
      <c r="AA899" t="s">
        <v>1498</v>
      </c>
      <c r="AB899" t="s">
        <v>1503</v>
      </c>
      <c r="AD899">
        <v>2025</v>
      </c>
      <c r="AE899" t="s">
        <v>2818</v>
      </c>
      <c r="AF899" t="s">
        <v>2842</v>
      </c>
      <c r="AG899" t="s">
        <v>2847</v>
      </c>
      <c r="AH899" t="s">
        <v>2848</v>
      </c>
      <c r="AI899">
        <v>1</v>
      </c>
    </row>
    <row r="900" spans="1:35" x14ac:dyDescent="0.3">
      <c r="A900" t="s">
        <v>867</v>
      </c>
      <c r="B900">
        <v>1</v>
      </c>
      <c r="C900" s="1">
        <v>45969</v>
      </c>
      <c r="D900" s="1">
        <v>45969</v>
      </c>
      <c r="E900" t="s">
        <v>1311</v>
      </c>
      <c r="F900" t="s">
        <v>1861</v>
      </c>
      <c r="G900" t="s">
        <v>1460</v>
      </c>
      <c r="H900" t="s">
        <v>2667</v>
      </c>
      <c r="I900" t="s">
        <v>2739</v>
      </c>
      <c r="J900" t="s">
        <v>2755</v>
      </c>
      <c r="K900" t="s">
        <v>1485</v>
      </c>
      <c r="L900" t="s">
        <v>2775</v>
      </c>
      <c r="M900" t="s">
        <v>2557</v>
      </c>
      <c r="N900" t="s">
        <v>2576</v>
      </c>
      <c r="O900" t="s">
        <v>2602</v>
      </c>
      <c r="P900" t="s">
        <v>2562</v>
      </c>
      <c r="Q900" t="s">
        <v>2574</v>
      </c>
      <c r="R900" t="s">
        <v>2602</v>
      </c>
      <c r="S900" t="s">
        <v>2606</v>
      </c>
      <c r="T900">
        <v>2</v>
      </c>
      <c r="U900" s="2">
        <v>4883.8599999999997</v>
      </c>
      <c r="V900" s="3">
        <v>0</v>
      </c>
      <c r="W900" s="2">
        <v>9767.7199999999993</v>
      </c>
      <c r="X900" s="2">
        <v>3354.98</v>
      </c>
      <c r="Y900" s="3">
        <v>0.34347626672345238</v>
      </c>
      <c r="Z900" t="s">
        <v>1493</v>
      </c>
      <c r="AA900" t="s">
        <v>1498</v>
      </c>
      <c r="AB900" t="s">
        <v>1501</v>
      </c>
      <c r="AC900">
        <v>0</v>
      </c>
      <c r="AD900">
        <v>2025</v>
      </c>
      <c r="AE900" t="s">
        <v>2818</v>
      </c>
      <c r="AF900" t="s">
        <v>2842</v>
      </c>
      <c r="AG900" t="s">
        <v>2847</v>
      </c>
      <c r="AH900" t="s">
        <v>2848</v>
      </c>
      <c r="AI900">
        <v>1</v>
      </c>
    </row>
    <row r="901" spans="1:35" x14ac:dyDescent="0.3">
      <c r="A901" t="s">
        <v>868</v>
      </c>
      <c r="B901">
        <v>1</v>
      </c>
      <c r="C901" s="1">
        <v>45970</v>
      </c>
      <c r="D901" s="1">
        <v>45971</v>
      </c>
      <c r="E901" t="s">
        <v>1295</v>
      </c>
      <c r="F901" t="s">
        <v>1929</v>
      </c>
      <c r="G901" t="s">
        <v>1374</v>
      </c>
      <c r="H901" t="s">
        <v>2707</v>
      </c>
      <c r="I901" t="s">
        <v>2741</v>
      </c>
      <c r="J901" t="s">
        <v>2765</v>
      </c>
      <c r="K901" t="s">
        <v>1480</v>
      </c>
      <c r="L901" t="s">
        <v>2789</v>
      </c>
      <c r="M901" t="s">
        <v>2570</v>
      </c>
      <c r="N901" t="s">
        <v>2588</v>
      </c>
      <c r="O901" t="s">
        <v>2605</v>
      </c>
      <c r="R901" t="s">
        <v>2790</v>
      </c>
      <c r="S901" t="s">
        <v>2607</v>
      </c>
      <c r="T901">
        <v>2</v>
      </c>
      <c r="U901" s="2">
        <v>1645.17</v>
      </c>
      <c r="V901" s="3">
        <v>0.05</v>
      </c>
      <c r="W901" s="2">
        <v>3125.82</v>
      </c>
      <c r="X901" s="2">
        <v>517.34</v>
      </c>
      <c r="Y901" s="3">
        <v>0.16550537139054711</v>
      </c>
      <c r="Z901" t="s">
        <v>1496</v>
      </c>
      <c r="AA901" t="s">
        <v>1500</v>
      </c>
      <c r="AB901" t="s">
        <v>1501</v>
      </c>
      <c r="AC901">
        <v>1</v>
      </c>
      <c r="AD901">
        <v>2025</v>
      </c>
      <c r="AE901" t="s">
        <v>2818</v>
      </c>
      <c r="AF901" t="s">
        <v>2842</v>
      </c>
      <c r="AG901" t="s">
        <v>2847</v>
      </c>
      <c r="AH901" t="s">
        <v>2848</v>
      </c>
      <c r="AI901">
        <v>1</v>
      </c>
    </row>
    <row r="902" spans="1:35" x14ac:dyDescent="0.3">
      <c r="A902" t="s">
        <v>869</v>
      </c>
      <c r="B902">
        <v>1</v>
      </c>
      <c r="C902" s="1">
        <v>45970</v>
      </c>
      <c r="D902" s="1">
        <v>45971</v>
      </c>
      <c r="E902" t="s">
        <v>1200</v>
      </c>
      <c r="F902" t="s">
        <v>1872</v>
      </c>
      <c r="G902" t="s">
        <v>1331</v>
      </c>
      <c r="H902" t="s">
        <v>2706</v>
      </c>
      <c r="I902" t="s">
        <v>2741</v>
      </c>
      <c r="J902" t="s">
        <v>2765</v>
      </c>
      <c r="K902" t="s">
        <v>1480</v>
      </c>
      <c r="L902" t="s">
        <v>2789</v>
      </c>
      <c r="M902" t="s">
        <v>2557</v>
      </c>
      <c r="N902" t="s">
        <v>2576</v>
      </c>
      <c r="O902" t="s">
        <v>2602</v>
      </c>
      <c r="R902" t="s">
        <v>2790</v>
      </c>
      <c r="S902" t="s">
        <v>2606</v>
      </c>
      <c r="T902">
        <v>1</v>
      </c>
      <c r="U902" s="2">
        <v>1520.12</v>
      </c>
      <c r="V902" s="3">
        <v>0</v>
      </c>
      <c r="W902" s="2">
        <v>1520.12</v>
      </c>
      <c r="X902" s="2">
        <v>547.69000000000005</v>
      </c>
      <c r="Y902" s="3">
        <v>0.36029392416388178</v>
      </c>
      <c r="Z902" t="s">
        <v>1494</v>
      </c>
      <c r="AA902" t="s">
        <v>1499</v>
      </c>
      <c r="AB902" t="s">
        <v>1501</v>
      </c>
      <c r="AC902">
        <v>1</v>
      </c>
      <c r="AD902">
        <v>2025</v>
      </c>
      <c r="AE902" t="s">
        <v>2818</v>
      </c>
      <c r="AF902" t="s">
        <v>2842</v>
      </c>
      <c r="AG902" t="s">
        <v>2847</v>
      </c>
      <c r="AH902" t="s">
        <v>2848</v>
      </c>
      <c r="AI902">
        <v>1</v>
      </c>
    </row>
    <row r="903" spans="1:35" x14ac:dyDescent="0.3">
      <c r="A903" t="s">
        <v>870</v>
      </c>
      <c r="B903">
        <v>1</v>
      </c>
      <c r="C903" s="1">
        <v>45970</v>
      </c>
      <c r="D903" s="1">
        <v>45971</v>
      </c>
      <c r="E903" t="s">
        <v>1312</v>
      </c>
      <c r="F903" t="s">
        <v>2006</v>
      </c>
      <c r="G903" t="s">
        <v>1425</v>
      </c>
      <c r="H903" t="s">
        <v>2655</v>
      </c>
      <c r="I903" t="s">
        <v>2738</v>
      </c>
      <c r="J903" t="s">
        <v>2753</v>
      </c>
      <c r="K903" t="s">
        <v>1489</v>
      </c>
      <c r="L903" t="s">
        <v>2787</v>
      </c>
      <c r="M903" t="s">
        <v>2564</v>
      </c>
      <c r="N903" t="s">
        <v>2582</v>
      </c>
      <c r="O903" t="s">
        <v>2601</v>
      </c>
      <c r="P903" t="s">
        <v>2566</v>
      </c>
      <c r="Q903" t="s">
        <v>2584</v>
      </c>
      <c r="R903" t="s">
        <v>2601</v>
      </c>
      <c r="S903" t="s">
        <v>2607</v>
      </c>
      <c r="T903">
        <v>2</v>
      </c>
      <c r="U903" s="2">
        <v>6347.66</v>
      </c>
      <c r="V903" s="3">
        <v>0</v>
      </c>
      <c r="W903" s="2">
        <v>12695.32</v>
      </c>
      <c r="X903" s="2">
        <v>3486.98</v>
      </c>
      <c r="Y903" s="3">
        <v>0.274666570043134</v>
      </c>
      <c r="Z903" t="s">
        <v>1494</v>
      </c>
      <c r="AA903" t="s">
        <v>1500</v>
      </c>
      <c r="AB903" t="s">
        <v>1501</v>
      </c>
      <c r="AC903">
        <v>1</v>
      </c>
      <c r="AD903">
        <v>2025</v>
      </c>
      <c r="AE903" t="s">
        <v>2818</v>
      </c>
      <c r="AF903" t="s">
        <v>2842</v>
      </c>
      <c r="AG903" t="s">
        <v>2847</v>
      </c>
      <c r="AH903" t="s">
        <v>2848</v>
      </c>
      <c r="AI903">
        <v>1</v>
      </c>
    </row>
    <row r="904" spans="1:35" x14ac:dyDescent="0.3">
      <c r="A904" t="s">
        <v>871</v>
      </c>
      <c r="B904">
        <v>1</v>
      </c>
      <c r="C904" s="1">
        <v>45970</v>
      </c>
      <c r="D904" s="1">
        <v>45971</v>
      </c>
      <c r="E904" t="s">
        <v>1188</v>
      </c>
      <c r="F904" t="s">
        <v>1766</v>
      </c>
      <c r="G904" t="s">
        <v>1448</v>
      </c>
      <c r="H904" t="s">
        <v>2679</v>
      </c>
      <c r="I904" t="s">
        <v>2739</v>
      </c>
      <c r="J904" t="s">
        <v>2758</v>
      </c>
      <c r="K904" t="s">
        <v>1480</v>
      </c>
      <c r="L904" t="s">
        <v>2789</v>
      </c>
      <c r="M904" t="s">
        <v>2550</v>
      </c>
      <c r="N904" t="s">
        <v>2573</v>
      </c>
      <c r="O904" t="s">
        <v>2601</v>
      </c>
      <c r="R904" t="s">
        <v>2790</v>
      </c>
      <c r="S904" t="s">
        <v>2608</v>
      </c>
      <c r="T904">
        <v>2</v>
      </c>
      <c r="U904" s="2">
        <v>579.75</v>
      </c>
      <c r="V904" s="3">
        <v>0</v>
      </c>
      <c r="W904" s="2">
        <v>1159.5</v>
      </c>
      <c r="X904" s="2">
        <v>376.52</v>
      </c>
      <c r="Y904" s="3">
        <v>0.32472617507546347</v>
      </c>
      <c r="Z904" t="s">
        <v>1496</v>
      </c>
      <c r="AA904" t="s">
        <v>1498</v>
      </c>
      <c r="AB904" t="s">
        <v>1502</v>
      </c>
      <c r="AC904">
        <v>1</v>
      </c>
      <c r="AD904">
        <v>2025</v>
      </c>
      <c r="AE904" t="s">
        <v>2818</v>
      </c>
      <c r="AF904" t="s">
        <v>2842</v>
      </c>
      <c r="AG904" t="s">
        <v>2847</v>
      </c>
      <c r="AH904" t="s">
        <v>2848</v>
      </c>
      <c r="AI904">
        <v>1</v>
      </c>
    </row>
    <row r="905" spans="1:35" x14ac:dyDescent="0.3">
      <c r="A905" t="s">
        <v>872</v>
      </c>
      <c r="B905">
        <v>1</v>
      </c>
      <c r="C905" s="1">
        <v>45971</v>
      </c>
      <c r="D905" s="1">
        <v>45972</v>
      </c>
      <c r="E905" t="s">
        <v>1083</v>
      </c>
      <c r="F905" t="s">
        <v>1719</v>
      </c>
      <c r="G905" t="s">
        <v>1424</v>
      </c>
      <c r="H905" t="s">
        <v>2624</v>
      </c>
      <c r="I905" t="s">
        <v>2737</v>
      </c>
      <c r="J905" t="s">
        <v>2745</v>
      </c>
      <c r="K905" t="s">
        <v>1479</v>
      </c>
      <c r="L905" t="s">
        <v>2786</v>
      </c>
      <c r="M905" t="s">
        <v>2564</v>
      </c>
      <c r="N905" t="s">
        <v>2582</v>
      </c>
      <c r="O905" t="s">
        <v>2601</v>
      </c>
      <c r="P905" t="s">
        <v>2564</v>
      </c>
      <c r="Q905" t="s">
        <v>2582</v>
      </c>
      <c r="R905" t="s">
        <v>2601</v>
      </c>
      <c r="S905" t="s">
        <v>2606</v>
      </c>
      <c r="T905">
        <v>1</v>
      </c>
      <c r="U905" s="2">
        <v>31609.79</v>
      </c>
      <c r="V905" s="3">
        <v>0</v>
      </c>
      <c r="W905" s="2">
        <v>31609.79</v>
      </c>
      <c r="X905" s="2">
        <v>3440.18</v>
      </c>
      <c r="Y905" s="3">
        <v>0.1088327382118008</v>
      </c>
      <c r="Z905" t="s">
        <v>1493</v>
      </c>
      <c r="AA905" t="s">
        <v>1498</v>
      </c>
      <c r="AB905" t="s">
        <v>1501</v>
      </c>
      <c r="AC905">
        <v>1</v>
      </c>
      <c r="AD905">
        <v>2025</v>
      </c>
      <c r="AE905" t="s">
        <v>2818</v>
      </c>
      <c r="AF905" t="s">
        <v>2842</v>
      </c>
      <c r="AG905" t="s">
        <v>2847</v>
      </c>
      <c r="AH905" t="s">
        <v>2848</v>
      </c>
      <c r="AI905">
        <v>1</v>
      </c>
    </row>
    <row r="906" spans="1:35" x14ac:dyDescent="0.3">
      <c r="A906" t="s">
        <v>873</v>
      </c>
      <c r="B906">
        <v>2</v>
      </c>
      <c r="C906" s="1">
        <v>45971</v>
      </c>
      <c r="D906" s="1">
        <v>45971</v>
      </c>
      <c r="E906" t="s">
        <v>1051</v>
      </c>
      <c r="F906" t="s">
        <v>1941</v>
      </c>
      <c r="G906" t="s">
        <v>1384</v>
      </c>
      <c r="H906" t="s">
        <v>2659</v>
      </c>
      <c r="I906" t="s">
        <v>2738</v>
      </c>
      <c r="J906" t="s">
        <v>2754</v>
      </c>
      <c r="K906" t="s">
        <v>1487</v>
      </c>
      <c r="L906" t="s">
        <v>2785</v>
      </c>
      <c r="M906" t="s">
        <v>2564</v>
      </c>
      <c r="N906" t="s">
        <v>2582</v>
      </c>
      <c r="O906" t="s">
        <v>2601</v>
      </c>
      <c r="P906" t="s">
        <v>2550</v>
      </c>
      <c r="Q906" t="s">
        <v>2573</v>
      </c>
      <c r="R906" t="s">
        <v>2601</v>
      </c>
      <c r="S906" t="s">
        <v>2608</v>
      </c>
      <c r="T906">
        <v>1</v>
      </c>
      <c r="U906" s="2">
        <v>35937.699999999997</v>
      </c>
      <c r="V906" s="3">
        <v>0</v>
      </c>
      <c r="W906" s="2">
        <v>35937.699999999997</v>
      </c>
      <c r="X906" s="2">
        <v>10629.44</v>
      </c>
      <c r="Y906" s="3">
        <v>0.29577407569210051</v>
      </c>
      <c r="Z906" t="s">
        <v>1497</v>
      </c>
      <c r="AA906" t="s">
        <v>1498</v>
      </c>
      <c r="AB906" t="s">
        <v>1501</v>
      </c>
      <c r="AC906">
        <v>0</v>
      </c>
      <c r="AD906">
        <v>2025</v>
      </c>
      <c r="AE906" t="s">
        <v>2818</v>
      </c>
      <c r="AF906" t="s">
        <v>2842</v>
      </c>
      <c r="AG906" t="s">
        <v>2847</v>
      </c>
      <c r="AH906" t="s">
        <v>2848</v>
      </c>
      <c r="AI906">
        <v>1</v>
      </c>
    </row>
    <row r="907" spans="1:35" x14ac:dyDescent="0.3">
      <c r="A907" t="s">
        <v>874</v>
      </c>
      <c r="B907">
        <v>1</v>
      </c>
      <c r="C907" s="1">
        <v>45972</v>
      </c>
      <c r="D907" s="1">
        <v>45974</v>
      </c>
      <c r="E907" t="s">
        <v>973</v>
      </c>
      <c r="F907" t="s">
        <v>1721</v>
      </c>
      <c r="G907" t="s">
        <v>1333</v>
      </c>
      <c r="H907" t="s">
        <v>2620</v>
      </c>
      <c r="I907" t="s">
        <v>2737</v>
      </c>
      <c r="J907" t="s">
        <v>2744</v>
      </c>
      <c r="K907" t="s">
        <v>1480</v>
      </c>
      <c r="L907" t="s">
        <v>2789</v>
      </c>
      <c r="M907" t="s">
        <v>2560</v>
      </c>
      <c r="N907" t="s">
        <v>2579</v>
      </c>
      <c r="O907" t="s">
        <v>2604</v>
      </c>
      <c r="R907" t="s">
        <v>2790</v>
      </c>
      <c r="S907" t="s">
        <v>2608</v>
      </c>
      <c r="T907">
        <v>1</v>
      </c>
      <c r="U907" s="2">
        <v>16375.46</v>
      </c>
      <c r="V907" s="3">
        <v>0</v>
      </c>
      <c r="W907" s="2">
        <v>16375.46</v>
      </c>
      <c r="X907" s="2">
        <v>2074.31</v>
      </c>
      <c r="Y907" s="3">
        <v>0.12667186143167891</v>
      </c>
      <c r="Z907" t="s">
        <v>1497</v>
      </c>
      <c r="AA907" t="s">
        <v>1499</v>
      </c>
      <c r="AB907" t="s">
        <v>1501</v>
      </c>
      <c r="AC907">
        <v>2</v>
      </c>
      <c r="AD907">
        <v>2025</v>
      </c>
      <c r="AE907" t="s">
        <v>2818</v>
      </c>
      <c r="AF907" t="s">
        <v>2842</v>
      </c>
      <c r="AG907" t="s">
        <v>2847</v>
      </c>
      <c r="AH907" t="s">
        <v>2848</v>
      </c>
      <c r="AI907">
        <v>1</v>
      </c>
    </row>
    <row r="908" spans="1:35" x14ac:dyDescent="0.3">
      <c r="A908" t="s">
        <v>875</v>
      </c>
      <c r="B908">
        <v>1</v>
      </c>
      <c r="C908" s="1">
        <v>45972</v>
      </c>
      <c r="D908" s="1">
        <v>45974</v>
      </c>
      <c r="E908" t="s">
        <v>1106</v>
      </c>
      <c r="F908" t="s">
        <v>1936</v>
      </c>
      <c r="G908" t="s">
        <v>1405</v>
      </c>
      <c r="H908" t="s">
        <v>2639</v>
      </c>
      <c r="I908" t="s">
        <v>2737</v>
      </c>
      <c r="J908" t="s">
        <v>2748</v>
      </c>
      <c r="K908" t="s">
        <v>1480</v>
      </c>
      <c r="L908" t="s">
        <v>2789</v>
      </c>
      <c r="M908" t="s">
        <v>2554</v>
      </c>
      <c r="N908" t="s">
        <v>2577</v>
      </c>
      <c r="O908" t="s">
        <v>2601</v>
      </c>
      <c r="R908" t="s">
        <v>2790</v>
      </c>
      <c r="S908" t="s">
        <v>2608</v>
      </c>
      <c r="T908">
        <v>1</v>
      </c>
      <c r="U908" s="2">
        <v>57633.32</v>
      </c>
      <c r="V908" s="3">
        <v>0</v>
      </c>
      <c r="W908" s="2">
        <v>57633.32</v>
      </c>
      <c r="X908" s="2">
        <v>7200.49</v>
      </c>
      <c r="Y908" s="3">
        <v>0.1249362348030618</v>
      </c>
      <c r="Z908" t="s">
        <v>1494</v>
      </c>
      <c r="AA908" t="s">
        <v>1498</v>
      </c>
      <c r="AB908" t="s">
        <v>1501</v>
      </c>
      <c r="AC908">
        <v>2</v>
      </c>
      <c r="AD908">
        <v>2025</v>
      </c>
      <c r="AE908" t="s">
        <v>2818</v>
      </c>
      <c r="AF908" t="s">
        <v>2842</v>
      </c>
      <c r="AG908" t="s">
        <v>2847</v>
      </c>
      <c r="AH908" t="s">
        <v>2848</v>
      </c>
      <c r="AI908">
        <v>1</v>
      </c>
    </row>
    <row r="909" spans="1:35" x14ac:dyDescent="0.3">
      <c r="A909" t="s">
        <v>876</v>
      </c>
      <c r="B909">
        <v>1</v>
      </c>
      <c r="C909" s="1">
        <v>45972</v>
      </c>
      <c r="D909" s="1">
        <v>45974</v>
      </c>
      <c r="E909" t="s">
        <v>989</v>
      </c>
      <c r="F909" t="s">
        <v>1758</v>
      </c>
      <c r="G909" t="s">
        <v>1404</v>
      </c>
      <c r="H909" t="s">
        <v>2643</v>
      </c>
      <c r="I909" t="s">
        <v>2738</v>
      </c>
      <c r="J909" t="s">
        <v>2750</v>
      </c>
      <c r="K909" t="s">
        <v>1480</v>
      </c>
      <c r="L909" t="s">
        <v>2789</v>
      </c>
      <c r="M909" t="s">
        <v>2563</v>
      </c>
      <c r="N909" t="s">
        <v>2581</v>
      </c>
      <c r="O909" t="s">
        <v>2604</v>
      </c>
      <c r="R909" t="s">
        <v>2790</v>
      </c>
      <c r="S909" t="s">
        <v>2606</v>
      </c>
      <c r="T909">
        <v>1</v>
      </c>
      <c r="U909" s="2">
        <v>44125.88</v>
      </c>
      <c r="V909" s="3">
        <v>0</v>
      </c>
      <c r="W909" s="2">
        <v>44125.88</v>
      </c>
      <c r="X909" s="2">
        <v>9811.19</v>
      </c>
      <c r="Y909" s="3">
        <v>0.22234548070202789</v>
      </c>
      <c r="Z909" t="s">
        <v>1496</v>
      </c>
      <c r="AA909" t="s">
        <v>1499</v>
      </c>
      <c r="AB909" t="s">
        <v>1501</v>
      </c>
      <c r="AC909">
        <v>2</v>
      </c>
      <c r="AD909">
        <v>2025</v>
      </c>
      <c r="AE909" t="s">
        <v>2818</v>
      </c>
      <c r="AF909" t="s">
        <v>2842</v>
      </c>
      <c r="AG909" t="s">
        <v>2847</v>
      </c>
      <c r="AH909" t="s">
        <v>2848</v>
      </c>
      <c r="AI909">
        <v>1</v>
      </c>
    </row>
    <row r="910" spans="1:35" x14ac:dyDescent="0.3">
      <c r="A910" t="s">
        <v>877</v>
      </c>
      <c r="B910">
        <v>1</v>
      </c>
      <c r="C910" s="1">
        <v>45973</v>
      </c>
      <c r="D910" s="1">
        <v>45975</v>
      </c>
      <c r="E910" t="s">
        <v>1005</v>
      </c>
      <c r="F910" t="s">
        <v>1696</v>
      </c>
      <c r="G910" t="s">
        <v>1405</v>
      </c>
      <c r="H910" t="s">
        <v>2639</v>
      </c>
      <c r="I910" t="s">
        <v>2737</v>
      </c>
      <c r="J910" t="s">
        <v>2748</v>
      </c>
      <c r="K910" t="s">
        <v>1480</v>
      </c>
      <c r="L910" t="s">
        <v>2789</v>
      </c>
      <c r="M910" t="s">
        <v>2560</v>
      </c>
      <c r="N910" t="s">
        <v>2579</v>
      </c>
      <c r="O910" t="s">
        <v>2604</v>
      </c>
      <c r="R910" t="s">
        <v>2790</v>
      </c>
      <c r="S910" t="s">
        <v>2608</v>
      </c>
      <c r="T910">
        <v>3</v>
      </c>
      <c r="U910" s="2">
        <v>57633.32</v>
      </c>
      <c r="V910" s="3">
        <v>0</v>
      </c>
      <c r="W910" s="2">
        <v>172899.96</v>
      </c>
      <c r="X910" s="2">
        <v>21601.47</v>
      </c>
      <c r="Y910" s="3">
        <v>0.1249362348030618</v>
      </c>
      <c r="Z910" t="s">
        <v>1496</v>
      </c>
      <c r="AA910" t="s">
        <v>1498</v>
      </c>
      <c r="AB910" t="s">
        <v>1501</v>
      </c>
      <c r="AC910">
        <v>2</v>
      </c>
      <c r="AD910">
        <v>2025</v>
      </c>
      <c r="AE910" t="s">
        <v>2818</v>
      </c>
      <c r="AF910" t="s">
        <v>2842</v>
      </c>
      <c r="AG910" t="s">
        <v>2847</v>
      </c>
      <c r="AH910" t="s">
        <v>2848</v>
      </c>
      <c r="AI910">
        <v>1</v>
      </c>
    </row>
    <row r="911" spans="1:35" x14ac:dyDescent="0.3">
      <c r="A911" t="s">
        <v>878</v>
      </c>
      <c r="B911">
        <v>1</v>
      </c>
      <c r="C911" s="1">
        <v>45973</v>
      </c>
      <c r="D911" s="1">
        <v>45975</v>
      </c>
      <c r="E911" t="s">
        <v>1236</v>
      </c>
      <c r="F911" t="s">
        <v>1811</v>
      </c>
      <c r="G911" t="s">
        <v>1473</v>
      </c>
      <c r="H911" t="s">
        <v>2720</v>
      </c>
      <c r="I911" t="s">
        <v>2742</v>
      </c>
      <c r="J911" t="s">
        <v>2769</v>
      </c>
      <c r="K911" t="s">
        <v>1480</v>
      </c>
      <c r="L911" t="s">
        <v>2789</v>
      </c>
      <c r="M911" t="s">
        <v>2569</v>
      </c>
      <c r="N911" t="s">
        <v>2587</v>
      </c>
      <c r="O911" t="s">
        <v>2604</v>
      </c>
      <c r="R911" t="s">
        <v>2790</v>
      </c>
      <c r="S911" t="s">
        <v>2608</v>
      </c>
      <c r="T911">
        <v>3</v>
      </c>
      <c r="U911" s="2">
        <v>9143.2999999999993</v>
      </c>
      <c r="V911" s="3">
        <v>0.05</v>
      </c>
      <c r="W911" s="2">
        <v>26058.400000000001</v>
      </c>
      <c r="X911" s="2">
        <v>4571.3500000000004</v>
      </c>
      <c r="Y911" s="3">
        <v>0.17542711755134621</v>
      </c>
      <c r="Z911" t="s">
        <v>1493</v>
      </c>
      <c r="AA911" t="s">
        <v>1499</v>
      </c>
      <c r="AB911" t="s">
        <v>1501</v>
      </c>
      <c r="AC911">
        <v>2</v>
      </c>
      <c r="AD911">
        <v>2025</v>
      </c>
      <c r="AE911" t="s">
        <v>2818</v>
      </c>
      <c r="AF911" t="s">
        <v>2842</v>
      </c>
      <c r="AG911" t="s">
        <v>2847</v>
      </c>
      <c r="AH911" t="s">
        <v>2848</v>
      </c>
      <c r="AI911">
        <v>1</v>
      </c>
    </row>
    <row r="912" spans="1:35" x14ac:dyDescent="0.3">
      <c r="A912" t="s">
        <v>879</v>
      </c>
      <c r="B912">
        <v>1</v>
      </c>
      <c r="C912" s="1">
        <v>45973</v>
      </c>
      <c r="D912" s="1">
        <v>45973</v>
      </c>
      <c r="E912" t="s">
        <v>1187</v>
      </c>
      <c r="F912" t="s">
        <v>1985</v>
      </c>
      <c r="G912" t="s">
        <v>1364</v>
      </c>
      <c r="H912" t="s">
        <v>2699</v>
      </c>
      <c r="I912" t="s">
        <v>2740</v>
      </c>
      <c r="J912" t="s">
        <v>2762</v>
      </c>
      <c r="K912" t="s">
        <v>1479</v>
      </c>
      <c r="L912" t="s">
        <v>2786</v>
      </c>
      <c r="M912" t="s">
        <v>2550</v>
      </c>
      <c r="N912" t="s">
        <v>2573</v>
      </c>
      <c r="O912" t="s">
        <v>2601</v>
      </c>
      <c r="P912" t="s">
        <v>2564</v>
      </c>
      <c r="Q912" t="s">
        <v>2582</v>
      </c>
      <c r="R912" t="s">
        <v>2601</v>
      </c>
      <c r="S912" t="s">
        <v>2606</v>
      </c>
      <c r="T912">
        <v>1</v>
      </c>
      <c r="U912" s="2">
        <v>590.01</v>
      </c>
      <c r="V912" s="3">
        <v>0</v>
      </c>
      <c r="W912" s="2">
        <v>590.01</v>
      </c>
      <c r="X912" s="2">
        <v>72.55</v>
      </c>
      <c r="Y912" s="3">
        <v>0.12296401755902441</v>
      </c>
      <c r="Z912" t="s">
        <v>1493</v>
      </c>
      <c r="AA912" t="s">
        <v>1498</v>
      </c>
      <c r="AB912" t="s">
        <v>1501</v>
      </c>
      <c r="AC912">
        <v>0</v>
      </c>
      <c r="AD912">
        <v>2025</v>
      </c>
      <c r="AE912" t="s">
        <v>2818</v>
      </c>
      <c r="AF912" t="s">
        <v>2842</v>
      </c>
      <c r="AG912" t="s">
        <v>2847</v>
      </c>
      <c r="AH912" t="s">
        <v>2848</v>
      </c>
      <c r="AI912">
        <v>1</v>
      </c>
    </row>
    <row r="913" spans="1:35" x14ac:dyDescent="0.3">
      <c r="A913" t="s">
        <v>880</v>
      </c>
      <c r="B913">
        <v>1</v>
      </c>
      <c r="C913" s="1">
        <v>45973</v>
      </c>
      <c r="D913" s="1">
        <v>45973</v>
      </c>
      <c r="E913" t="s">
        <v>1086</v>
      </c>
      <c r="F913" t="s">
        <v>1840</v>
      </c>
      <c r="G913" t="s">
        <v>1348</v>
      </c>
      <c r="H913" t="s">
        <v>2669</v>
      </c>
      <c r="I913" t="s">
        <v>2739</v>
      </c>
      <c r="J913" t="s">
        <v>2756</v>
      </c>
      <c r="K913" t="s">
        <v>1492</v>
      </c>
      <c r="L913" t="s">
        <v>2788</v>
      </c>
      <c r="M913" t="s">
        <v>2566</v>
      </c>
      <c r="N913" t="s">
        <v>2584</v>
      </c>
      <c r="O913" t="s">
        <v>2601</v>
      </c>
      <c r="P913" t="s">
        <v>2554</v>
      </c>
      <c r="Q913" t="s">
        <v>2577</v>
      </c>
      <c r="R913" t="s">
        <v>2601</v>
      </c>
      <c r="S913" t="s">
        <v>2607</v>
      </c>
      <c r="T913">
        <v>1</v>
      </c>
      <c r="U913" s="2">
        <v>921.12</v>
      </c>
      <c r="V913" s="3">
        <v>0</v>
      </c>
      <c r="W913" s="2">
        <v>921.12</v>
      </c>
      <c r="X913" s="2">
        <v>383.08</v>
      </c>
      <c r="Y913" s="3">
        <v>0.41588500955358693</v>
      </c>
      <c r="Z913" t="s">
        <v>1495</v>
      </c>
      <c r="AA913" t="s">
        <v>1498</v>
      </c>
      <c r="AB913" t="s">
        <v>1501</v>
      </c>
      <c r="AC913">
        <v>0</v>
      </c>
      <c r="AD913">
        <v>2025</v>
      </c>
      <c r="AE913" t="s">
        <v>2818</v>
      </c>
      <c r="AF913" t="s">
        <v>2842</v>
      </c>
      <c r="AG913" t="s">
        <v>2847</v>
      </c>
      <c r="AH913" t="s">
        <v>2848</v>
      </c>
      <c r="AI913">
        <v>1</v>
      </c>
    </row>
    <row r="914" spans="1:35" x14ac:dyDescent="0.3">
      <c r="A914" t="s">
        <v>881</v>
      </c>
      <c r="B914">
        <v>1</v>
      </c>
      <c r="C914" s="1">
        <v>45973</v>
      </c>
      <c r="D914" s="1">
        <v>45973</v>
      </c>
      <c r="E914" t="s">
        <v>1014</v>
      </c>
      <c r="F914" t="s">
        <v>1882</v>
      </c>
      <c r="G914" t="s">
        <v>1428</v>
      </c>
      <c r="H914" t="s">
        <v>2702</v>
      </c>
      <c r="I914" t="s">
        <v>2740</v>
      </c>
      <c r="J914" t="s">
        <v>2764</v>
      </c>
      <c r="K914" t="s">
        <v>1489</v>
      </c>
      <c r="L914" t="s">
        <v>2787</v>
      </c>
      <c r="M914" t="s">
        <v>2564</v>
      </c>
      <c r="N914" t="s">
        <v>2582</v>
      </c>
      <c r="O914" t="s">
        <v>2601</v>
      </c>
      <c r="P914" t="s">
        <v>2566</v>
      </c>
      <c r="Q914" t="s">
        <v>2584</v>
      </c>
      <c r="R914" t="s">
        <v>2601</v>
      </c>
      <c r="S914" t="s">
        <v>2606</v>
      </c>
      <c r="T914">
        <v>1</v>
      </c>
      <c r="U914" s="2">
        <v>460.36</v>
      </c>
      <c r="V914" s="3">
        <v>0</v>
      </c>
      <c r="W914" s="2">
        <v>460.36</v>
      </c>
      <c r="X914" s="2">
        <v>44.13</v>
      </c>
      <c r="Y914" s="3">
        <v>9.5859761925449649E-2</v>
      </c>
      <c r="Z914" t="s">
        <v>1495</v>
      </c>
      <c r="AA914" t="s">
        <v>1499</v>
      </c>
      <c r="AB914" t="s">
        <v>1502</v>
      </c>
      <c r="AC914">
        <v>0</v>
      </c>
      <c r="AD914">
        <v>2025</v>
      </c>
      <c r="AE914" t="s">
        <v>2818</v>
      </c>
      <c r="AF914" t="s">
        <v>2842</v>
      </c>
      <c r="AG914" t="s">
        <v>2847</v>
      </c>
      <c r="AH914" t="s">
        <v>2848</v>
      </c>
      <c r="AI914">
        <v>1</v>
      </c>
    </row>
    <row r="915" spans="1:35" x14ac:dyDescent="0.3">
      <c r="A915" t="s">
        <v>882</v>
      </c>
      <c r="B915">
        <v>1</v>
      </c>
      <c r="C915" s="1">
        <v>45976</v>
      </c>
      <c r="D915" s="1">
        <v>45977</v>
      </c>
      <c r="E915" t="s">
        <v>1073</v>
      </c>
      <c r="F915" t="s">
        <v>1779</v>
      </c>
      <c r="G915" t="s">
        <v>1368</v>
      </c>
      <c r="H915" t="s">
        <v>2736</v>
      </c>
      <c r="I915" t="s">
        <v>2742</v>
      </c>
      <c r="J915" t="s">
        <v>2772</v>
      </c>
      <c r="K915" t="s">
        <v>1480</v>
      </c>
      <c r="L915" t="s">
        <v>2789</v>
      </c>
      <c r="M915" t="s">
        <v>2570</v>
      </c>
      <c r="N915" t="s">
        <v>2590</v>
      </c>
      <c r="O915" t="s">
        <v>2605</v>
      </c>
      <c r="R915" t="s">
        <v>2790</v>
      </c>
      <c r="S915" t="s">
        <v>2607</v>
      </c>
      <c r="T915">
        <v>1</v>
      </c>
      <c r="U915" s="2">
        <v>1640.09</v>
      </c>
      <c r="V915" s="3">
        <v>0.2</v>
      </c>
      <c r="W915" s="2">
        <v>1312.07</v>
      </c>
      <c r="X915" s="2">
        <v>-3.84</v>
      </c>
      <c r="Y915" s="3">
        <v>-2.9266731195744132E-3</v>
      </c>
      <c r="Z915" t="s">
        <v>1495</v>
      </c>
      <c r="AA915" t="s">
        <v>1498</v>
      </c>
      <c r="AB915" t="s">
        <v>1501</v>
      </c>
      <c r="AC915">
        <v>1</v>
      </c>
      <c r="AD915">
        <v>2025</v>
      </c>
      <c r="AE915" t="s">
        <v>2818</v>
      </c>
      <c r="AF915" t="s">
        <v>2842</v>
      </c>
      <c r="AG915" t="s">
        <v>2847</v>
      </c>
      <c r="AH915" t="s">
        <v>2848</v>
      </c>
      <c r="AI915">
        <v>1</v>
      </c>
    </row>
    <row r="916" spans="1:35" x14ac:dyDescent="0.3">
      <c r="A916" t="s">
        <v>883</v>
      </c>
      <c r="B916">
        <v>1</v>
      </c>
      <c r="C916" s="1">
        <v>45976</v>
      </c>
      <c r="D916" s="1">
        <v>45976</v>
      </c>
      <c r="E916" t="s">
        <v>1169</v>
      </c>
      <c r="F916" t="s">
        <v>1787</v>
      </c>
      <c r="G916" t="s">
        <v>1427</v>
      </c>
      <c r="H916" t="s">
        <v>2712</v>
      </c>
      <c r="I916" t="s">
        <v>2741</v>
      </c>
      <c r="J916" t="s">
        <v>2766</v>
      </c>
      <c r="K916" t="s">
        <v>1486</v>
      </c>
      <c r="L916" t="s">
        <v>2776</v>
      </c>
      <c r="M916" t="s">
        <v>2556</v>
      </c>
      <c r="N916" t="s">
        <v>2592</v>
      </c>
      <c r="O916" t="s">
        <v>2602</v>
      </c>
      <c r="P916" t="s">
        <v>2551</v>
      </c>
      <c r="Q916" t="s">
        <v>2574</v>
      </c>
      <c r="R916" t="s">
        <v>2602</v>
      </c>
      <c r="S916" t="s">
        <v>2606</v>
      </c>
      <c r="T916">
        <v>1</v>
      </c>
      <c r="U916" s="2">
        <v>687.56</v>
      </c>
      <c r="V916" s="3">
        <v>0</v>
      </c>
      <c r="W916" s="2">
        <v>687.56</v>
      </c>
      <c r="X916" s="2">
        <v>235.13</v>
      </c>
      <c r="Y916" s="3">
        <v>0.3419774274245157</v>
      </c>
      <c r="Z916" t="s">
        <v>1493</v>
      </c>
      <c r="AA916" t="s">
        <v>1498</v>
      </c>
      <c r="AB916" t="s">
        <v>1501</v>
      </c>
      <c r="AC916">
        <v>0</v>
      </c>
      <c r="AD916">
        <v>2025</v>
      </c>
      <c r="AE916" t="s">
        <v>2818</v>
      </c>
      <c r="AF916" t="s">
        <v>2842</v>
      </c>
      <c r="AG916" t="s">
        <v>2847</v>
      </c>
      <c r="AH916" t="s">
        <v>2848</v>
      </c>
      <c r="AI916">
        <v>1</v>
      </c>
    </row>
    <row r="917" spans="1:35" x14ac:dyDescent="0.3">
      <c r="A917" t="s">
        <v>884</v>
      </c>
      <c r="B917">
        <v>1</v>
      </c>
      <c r="C917" s="1">
        <v>45976</v>
      </c>
      <c r="E917" t="s">
        <v>1112</v>
      </c>
      <c r="F917" t="s">
        <v>1726</v>
      </c>
      <c r="G917" t="s">
        <v>1371</v>
      </c>
      <c r="H917" t="s">
        <v>2671</v>
      </c>
      <c r="I917" t="s">
        <v>2739</v>
      </c>
      <c r="J917" t="s">
        <v>2756</v>
      </c>
      <c r="K917" t="s">
        <v>1485</v>
      </c>
      <c r="L917" t="s">
        <v>2775</v>
      </c>
      <c r="M917" t="s">
        <v>2562</v>
      </c>
      <c r="N917" t="s">
        <v>2574</v>
      </c>
      <c r="O917" t="s">
        <v>2602</v>
      </c>
      <c r="P917" t="s">
        <v>2562</v>
      </c>
      <c r="Q917" t="s">
        <v>2574</v>
      </c>
      <c r="R917" t="s">
        <v>2602</v>
      </c>
      <c r="S917" t="s">
        <v>2606</v>
      </c>
      <c r="T917">
        <v>1</v>
      </c>
      <c r="U917" s="2">
        <v>5245.11</v>
      </c>
      <c r="V917" s="3">
        <v>0</v>
      </c>
      <c r="W917" s="2">
        <v>5245.11</v>
      </c>
      <c r="X917" s="2">
        <v>1943.95</v>
      </c>
      <c r="Y917" s="3">
        <v>0.37062139783531711</v>
      </c>
      <c r="Z917" t="s">
        <v>1494</v>
      </c>
      <c r="AA917" t="s">
        <v>1498</v>
      </c>
      <c r="AB917" t="s">
        <v>1503</v>
      </c>
      <c r="AD917">
        <v>2025</v>
      </c>
      <c r="AE917" t="s">
        <v>2818</v>
      </c>
      <c r="AF917" t="s">
        <v>2842</v>
      </c>
      <c r="AG917" t="s">
        <v>2847</v>
      </c>
      <c r="AH917" t="s">
        <v>2848</v>
      </c>
      <c r="AI917">
        <v>1</v>
      </c>
    </row>
    <row r="918" spans="1:35" x14ac:dyDescent="0.3">
      <c r="A918" t="s">
        <v>885</v>
      </c>
      <c r="B918">
        <v>1</v>
      </c>
      <c r="C918" s="1">
        <v>45977</v>
      </c>
      <c r="D918" s="1">
        <v>45977</v>
      </c>
      <c r="E918" t="s">
        <v>1172</v>
      </c>
      <c r="F918" t="s">
        <v>1778</v>
      </c>
      <c r="G918" t="s">
        <v>1447</v>
      </c>
      <c r="H918" t="s">
        <v>2728</v>
      </c>
      <c r="I918" t="s">
        <v>2742</v>
      </c>
      <c r="J918" t="s">
        <v>2771</v>
      </c>
      <c r="K918" t="s">
        <v>1490</v>
      </c>
      <c r="L918" t="s">
        <v>2784</v>
      </c>
      <c r="M918" t="s">
        <v>2569</v>
      </c>
      <c r="N918" t="s">
        <v>2587</v>
      </c>
      <c r="O918" t="s">
        <v>2604</v>
      </c>
      <c r="P918" t="s">
        <v>2567</v>
      </c>
      <c r="Q918" t="s">
        <v>2585</v>
      </c>
      <c r="R918" t="s">
        <v>2604</v>
      </c>
      <c r="S918" t="s">
        <v>2606</v>
      </c>
      <c r="T918">
        <v>2</v>
      </c>
      <c r="U918" s="2">
        <v>4260.03</v>
      </c>
      <c r="V918" s="3">
        <v>0</v>
      </c>
      <c r="W918" s="2">
        <v>8520.06</v>
      </c>
      <c r="X918" s="2">
        <v>1461.76</v>
      </c>
      <c r="Y918" s="3">
        <v>0.17156686689999839</v>
      </c>
      <c r="Z918" t="s">
        <v>1494</v>
      </c>
      <c r="AA918" t="s">
        <v>1498</v>
      </c>
      <c r="AB918" t="s">
        <v>1501</v>
      </c>
      <c r="AC918">
        <v>0</v>
      </c>
      <c r="AD918">
        <v>2025</v>
      </c>
      <c r="AE918" t="s">
        <v>2818</v>
      </c>
      <c r="AF918" t="s">
        <v>2842</v>
      </c>
      <c r="AG918" t="s">
        <v>2847</v>
      </c>
      <c r="AH918" t="s">
        <v>2848</v>
      </c>
      <c r="AI918">
        <v>1</v>
      </c>
    </row>
    <row r="919" spans="1:35" x14ac:dyDescent="0.3">
      <c r="A919" t="s">
        <v>886</v>
      </c>
      <c r="B919">
        <v>1</v>
      </c>
      <c r="C919" s="1">
        <v>45977</v>
      </c>
      <c r="D919" s="1">
        <v>45978</v>
      </c>
      <c r="E919" t="s">
        <v>1092</v>
      </c>
      <c r="F919" t="s">
        <v>2003</v>
      </c>
      <c r="G919" t="s">
        <v>1431</v>
      </c>
      <c r="H919" t="s">
        <v>2658</v>
      </c>
      <c r="I919" t="s">
        <v>2738</v>
      </c>
      <c r="J919" t="s">
        <v>2754</v>
      </c>
      <c r="K919" t="s">
        <v>1480</v>
      </c>
      <c r="L919" t="s">
        <v>2789</v>
      </c>
      <c r="M919" t="s">
        <v>2560</v>
      </c>
      <c r="N919" t="s">
        <v>2579</v>
      </c>
      <c r="O919" t="s">
        <v>2604</v>
      </c>
      <c r="R919" t="s">
        <v>2790</v>
      </c>
      <c r="S919" t="s">
        <v>2608</v>
      </c>
      <c r="T919">
        <v>1</v>
      </c>
      <c r="U919" s="2">
        <v>9677.85</v>
      </c>
      <c r="V919" s="3">
        <v>0</v>
      </c>
      <c r="W919" s="2">
        <v>9677.85</v>
      </c>
      <c r="X919" s="2">
        <v>1902.17</v>
      </c>
      <c r="Y919" s="3">
        <v>0.19654882024416581</v>
      </c>
      <c r="Z919" t="s">
        <v>1495</v>
      </c>
      <c r="AA919" t="s">
        <v>1499</v>
      </c>
      <c r="AB919" t="s">
        <v>1501</v>
      </c>
      <c r="AC919">
        <v>1</v>
      </c>
      <c r="AD919">
        <v>2025</v>
      </c>
      <c r="AE919" t="s">
        <v>2818</v>
      </c>
      <c r="AF919" t="s">
        <v>2842</v>
      </c>
      <c r="AG919" t="s">
        <v>2847</v>
      </c>
      <c r="AH919" t="s">
        <v>2848</v>
      </c>
      <c r="AI919">
        <v>1</v>
      </c>
    </row>
    <row r="920" spans="1:35" x14ac:dyDescent="0.3">
      <c r="A920" t="s">
        <v>887</v>
      </c>
      <c r="B920">
        <v>2</v>
      </c>
      <c r="C920" s="1">
        <v>45978</v>
      </c>
      <c r="E920" t="s">
        <v>1233</v>
      </c>
      <c r="F920" t="s">
        <v>2004</v>
      </c>
      <c r="G920" t="s">
        <v>1365</v>
      </c>
      <c r="H920" t="s">
        <v>2709</v>
      </c>
      <c r="I920" t="s">
        <v>2741</v>
      </c>
      <c r="J920" t="s">
        <v>2765</v>
      </c>
      <c r="K920" t="s">
        <v>1492</v>
      </c>
      <c r="L920" t="s">
        <v>2788</v>
      </c>
      <c r="M920" t="s">
        <v>2554</v>
      </c>
      <c r="N920" t="s">
        <v>2577</v>
      </c>
      <c r="O920" t="s">
        <v>2601</v>
      </c>
      <c r="P920" t="s">
        <v>2554</v>
      </c>
      <c r="Q920" t="s">
        <v>2577</v>
      </c>
      <c r="R920" t="s">
        <v>2601</v>
      </c>
      <c r="S920" t="s">
        <v>2606</v>
      </c>
      <c r="T920">
        <v>1</v>
      </c>
      <c r="U920" s="2">
        <v>1749.13</v>
      </c>
      <c r="V920" s="3">
        <v>0.15</v>
      </c>
      <c r="W920" s="2">
        <v>1486.76</v>
      </c>
      <c r="X920" s="2">
        <v>380.6</v>
      </c>
      <c r="Y920" s="3">
        <v>0.25599289730689562</v>
      </c>
      <c r="Z920" t="s">
        <v>1496</v>
      </c>
      <c r="AA920" t="s">
        <v>1499</v>
      </c>
      <c r="AB920" t="s">
        <v>1503</v>
      </c>
      <c r="AD920">
        <v>2025</v>
      </c>
      <c r="AE920" t="s">
        <v>2818</v>
      </c>
      <c r="AF920" t="s">
        <v>2842</v>
      </c>
      <c r="AG920" t="s">
        <v>2847</v>
      </c>
      <c r="AH920" t="s">
        <v>2848</v>
      </c>
      <c r="AI920">
        <v>1</v>
      </c>
    </row>
    <row r="921" spans="1:35" x14ac:dyDescent="0.3">
      <c r="A921" t="s">
        <v>888</v>
      </c>
      <c r="B921">
        <v>1</v>
      </c>
      <c r="C921" s="1">
        <v>45978</v>
      </c>
      <c r="D921" s="1">
        <v>45980</v>
      </c>
      <c r="E921" t="s">
        <v>1151</v>
      </c>
      <c r="F921" t="s">
        <v>1919</v>
      </c>
      <c r="G921" t="s">
        <v>1397</v>
      </c>
      <c r="H921" t="s">
        <v>2650</v>
      </c>
      <c r="I921" t="s">
        <v>2738</v>
      </c>
      <c r="J921" t="s">
        <v>2751</v>
      </c>
      <c r="K921" t="s">
        <v>1480</v>
      </c>
      <c r="L921" t="s">
        <v>2789</v>
      </c>
      <c r="M921" t="s">
        <v>2572</v>
      </c>
      <c r="N921" t="s">
        <v>2582</v>
      </c>
      <c r="O921" t="s">
        <v>2601</v>
      </c>
      <c r="R921" t="s">
        <v>2790</v>
      </c>
      <c r="S921" t="s">
        <v>2608</v>
      </c>
      <c r="T921">
        <v>1</v>
      </c>
      <c r="U921" s="2">
        <v>42202.74</v>
      </c>
      <c r="V921" s="3">
        <v>0.2</v>
      </c>
      <c r="W921" s="2">
        <v>33762.19</v>
      </c>
      <c r="X921" s="2">
        <v>-652.79</v>
      </c>
      <c r="Y921" s="3">
        <v>-1.933494243116338E-2</v>
      </c>
      <c r="Z921" t="s">
        <v>1496</v>
      </c>
      <c r="AA921" t="s">
        <v>1499</v>
      </c>
      <c r="AB921" t="s">
        <v>1501</v>
      </c>
      <c r="AC921">
        <v>2</v>
      </c>
      <c r="AD921">
        <v>2025</v>
      </c>
      <c r="AE921" t="s">
        <v>2818</v>
      </c>
      <c r="AF921" t="s">
        <v>2842</v>
      </c>
      <c r="AG921" t="s">
        <v>2847</v>
      </c>
      <c r="AH921" t="s">
        <v>2848</v>
      </c>
      <c r="AI921">
        <v>1</v>
      </c>
    </row>
    <row r="922" spans="1:35" x14ac:dyDescent="0.3">
      <c r="A922" t="s">
        <v>889</v>
      </c>
      <c r="B922">
        <v>1</v>
      </c>
      <c r="C922" s="1">
        <v>45978</v>
      </c>
      <c r="D922" s="1">
        <v>45978</v>
      </c>
      <c r="E922" t="s">
        <v>1313</v>
      </c>
      <c r="F922" t="s">
        <v>1711</v>
      </c>
      <c r="G922" t="s">
        <v>1383</v>
      </c>
      <c r="H922" t="s">
        <v>2726</v>
      </c>
      <c r="I922" t="s">
        <v>2742</v>
      </c>
      <c r="J922" t="s">
        <v>2771</v>
      </c>
      <c r="K922" t="s">
        <v>1485</v>
      </c>
      <c r="L922" t="s">
        <v>2775</v>
      </c>
      <c r="M922" t="s">
        <v>2556</v>
      </c>
      <c r="N922" t="s">
        <v>2574</v>
      </c>
      <c r="O922" t="s">
        <v>2602</v>
      </c>
      <c r="P922" t="s">
        <v>2562</v>
      </c>
      <c r="Q922" t="s">
        <v>2574</v>
      </c>
      <c r="R922" t="s">
        <v>2602</v>
      </c>
      <c r="S922" t="s">
        <v>2606</v>
      </c>
      <c r="T922">
        <v>2</v>
      </c>
      <c r="U922" s="2">
        <v>17693.080000000002</v>
      </c>
      <c r="V922" s="3">
        <v>0.25</v>
      </c>
      <c r="W922" s="2">
        <v>26539.62</v>
      </c>
      <c r="X922" s="2">
        <v>-1754.46</v>
      </c>
      <c r="Y922" s="3">
        <v>-6.610720123347659E-2</v>
      </c>
      <c r="Z922" t="s">
        <v>1495</v>
      </c>
      <c r="AA922" t="s">
        <v>1498</v>
      </c>
      <c r="AB922" t="s">
        <v>1502</v>
      </c>
      <c r="AC922">
        <v>0</v>
      </c>
      <c r="AD922">
        <v>2025</v>
      </c>
      <c r="AE922" t="s">
        <v>2818</v>
      </c>
      <c r="AF922" t="s">
        <v>2842</v>
      </c>
      <c r="AG922" t="s">
        <v>2847</v>
      </c>
      <c r="AH922" t="s">
        <v>2848</v>
      </c>
      <c r="AI922">
        <v>1</v>
      </c>
    </row>
    <row r="923" spans="1:35" x14ac:dyDescent="0.3">
      <c r="A923" t="s">
        <v>890</v>
      </c>
      <c r="B923">
        <v>1</v>
      </c>
      <c r="C923" s="1">
        <v>45980</v>
      </c>
      <c r="D923" s="1">
        <v>45982</v>
      </c>
      <c r="E923" t="s">
        <v>1113</v>
      </c>
      <c r="F923" t="s">
        <v>1990</v>
      </c>
      <c r="G923" t="s">
        <v>1392</v>
      </c>
      <c r="H923" t="s">
        <v>2655</v>
      </c>
      <c r="I923" t="s">
        <v>2738</v>
      </c>
      <c r="J923" t="s">
        <v>2753</v>
      </c>
      <c r="K923" t="s">
        <v>1480</v>
      </c>
      <c r="L923" t="s">
        <v>2789</v>
      </c>
      <c r="M923" t="s">
        <v>2563</v>
      </c>
      <c r="N923" t="s">
        <v>2581</v>
      </c>
      <c r="O923" t="s">
        <v>2604</v>
      </c>
      <c r="R923" t="s">
        <v>2790</v>
      </c>
      <c r="S923" t="s">
        <v>2606</v>
      </c>
      <c r="T923">
        <v>1</v>
      </c>
      <c r="U923" s="2">
        <v>17688.330000000002</v>
      </c>
      <c r="V923" s="3">
        <v>0.05</v>
      </c>
      <c r="W923" s="2">
        <v>16803.91</v>
      </c>
      <c r="X923" s="2">
        <v>2019.47</v>
      </c>
      <c r="Y923" s="3">
        <v>0.1201785774858351</v>
      </c>
      <c r="Z923" t="s">
        <v>1496</v>
      </c>
      <c r="AA923" t="s">
        <v>1500</v>
      </c>
      <c r="AB923" t="s">
        <v>1501</v>
      </c>
      <c r="AC923">
        <v>2</v>
      </c>
      <c r="AD923">
        <v>2025</v>
      </c>
      <c r="AE923" t="s">
        <v>2818</v>
      </c>
      <c r="AF923" t="s">
        <v>2842</v>
      </c>
      <c r="AG923" t="s">
        <v>2847</v>
      </c>
      <c r="AH923" t="s">
        <v>2848</v>
      </c>
      <c r="AI923">
        <v>1</v>
      </c>
    </row>
    <row r="924" spans="1:35" x14ac:dyDescent="0.3">
      <c r="A924" t="s">
        <v>891</v>
      </c>
      <c r="B924">
        <v>1</v>
      </c>
      <c r="C924" s="1">
        <v>45980</v>
      </c>
      <c r="D924" s="1">
        <v>45980</v>
      </c>
      <c r="E924" t="s">
        <v>1048</v>
      </c>
      <c r="F924" t="s">
        <v>1875</v>
      </c>
      <c r="G924" t="s">
        <v>1454</v>
      </c>
      <c r="H924" t="s">
        <v>2631</v>
      </c>
      <c r="I924" t="s">
        <v>2737</v>
      </c>
      <c r="J924" t="s">
        <v>2746</v>
      </c>
      <c r="K924" t="s">
        <v>1488</v>
      </c>
      <c r="L924" t="s">
        <v>2780</v>
      </c>
      <c r="M924" t="s">
        <v>2555</v>
      </c>
      <c r="N924" t="s">
        <v>2578</v>
      </c>
      <c r="O924" t="s">
        <v>2603</v>
      </c>
      <c r="P924" t="s">
        <v>2552</v>
      </c>
      <c r="Q924" t="s">
        <v>2575</v>
      </c>
      <c r="R924" t="s">
        <v>2603</v>
      </c>
      <c r="S924" t="s">
        <v>2608</v>
      </c>
      <c r="T924">
        <v>2</v>
      </c>
      <c r="U924" s="2">
        <v>51141.75</v>
      </c>
      <c r="V924" s="3">
        <v>0</v>
      </c>
      <c r="W924" s="2">
        <v>102283.5</v>
      </c>
      <c r="X924" s="2">
        <v>13844.88</v>
      </c>
      <c r="Y924" s="3">
        <v>0.13535790230095759</v>
      </c>
      <c r="Z924" t="s">
        <v>1495</v>
      </c>
      <c r="AA924" t="s">
        <v>1499</v>
      </c>
      <c r="AB924" t="s">
        <v>1501</v>
      </c>
      <c r="AC924">
        <v>0</v>
      </c>
      <c r="AD924">
        <v>2025</v>
      </c>
      <c r="AE924" t="s">
        <v>2818</v>
      </c>
      <c r="AF924" t="s">
        <v>2842</v>
      </c>
      <c r="AG924" t="s">
        <v>2847</v>
      </c>
      <c r="AH924" t="s">
        <v>2848</v>
      </c>
      <c r="AI924">
        <v>1</v>
      </c>
    </row>
    <row r="925" spans="1:35" x14ac:dyDescent="0.3">
      <c r="A925" t="s">
        <v>892</v>
      </c>
      <c r="B925">
        <v>1</v>
      </c>
      <c r="C925" s="1">
        <v>45982</v>
      </c>
      <c r="D925" s="1">
        <v>45983</v>
      </c>
      <c r="E925" t="s">
        <v>1079</v>
      </c>
      <c r="F925" t="s">
        <v>1930</v>
      </c>
      <c r="G925" t="s">
        <v>1414</v>
      </c>
      <c r="H925" t="s">
        <v>2641</v>
      </c>
      <c r="I925" t="s">
        <v>2738</v>
      </c>
      <c r="J925" t="s">
        <v>2749</v>
      </c>
      <c r="K925" t="s">
        <v>1480</v>
      </c>
      <c r="L925" t="s">
        <v>2789</v>
      </c>
      <c r="M925" t="s">
        <v>2560</v>
      </c>
      <c r="N925" t="s">
        <v>2579</v>
      </c>
      <c r="O925" t="s">
        <v>2604</v>
      </c>
      <c r="R925" t="s">
        <v>2790</v>
      </c>
      <c r="S925" t="s">
        <v>2608</v>
      </c>
      <c r="T925">
        <v>1</v>
      </c>
      <c r="U925" s="2">
        <v>20329.61</v>
      </c>
      <c r="V925" s="3">
        <v>0</v>
      </c>
      <c r="W925" s="2">
        <v>20329.61</v>
      </c>
      <c r="X925" s="2">
        <v>4962.38</v>
      </c>
      <c r="Y925" s="3">
        <v>0.2440961730205351</v>
      </c>
      <c r="Z925" t="s">
        <v>1496</v>
      </c>
      <c r="AA925" t="s">
        <v>1498</v>
      </c>
      <c r="AB925" t="s">
        <v>1501</v>
      </c>
      <c r="AC925">
        <v>1</v>
      </c>
      <c r="AD925">
        <v>2025</v>
      </c>
      <c r="AE925" t="s">
        <v>2818</v>
      </c>
      <c r="AF925" t="s">
        <v>2842</v>
      </c>
      <c r="AG925" t="s">
        <v>2847</v>
      </c>
      <c r="AH925" t="s">
        <v>2848</v>
      </c>
      <c r="AI925">
        <v>1</v>
      </c>
    </row>
    <row r="926" spans="1:35" x14ac:dyDescent="0.3">
      <c r="A926" t="s">
        <v>893</v>
      </c>
      <c r="B926">
        <v>2</v>
      </c>
      <c r="C926" s="1">
        <v>45982</v>
      </c>
      <c r="D926" s="1">
        <v>45983</v>
      </c>
      <c r="E926" t="s">
        <v>1263</v>
      </c>
      <c r="F926" t="s">
        <v>1757</v>
      </c>
      <c r="G926" t="s">
        <v>1448</v>
      </c>
      <c r="H926" t="s">
        <v>2679</v>
      </c>
      <c r="I926" t="s">
        <v>2739</v>
      </c>
      <c r="J926" t="s">
        <v>2758</v>
      </c>
      <c r="K926" t="s">
        <v>1478</v>
      </c>
      <c r="L926" t="s">
        <v>2782</v>
      </c>
      <c r="M926" t="s">
        <v>2565</v>
      </c>
      <c r="N926" t="s">
        <v>2583</v>
      </c>
      <c r="O926" t="s">
        <v>2604</v>
      </c>
      <c r="P926" t="s">
        <v>2565</v>
      </c>
      <c r="Q926" t="s">
        <v>2583</v>
      </c>
      <c r="R926" t="s">
        <v>2604</v>
      </c>
      <c r="S926" t="s">
        <v>2607</v>
      </c>
      <c r="T926">
        <v>1</v>
      </c>
      <c r="U926" s="2">
        <v>579.75</v>
      </c>
      <c r="V926" s="3">
        <v>0</v>
      </c>
      <c r="W926" s="2">
        <v>579.75</v>
      </c>
      <c r="X926" s="2">
        <v>188.26</v>
      </c>
      <c r="Y926" s="3">
        <v>0.32472617507546347</v>
      </c>
      <c r="Z926" t="s">
        <v>1495</v>
      </c>
      <c r="AA926" t="s">
        <v>1499</v>
      </c>
      <c r="AB926" t="s">
        <v>1501</v>
      </c>
      <c r="AC926">
        <v>1</v>
      </c>
      <c r="AD926">
        <v>2025</v>
      </c>
      <c r="AE926" t="s">
        <v>2818</v>
      </c>
      <c r="AF926" t="s">
        <v>2842</v>
      </c>
      <c r="AG926" t="s">
        <v>2847</v>
      </c>
      <c r="AH926" t="s">
        <v>2848</v>
      </c>
      <c r="AI926">
        <v>1</v>
      </c>
    </row>
    <row r="927" spans="1:35" x14ac:dyDescent="0.3">
      <c r="A927" t="s">
        <v>894</v>
      </c>
      <c r="B927">
        <v>1</v>
      </c>
      <c r="C927" s="1">
        <v>45984</v>
      </c>
      <c r="D927" s="1">
        <v>45985</v>
      </c>
      <c r="E927" t="s">
        <v>1259</v>
      </c>
      <c r="F927" t="s">
        <v>1770</v>
      </c>
      <c r="G927" t="s">
        <v>1466</v>
      </c>
      <c r="H927" t="s">
        <v>2716</v>
      </c>
      <c r="I927" t="s">
        <v>2741</v>
      </c>
      <c r="J927" t="s">
        <v>2768</v>
      </c>
      <c r="K927" t="s">
        <v>1490</v>
      </c>
      <c r="L927" t="s">
        <v>2784</v>
      </c>
      <c r="M927" t="s">
        <v>2567</v>
      </c>
      <c r="N927" t="s">
        <v>2585</v>
      </c>
      <c r="O927" t="s">
        <v>2604</v>
      </c>
      <c r="P927" t="s">
        <v>2567</v>
      </c>
      <c r="Q927" t="s">
        <v>2585</v>
      </c>
      <c r="R927" t="s">
        <v>2604</v>
      </c>
      <c r="S927" t="s">
        <v>2608</v>
      </c>
      <c r="T927">
        <v>1</v>
      </c>
      <c r="U927" s="2">
        <v>800.48</v>
      </c>
      <c r="V927" s="3">
        <v>0</v>
      </c>
      <c r="W927" s="2">
        <v>800.48</v>
      </c>
      <c r="X927" s="2">
        <v>286.16000000000003</v>
      </c>
      <c r="Y927" s="3">
        <v>0.35748550869478313</v>
      </c>
      <c r="Z927" t="s">
        <v>1494</v>
      </c>
      <c r="AA927" t="s">
        <v>1498</v>
      </c>
      <c r="AB927" t="s">
        <v>1501</v>
      </c>
      <c r="AC927">
        <v>1</v>
      </c>
      <c r="AD927">
        <v>2025</v>
      </c>
      <c r="AE927" t="s">
        <v>2818</v>
      </c>
      <c r="AF927" t="s">
        <v>2842</v>
      </c>
      <c r="AG927" t="s">
        <v>2847</v>
      </c>
      <c r="AH927" t="s">
        <v>2848</v>
      </c>
      <c r="AI927">
        <v>1</v>
      </c>
    </row>
    <row r="928" spans="1:35" x14ac:dyDescent="0.3">
      <c r="A928" t="s">
        <v>895</v>
      </c>
      <c r="B928">
        <v>2</v>
      </c>
      <c r="C928" s="1">
        <v>45984</v>
      </c>
      <c r="D928" s="1">
        <v>45984</v>
      </c>
      <c r="E928" t="s">
        <v>967</v>
      </c>
      <c r="F928" t="s">
        <v>1849</v>
      </c>
      <c r="G928" t="s">
        <v>1465</v>
      </c>
      <c r="H928" t="s">
        <v>2665</v>
      </c>
      <c r="I928" t="s">
        <v>2739</v>
      </c>
      <c r="J928" t="s">
        <v>2755</v>
      </c>
      <c r="K928" t="s">
        <v>1479</v>
      </c>
      <c r="L928" t="s">
        <v>2786</v>
      </c>
      <c r="M928" t="s">
        <v>2550</v>
      </c>
      <c r="N928" t="s">
        <v>2573</v>
      </c>
      <c r="O928" t="s">
        <v>2601</v>
      </c>
      <c r="P928" t="s">
        <v>2564</v>
      </c>
      <c r="Q928" t="s">
        <v>2582</v>
      </c>
      <c r="R928" t="s">
        <v>2601</v>
      </c>
      <c r="S928" t="s">
        <v>2607</v>
      </c>
      <c r="T928">
        <v>1</v>
      </c>
      <c r="U928" s="2">
        <v>2687.95</v>
      </c>
      <c r="V928" s="3">
        <v>0</v>
      </c>
      <c r="W928" s="2">
        <v>2687.95</v>
      </c>
      <c r="X928" s="2">
        <v>1191.42</v>
      </c>
      <c r="Y928" s="3">
        <v>0.44324485202477731</v>
      </c>
      <c r="Z928" t="s">
        <v>1496</v>
      </c>
      <c r="AA928" t="s">
        <v>1499</v>
      </c>
      <c r="AB928" t="s">
        <v>1501</v>
      </c>
      <c r="AC928">
        <v>0</v>
      </c>
      <c r="AD928">
        <v>2025</v>
      </c>
      <c r="AE928" t="s">
        <v>2818</v>
      </c>
      <c r="AF928" t="s">
        <v>2842</v>
      </c>
      <c r="AG928" t="s">
        <v>2847</v>
      </c>
      <c r="AH928" t="s">
        <v>2848</v>
      </c>
      <c r="AI928">
        <v>1</v>
      </c>
    </row>
    <row r="929" spans="1:35" x14ac:dyDescent="0.3">
      <c r="A929" t="s">
        <v>896</v>
      </c>
      <c r="B929">
        <v>1</v>
      </c>
      <c r="C929" s="1">
        <v>45984</v>
      </c>
      <c r="D929" s="1">
        <v>45984</v>
      </c>
      <c r="E929" t="s">
        <v>977</v>
      </c>
      <c r="F929" t="s">
        <v>1809</v>
      </c>
      <c r="G929" t="s">
        <v>1344</v>
      </c>
      <c r="H929" t="s">
        <v>2717</v>
      </c>
      <c r="I929" t="s">
        <v>2741</v>
      </c>
      <c r="J929" t="s">
        <v>2768</v>
      </c>
      <c r="K929" t="s">
        <v>1483</v>
      </c>
      <c r="L929" t="s">
        <v>2781</v>
      </c>
      <c r="M929" t="s">
        <v>2555</v>
      </c>
      <c r="N929" t="s">
        <v>2578</v>
      </c>
      <c r="O929" t="s">
        <v>2603</v>
      </c>
      <c r="P929" t="s">
        <v>2568</v>
      </c>
      <c r="Q929" t="s">
        <v>2586</v>
      </c>
      <c r="R929" t="s">
        <v>2603</v>
      </c>
      <c r="S929" t="s">
        <v>2608</v>
      </c>
      <c r="T929">
        <v>1</v>
      </c>
      <c r="U929" s="2">
        <v>555.59</v>
      </c>
      <c r="V929" s="3">
        <v>0</v>
      </c>
      <c r="W929" s="2">
        <v>555.59</v>
      </c>
      <c r="X929" s="2">
        <v>176.49</v>
      </c>
      <c r="Y929" s="3">
        <v>0.31766230493709391</v>
      </c>
      <c r="Z929" t="s">
        <v>1496</v>
      </c>
      <c r="AA929" t="s">
        <v>1500</v>
      </c>
      <c r="AB929" t="s">
        <v>1501</v>
      </c>
      <c r="AC929">
        <v>0</v>
      </c>
      <c r="AD929">
        <v>2025</v>
      </c>
      <c r="AE929" t="s">
        <v>2818</v>
      </c>
      <c r="AF929" t="s">
        <v>2842</v>
      </c>
      <c r="AG929" t="s">
        <v>2847</v>
      </c>
      <c r="AH929" t="s">
        <v>2848</v>
      </c>
      <c r="AI929">
        <v>1</v>
      </c>
    </row>
    <row r="930" spans="1:35" x14ac:dyDescent="0.3">
      <c r="A930" t="s">
        <v>897</v>
      </c>
      <c r="B930">
        <v>2</v>
      </c>
      <c r="C930" s="1">
        <v>45984</v>
      </c>
      <c r="D930" s="1">
        <v>45984</v>
      </c>
      <c r="E930" t="s">
        <v>971</v>
      </c>
      <c r="F930" t="s">
        <v>1707</v>
      </c>
      <c r="G930" t="s">
        <v>1469</v>
      </c>
      <c r="H930" t="s">
        <v>2727</v>
      </c>
      <c r="I930" t="s">
        <v>2742</v>
      </c>
      <c r="J930" t="s">
        <v>2771</v>
      </c>
      <c r="K930" t="s">
        <v>1484</v>
      </c>
      <c r="L930" t="s">
        <v>2778</v>
      </c>
      <c r="M930" t="s">
        <v>2552</v>
      </c>
      <c r="N930" t="s">
        <v>2575</v>
      </c>
      <c r="O930" t="s">
        <v>2603</v>
      </c>
      <c r="P930" t="s">
        <v>2559</v>
      </c>
      <c r="Q930" t="s">
        <v>2559</v>
      </c>
      <c r="R930" t="s">
        <v>2603</v>
      </c>
      <c r="S930" t="s">
        <v>2608</v>
      </c>
      <c r="T930">
        <v>1</v>
      </c>
      <c r="U930" s="2">
        <v>13987.04</v>
      </c>
      <c r="V930" s="3">
        <v>0</v>
      </c>
      <c r="W930" s="2">
        <v>13987.04</v>
      </c>
      <c r="X930" s="2">
        <v>3623.75</v>
      </c>
      <c r="Y930" s="3">
        <v>0.25907911895583341</v>
      </c>
      <c r="Z930" t="s">
        <v>1495</v>
      </c>
      <c r="AA930" t="s">
        <v>1499</v>
      </c>
      <c r="AB930" t="s">
        <v>1501</v>
      </c>
      <c r="AC930">
        <v>0</v>
      </c>
      <c r="AD930">
        <v>2025</v>
      </c>
      <c r="AE930" t="s">
        <v>2818</v>
      </c>
      <c r="AF930" t="s">
        <v>2842</v>
      </c>
      <c r="AG930" t="s">
        <v>2847</v>
      </c>
      <c r="AH930" t="s">
        <v>2848</v>
      </c>
      <c r="AI930">
        <v>1</v>
      </c>
    </row>
    <row r="931" spans="1:35" x14ac:dyDescent="0.3">
      <c r="A931" t="s">
        <v>898</v>
      </c>
      <c r="B931">
        <v>1</v>
      </c>
      <c r="C931" s="1">
        <v>45985</v>
      </c>
      <c r="D931" s="1">
        <v>45986</v>
      </c>
      <c r="E931" t="s">
        <v>1300</v>
      </c>
      <c r="F931" t="s">
        <v>1745</v>
      </c>
      <c r="G931" t="s">
        <v>1344</v>
      </c>
      <c r="H931" t="s">
        <v>2717</v>
      </c>
      <c r="I931" t="s">
        <v>2741</v>
      </c>
      <c r="J931" t="s">
        <v>2768</v>
      </c>
      <c r="K931" t="s">
        <v>1480</v>
      </c>
      <c r="L931" t="s">
        <v>2789</v>
      </c>
      <c r="M931" t="s">
        <v>2553</v>
      </c>
      <c r="N931" t="s">
        <v>2576</v>
      </c>
      <c r="O931" t="s">
        <v>2602</v>
      </c>
      <c r="R931" t="s">
        <v>2790</v>
      </c>
      <c r="S931" t="s">
        <v>2606</v>
      </c>
      <c r="T931">
        <v>1</v>
      </c>
      <c r="U931" s="2">
        <v>555.59</v>
      </c>
      <c r="V931" s="3">
        <v>0.2</v>
      </c>
      <c r="W931" s="2">
        <v>444.47</v>
      </c>
      <c r="X931" s="2">
        <v>65.37</v>
      </c>
      <c r="Y931" s="3">
        <v>0.14707404324251361</v>
      </c>
      <c r="Z931" t="s">
        <v>1494</v>
      </c>
      <c r="AA931" t="s">
        <v>1498</v>
      </c>
      <c r="AB931" t="s">
        <v>1501</v>
      </c>
      <c r="AC931">
        <v>1</v>
      </c>
      <c r="AD931">
        <v>2025</v>
      </c>
      <c r="AE931" t="s">
        <v>2818</v>
      </c>
      <c r="AF931" t="s">
        <v>2842</v>
      </c>
      <c r="AG931" t="s">
        <v>2847</v>
      </c>
      <c r="AH931" t="s">
        <v>2848</v>
      </c>
      <c r="AI931">
        <v>1</v>
      </c>
    </row>
    <row r="932" spans="1:35" x14ac:dyDescent="0.3">
      <c r="A932" t="s">
        <v>899</v>
      </c>
      <c r="B932">
        <v>2</v>
      </c>
      <c r="C932" s="1">
        <v>45985</v>
      </c>
      <c r="D932" s="1">
        <v>45988</v>
      </c>
      <c r="E932" t="s">
        <v>1095</v>
      </c>
      <c r="F932" t="s">
        <v>1958</v>
      </c>
      <c r="G932" t="s">
        <v>1342</v>
      </c>
      <c r="H932" t="s">
        <v>2623</v>
      </c>
      <c r="I932" t="s">
        <v>2737</v>
      </c>
      <c r="J932" t="s">
        <v>2745</v>
      </c>
      <c r="K932" t="s">
        <v>1480</v>
      </c>
      <c r="L932" t="s">
        <v>2789</v>
      </c>
      <c r="M932" t="s">
        <v>2560</v>
      </c>
      <c r="N932" t="s">
        <v>2579</v>
      </c>
      <c r="O932" t="s">
        <v>2604</v>
      </c>
      <c r="R932" t="s">
        <v>2790</v>
      </c>
      <c r="S932" t="s">
        <v>2606</v>
      </c>
      <c r="T932">
        <v>1</v>
      </c>
      <c r="U932" s="2">
        <v>18924.84</v>
      </c>
      <c r="V932" s="3">
        <v>0</v>
      </c>
      <c r="W932" s="2">
        <v>18924.84</v>
      </c>
      <c r="X932" s="2">
        <v>2781.6</v>
      </c>
      <c r="Y932" s="3">
        <v>0.1469814275840641</v>
      </c>
      <c r="Z932" t="s">
        <v>1495</v>
      </c>
      <c r="AA932" t="s">
        <v>1498</v>
      </c>
      <c r="AB932" t="s">
        <v>1501</v>
      </c>
      <c r="AC932">
        <v>3</v>
      </c>
      <c r="AD932">
        <v>2025</v>
      </c>
      <c r="AE932" t="s">
        <v>2818</v>
      </c>
      <c r="AF932" t="s">
        <v>2842</v>
      </c>
      <c r="AG932" t="s">
        <v>2847</v>
      </c>
      <c r="AH932" t="s">
        <v>2848</v>
      </c>
      <c r="AI932">
        <v>1</v>
      </c>
    </row>
    <row r="933" spans="1:35" x14ac:dyDescent="0.3">
      <c r="A933" t="s">
        <v>900</v>
      </c>
      <c r="B933">
        <v>1</v>
      </c>
      <c r="C933" s="1">
        <v>45985</v>
      </c>
      <c r="D933" s="1">
        <v>45987</v>
      </c>
      <c r="E933" t="s">
        <v>988</v>
      </c>
      <c r="F933" t="s">
        <v>1690</v>
      </c>
      <c r="G933" t="s">
        <v>1386</v>
      </c>
      <c r="H933" t="s">
        <v>2686</v>
      </c>
      <c r="I933" t="s">
        <v>2740</v>
      </c>
      <c r="J933" t="s">
        <v>2760</v>
      </c>
      <c r="K933" t="s">
        <v>1480</v>
      </c>
      <c r="L933" t="s">
        <v>2789</v>
      </c>
      <c r="M933" t="s">
        <v>2559</v>
      </c>
      <c r="N933" t="s">
        <v>2559</v>
      </c>
      <c r="O933" t="s">
        <v>2603</v>
      </c>
      <c r="R933" t="s">
        <v>2790</v>
      </c>
      <c r="S933" t="s">
        <v>2608</v>
      </c>
      <c r="T933">
        <v>2</v>
      </c>
      <c r="U933" s="2">
        <v>1094.7</v>
      </c>
      <c r="V933" s="3">
        <v>0.05</v>
      </c>
      <c r="W933" s="2">
        <v>2079.9299999999998</v>
      </c>
      <c r="X933" s="2">
        <v>18.489999999999998</v>
      </c>
      <c r="Y933" s="3">
        <v>8.8897222502680381E-3</v>
      </c>
      <c r="Z933" t="s">
        <v>1496</v>
      </c>
      <c r="AA933" t="s">
        <v>1498</v>
      </c>
      <c r="AB933" t="s">
        <v>1501</v>
      </c>
      <c r="AC933">
        <v>2</v>
      </c>
      <c r="AD933">
        <v>2025</v>
      </c>
      <c r="AE933" t="s">
        <v>2818</v>
      </c>
      <c r="AF933" t="s">
        <v>2842</v>
      </c>
      <c r="AG933" t="s">
        <v>2847</v>
      </c>
      <c r="AH933" t="s">
        <v>2848</v>
      </c>
      <c r="AI933">
        <v>1</v>
      </c>
    </row>
    <row r="934" spans="1:35" x14ac:dyDescent="0.3">
      <c r="A934" t="s">
        <v>901</v>
      </c>
      <c r="B934">
        <v>1</v>
      </c>
      <c r="C934" s="1">
        <v>45986</v>
      </c>
      <c r="D934" s="1">
        <v>45986</v>
      </c>
      <c r="E934" t="s">
        <v>990</v>
      </c>
      <c r="F934" t="s">
        <v>1818</v>
      </c>
      <c r="G934" t="s">
        <v>1456</v>
      </c>
      <c r="H934" t="s">
        <v>2653</v>
      </c>
      <c r="I934" t="s">
        <v>2738</v>
      </c>
      <c r="J934" t="s">
        <v>2752</v>
      </c>
      <c r="K934" t="s">
        <v>1484</v>
      </c>
      <c r="L934" t="s">
        <v>2778</v>
      </c>
      <c r="M934" t="s">
        <v>2555</v>
      </c>
      <c r="N934" t="s">
        <v>2578</v>
      </c>
      <c r="O934" t="s">
        <v>2603</v>
      </c>
      <c r="P934" t="s">
        <v>2559</v>
      </c>
      <c r="Q934" t="s">
        <v>2559</v>
      </c>
      <c r="R934" t="s">
        <v>2603</v>
      </c>
      <c r="S934" t="s">
        <v>2608</v>
      </c>
      <c r="T934">
        <v>1</v>
      </c>
      <c r="U934" s="2">
        <v>43108.17</v>
      </c>
      <c r="V934" s="3">
        <v>0</v>
      </c>
      <c r="W934" s="2">
        <v>43108.17</v>
      </c>
      <c r="X934" s="2">
        <v>7530.62</v>
      </c>
      <c r="Y934" s="3">
        <v>0.1746912476219705</v>
      </c>
      <c r="Z934" t="s">
        <v>1494</v>
      </c>
      <c r="AA934" t="s">
        <v>1500</v>
      </c>
      <c r="AB934" t="s">
        <v>1501</v>
      </c>
      <c r="AC934">
        <v>0</v>
      </c>
      <c r="AD934">
        <v>2025</v>
      </c>
      <c r="AE934" t="s">
        <v>2818</v>
      </c>
      <c r="AF934" t="s">
        <v>2842</v>
      </c>
      <c r="AG934" t="s">
        <v>2847</v>
      </c>
      <c r="AH934" t="s">
        <v>2848</v>
      </c>
      <c r="AI934">
        <v>1</v>
      </c>
    </row>
    <row r="935" spans="1:35" x14ac:dyDescent="0.3">
      <c r="A935" t="s">
        <v>902</v>
      </c>
      <c r="B935">
        <v>1</v>
      </c>
      <c r="C935" s="1">
        <v>45986</v>
      </c>
      <c r="D935" s="1">
        <v>45989</v>
      </c>
      <c r="E935" t="s">
        <v>1314</v>
      </c>
      <c r="F935" t="s">
        <v>1866</v>
      </c>
      <c r="G935" t="s">
        <v>1442</v>
      </c>
      <c r="H935" t="s">
        <v>2676</v>
      </c>
      <c r="I935" t="s">
        <v>2739</v>
      </c>
      <c r="J935" t="s">
        <v>2757</v>
      </c>
      <c r="K935" t="s">
        <v>1480</v>
      </c>
      <c r="L935" t="s">
        <v>2789</v>
      </c>
      <c r="M935" t="s">
        <v>2570</v>
      </c>
      <c r="N935" t="s">
        <v>2590</v>
      </c>
      <c r="O935" t="s">
        <v>2605</v>
      </c>
      <c r="R935" t="s">
        <v>2790</v>
      </c>
      <c r="S935" t="s">
        <v>2608</v>
      </c>
      <c r="T935">
        <v>2</v>
      </c>
      <c r="U935" s="2">
        <v>603.28</v>
      </c>
      <c r="V935" s="3">
        <v>0.05</v>
      </c>
      <c r="W935" s="2">
        <v>1146.23</v>
      </c>
      <c r="X935" s="2">
        <v>383.97</v>
      </c>
      <c r="Y935" s="3">
        <v>0.33498512514940282</v>
      </c>
      <c r="Z935" t="s">
        <v>1495</v>
      </c>
      <c r="AA935" t="s">
        <v>1499</v>
      </c>
      <c r="AB935" t="s">
        <v>1502</v>
      </c>
      <c r="AC935">
        <v>3</v>
      </c>
      <c r="AD935">
        <v>2025</v>
      </c>
      <c r="AE935" t="s">
        <v>2818</v>
      </c>
      <c r="AF935" t="s">
        <v>2842</v>
      </c>
      <c r="AG935" t="s">
        <v>2847</v>
      </c>
      <c r="AH935" t="s">
        <v>2848</v>
      </c>
      <c r="AI935">
        <v>1</v>
      </c>
    </row>
    <row r="936" spans="1:35" x14ac:dyDescent="0.3">
      <c r="A936" t="s">
        <v>902</v>
      </c>
      <c r="B936">
        <v>2</v>
      </c>
      <c r="C936" s="1">
        <v>45986</v>
      </c>
      <c r="D936" s="1">
        <v>45989</v>
      </c>
      <c r="E936" t="s">
        <v>1314</v>
      </c>
      <c r="F936" t="s">
        <v>1866</v>
      </c>
      <c r="G936" t="s">
        <v>1453</v>
      </c>
      <c r="H936" t="s">
        <v>2706</v>
      </c>
      <c r="I936" t="s">
        <v>2741</v>
      </c>
      <c r="J936" t="s">
        <v>2765</v>
      </c>
      <c r="K936" t="s">
        <v>1480</v>
      </c>
      <c r="L936" t="s">
        <v>2789</v>
      </c>
      <c r="M936" t="s">
        <v>2570</v>
      </c>
      <c r="N936" t="s">
        <v>2590</v>
      </c>
      <c r="O936" t="s">
        <v>2605</v>
      </c>
      <c r="R936" t="s">
        <v>2790</v>
      </c>
      <c r="S936" t="s">
        <v>2608</v>
      </c>
      <c r="T936">
        <v>1</v>
      </c>
      <c r="U936" s="2">
        <v>507.34</v>
      </c>
      <c r="V936" s="3">
        <v>0</v>
      </c>
      <c r="W936" s="2">
        <v>507.34</v>
      </c>
      <c r="X936" s="2">
        <v>193.87</v>
      </c>
      <c r="Y936" s="3">
        <v>0.38213032680253878</v>
      </c>
      <c r="Z936" t="s">
        <v>1495</v>
      </c>
      <c r="AA936" t="s">
        <v>1499</v>
      </c>
      <c r="AB936" t="s">
        <v>1502</v>
      </c>
      <c r="AC936">
        <v>3</v>
      </c>
      <c r="AD936">
        <v>2025</v>
      </c>
      <c r="AE936" t="s">
        <v>2818</v>
      </c>
      <c r="AF936" t="s">
        <v>2842</v>
      </c>
      <c r="AG936" t="s">
        <v>2847</v>
      </c>
      <c r="AH936" t="s">
        <v>2848</v>
      </c>
      <c r="AI936">
        <v>0</v>
      </c>
    </row>
    <row r="937" spans="1:35" x14ac:dyDescent="0.3">
      <c r="A937" t="s">
        <v>903</v>
      </c>
      <c r="B937">
        <v>1</v>
      </c>
      <c r="C937" s="1">
        <v>45986</v>
      </c>
      <c r="D937" s="1">
        <v>45987</v>
      </c>
      <c r="E937" t="s">
        <v>1315</v>
      </c>
      <c r="F937" t="s">
        <v>1738</v>
      </c>
      <c r="G937" t="s">
        <v>1404</v>
      </c>
      <c r="H937" t="s">
        <v>2643</v>
      </c>
      <c r="I937" t="s">
        <v>2738</v>
      </c>
      <c r="J937" t="s">
        <v>2750</v>
      </c>
      <c r="K937" t="s">
        <v>1480</v>
      </c>
      <c r="L937" t="s">
        <v>2789</v>
      </c>
      <c r="M937" t="s">
        <v>2571</v>
      </c>
      <c r="N937" t="s">
        <v>2590</v>
      </c>
      <c r="O937" t="s">
        <v>2605</v>
      </c>
      <c r="R937" t="s">
        <v>2790</v>
      </c>
      <c r="S937" t="s">
        <v>2606</v>
      </c>
      <c r="T937">
        <v>2</v>
      </c>
      <c r="U937" s="2">
        <v>44125.88</v>
      </c>
      <c r="V937" s="3">
        <v>0</v>
      </c>
      <c r="W937" s="2">
        <v>88251.76</v>
      </c>
      <c r="X937" s="2">
        <v>19622.38</v>
      </c>
      <c r="Y937" s="3">
        <v>0.22234548070202789</v>
      </c>
      <c r="Z937" t="s">
        <v>1496</v>
      </c>
      <c r="AA937" t="s">
        <v>1498</v>
      </c>
      <c r="AB937" t="s">
        <v>1501</v>
      </c>
      <c r="AC937">
        <v>1</v>
      </c>
      <c r="AD937">
        <v>2025</v>
      </c>
      <c r="AE937" t="s">
        <v>2818</v>
      </c>
      <c r="AF937" t="s">
        <v>2842</v>
      </c>
      <c r="AG937" t="s">
        <v>2847</v>
      </c>
      <c r="AH937" t="s">
        <v>2848</v>
      </c>
      <c r="AI937">
        <v>1</v>
      </c>
    </row>
    <row r="938" spans="1:35" x14ac:dyDescent="0.3">
      <c r="A938" t="s">
        <v>904</v>
      </c>
      <c r="B938">
        <v>1</v>
      </c>
      <c r="C938" s="1">
        <v>45987</v>
      </c>
      <c r="D938" s="1">
        <v>45988</v>
      </c>
      <c r="E938" t="s">
        <v>1044</v>
      </c>
      <c r="F938" t="s">
        <v>1816</v>
      </c>
      <c r="G938" t="s">
        <v>1448</v>
      </c>
      <c r="H938" t="s">
        <v>2679</v>
      </c>
      <c r="I938" t="s">
        <v>2739</v>
      </c>
      <c r="J938" t="s">
        <v>2758</v>
      </c>
      <c r="K938" t="s">
        <v>1489</v>
      </c>
      <c r="L938" t="s">
        <v>2787</v>
      </c>
      <c r="M938" t="s">
        <v>2550</v>
      </c>
      <c r="N938" t="s">
        <v>2573</v>
      </c>
      <c r="O938" t="s">
        <v>2601</v>
      </c>
      <c r="P938" t="s">
        <v>2566</v>
      </c>
      <c r="Q938" t="s">
        <v>2584</v>
      </c>
      <c r="R938" t="s">
        <v>2601</v>
      </c>
      <c r="S938" t="s">
        <v>2608</v>
      </c>
      <c r="T938">
        <v>1</v>
      </c>
      <c r="U938" s="2">
        <v>579.75</v>
      </c>
      <c r="V938" s="3">
        <v>0</v>
      </c>
      <c r="W938" s="2">
        <v>579.75</v>
      </c>
      <c r="X938" s="2">
        <v>188.26</v>
      </c>
      <c r="Y938" s="3">
        <v>0.32472617507546347</v>
      </c>
      <c r="Z938" t="s">
        <v>1494</v>
      </c>
      <c r="AA938" t="s">
        <v>1498</v>
      </c>
      <c r="AB938" t="s">
        <v>1501</v>
      </c>
      <c r="AC938">
        <v>1</v>
      </c>
      <c r="AD938">
        <v>2025</v>
      </c>
      <c r="AE938" t="s">
        <v>2818</v>
      </c>
      <c r="AF938" t="s">
        <v>2842</v>
      </c>
      <c r="AG938" t="s">
        <v>2847</v>
      </c>
      <c r="AH938" t="s">
        <v>2848</v>
      </c>
      <c r="AI938">
        <v>1</v>
      </c>
    </row>
    <row r="939" spans="1:35" x14ac:dyDescent="0.3">
      <c r="A939" t="s">
        <v>905</v>
      </c>
      <c r="B939">
        <v>1</v>
      </c>
      <c r="C939" s="1">
        <v>45988</v>
      </c>
      <c r="D939" s="1">
        <v>45989</v>
      </c>
      <c r="E939" t="s">
        <v>1316</v>
      </c>
      <c r="F939" t="s">
        <v>2018</v>
      </c>
      <c r="G939" t="s">
        <v>1363</v>
      </c>
      <c r="H939" t="s">
        <v>2722</v>
      </c>
      <c r="I939" t="s">
        <v>2742</v>
      </c>
      <c r="J939" t="s">
        <v>2769</v>
      </c>
      <c r="K939" t="s">
        <v>1491</v>
      </c>
      <c r="L939" t="s">
        <v>2779</v>
      </c>
      <c r="M939" t="s">
        <v>2559</v>
      </c>
      <c r="N939" t="s">
        <v>2559</v>
      </c>
      <c r="O939" t="s">
        <v>2603</v>
      </c>
      <c r="P939" t="s">
        <v>2555</v>
      </c>
      <c r="Q939" t="s">
        <v>2578</v>
      </c>
      <c r="R939" t="s">
        <v>2603</v>
      </c>
      <c r="S939" t="s">
        <v>2607</v>
      </c>
      <c r="T939">
        <v>1</v>
      </c>
      <c r="U939" s="2">
        <v>23041.22</v>
      </c>
      <c r="V939" s="3">
        <v>0</v>
      </c>
      <c r="W939" s="2">
        <v>23041.22</v>
      </c>
      <c r="X939" s="2">
        <v>4964.74</v>
      </c>
      <c r="Y939" s="3">
        <v>0.21547209739762041</v>
      </c>
      <c r="Z939" t="s">
        <v>1495</v>
      </c>
      <c r="AA939" t="s">
        <v>1498</v>
      </c>
      <c r="AB939" t="s">
        <v>1501</v>
      </c>
      <c r="AC939">
        <v>1</v>
      </c>
      <c r="AD939">
        <v>2025</v>
      </c>
      <c r="AE939" t="s">
        <v>2818</v>
      </c>
      <c r="AF939" t="s">
        <v>2842</v>
      </c>
      <c r="AG939" t="s">
        <v>2847</v>
      </c>
      <c r="AH939" t="s">
        <v>2848</v>
      </c>
      <c r="AI939">
        <v>1</v>
      </c>
    </row>
    <row r="940" spans="1:35" x14ac:dyDescent="0.3">
      <c r="A940" t="s">
        <v>906</v>
      </c>
      <c r="B940">
        <v>1</v>
      </c>
      <c r="C940" s="1">
        <v>45989</v>
      </c>
      <c r="D940" s="1">
        <v>45989</v>
      </c>
      <c r="E940" t="s">
        <v>1149</v>
      </c>
      <c r="F940" t="s">
        <v>2031</v>
      </c>
      <c r="G940" t="s">
        <v>1402</v>
      </c>
      <c r="H940" t="s">
        <v>2690</v>
      </c>
      <c r="I940" t="s">
        <v>2740</v>
      </c>
      <c r="J940" t="s">
        <v>2761</v>
      </c>
      <c r="K940" t="s">
        <v>1487</v>
      </c>
      <c r="L940" t="s">
        <v>2785</v>
      </c>
      <c r="M940" t="s">
        <v>2561</v>
      </c>
      <c r="N940" t="s">
        <v>2598</v>
      </c>
      <c r="O940" t="s">
        <v>2601</v>
      </c>
      <c r="P940" t="s">
        <v>2550</v>
      </c>
      <c r="Q940" t="s">
        <v>2573</v>
      </c>
      <c r="R940" t="s">
        <v>2601</v>
      </c>
      <c r="S940" t="s">
        <v>2606</v>
      </c>
      <c r="T940">
        <v>1</v>
      </c>
      <c r="U940" s="2">
        <v>1419.44</v>
      </c>
      <c r="V940" s="3">
        <v>0.15</v>
      </c>
      <c r="W940" s="2">
        <v>1206.52</v>
      </c>
      <c r="X940" s="2">
        <v>-105.98</v>
      </c>
      <c r="Y940" s="3">
        <v>-8.7839405894639136E-2</v>
      </c>
      <c r="Z940" t="s">
        <v>1496</v>
      </c>
      <c r="AA940" t="s">
        <v>1499</v>
      </c>
      <c r="AB940" t="s">
        <v>1501</v>
      </c>
      <c r="AC940">
        <v>0</v>
      </c>
      <c r="AD940">
        <v>2025</v>
      </c>
      <c r="AE940" t="s">
        <v>2818</v>
      </c>
      <c r="AF940" t="s">
        <v>2842</v>
      </c>
      <c r="AG940" t="s">
        <v>2847</v>
      </c>
      <c r="AH940" t="s">
        <v>2848</v>
      </c>
      <c r="AI940">
        <v>1</v>
      </c>
    </row>
    <row r="941" spans="1:35" x14ac:dyDescent="0.3">
      <c r="A941" t="s">
        <v>907</v>
      </c>
      <c r="B941">
        <v>1</v>
      </c>
      <c r="C941" s="1">
        <v>45989</v>
      </c>
      <c r="D941" s="1">
        <v>45992</v>
      </c>
      <c r="E941" t="s">
        <v>986</v>
      </c>
      <c r="F941" t="s">
        <v>1955</v>
      </c>
      <c r="G941" t="s">
        <v>1393</v>
      </c>
      <c r="H941" t="s">
        <v>2683</v>
      </c>
      <c r="I941" t="s">
        <v>2739</v>
      </c>
      <c r="J941" t="s">
        <v>2759</v>
      </c>
      <c r="K941" t="s">
        <v>1480</v>
      </c>
      <c r="L941" t="s">
        <v>2789</v>
      </c>
      <c r="M941" t="s">
        <v>2568</v>
      </c>
      <c r="N941" t="s">
        <v>2586</v>
      </c>
      <c r="O941" t="s">
        <v>2603</v>
      </c>
      <c r="R941" t="s">
        <v>2790</v>
      </c>
      <c r="S941" t="s">
        <v>2606</v>
      </c>
      <c r="T941">
        <v>1</v>
      </c>
      <c r="U941" s="2">
        <v>3230.07</v>
      </c>
      <c r="V941" s="3">
        <v>0</v>
      </c>
      <c r="W941" s="2">
        <v>3230.07</v>
      </c>
      <c r="X941" s="2">
        <v>1361.52</v>
      </c>
      <c r="Y941" s="3">
        <v>0.42151408483407482</v>
      </c>
      <c r="Z941" t="s">
        <v>1494</v>
      </c>
      <c r="AA941" t="s">
        <v>1498</v>
      </c>
      <c r="AB941" t="s">
        <v>1501</v>
      </c>
      <c r="AC941">
        <v>3</v>
      </c>
      <c r="AD941">
        <v>2025</v>
      </c>
      <c r="AE941" t="s">
        <v>2818</v>
      </c>
      <c r="AF941" t="s">
        <v>2842</v>
      </c>
      <c r="AG941" t="s">
        <v>2847</v>
      </c>
      <c r="AH941" t="s">
        <v>2848</v>
      </c>
      <c r="AI941">
        <v>1</v>
      </c>
    </row>
    <row r="942" spans="1:35" x14ac:dyDescent="0.3">
      <c r="A942" t="s">
        <v>907</v>
      </c>
      <c r="B942">
        <v>2</v>
      </c>
      <c r="C942" s="1">
        <v>45989</v>
      </c>
      <c r="D942" s="1">
        <v>45992</v>
      </c>
      <c r="E942" t="s">
        <v>986</v>
      </c>
      <c r="F942" t="s">
        <v>1955</v>
      </c>
      <c r="G942" t="s">
        <v>1453</v>
      </c>
      <c r="H942" t="s">
        <v>2706</v>
      </c>
      <c r="I942" t="s">
        <v>2741</v>
      </c>
      <c r="J942" t="s">
        <v>2765</v>
      </c>
      <c r="K942" t="s">
        <v>1480</v>
      </c>
      <c r="L942" t="s">
        <v>2789</v>
      </c>
      <c r="M942" t="s">
        <v>2568</v>
      </c>
      <c r="N942" t="s">
        <v>2586</v>
      </c>
      <c r="O942" t="s">
        <v>2603</v>
      </c>
      <c r="R942" t="s">
        <v>2790</v>
      </c>
      <c r="S942" t="s">
        <v>2606</v>
      </c>
      <c r="T942">
        <v>1</v>
      </c>
      <c r="U942" s="2">
        <v>507.34</v>
      </c>
      <c r="V942" s="3">
        <v>0.1</v>
      </c>
      <c r="W942" s="2">
        <v>456.61</v>
      </c>
      <c r="X942" s="2">
        <v>143.13999999999999</v>
      </c>
      <c r="Y942" s="3">
        <v>0.3134841549681347</v>
      </c>
      <c r="Z942" t="s">
        <v>1494</v>
      </c>
      <c r="AA942" t="s">
        <v>1498</v>
      </c>
      <c r="AB942" t="s">
        <v>1501</v>
      </c>
      <c r="AC942">
        <v>3</v>
      </c>
      <c r="AD942">
        <v>2025</v>
      </c>
      <c r="AE942" t="s">
        <v>2818</v>
      </c>
      <c r="AF942" t="s">
        <v>2842</v>
      </c>
      <c r="AG942" t="s">
        <v>2847</v>
      </c>
      <c r="AH942" t="s">
        <v>2848</v>
      </c>
      <c r="AI942">
        <v>0</v>
      </c>
    </row>
    <row r="943" spans="1:35" x14ac:dyDescent="0.3">
      <c r="A943" t="s">
        <v>908</v>
      </c>
      <c r="B943">
        <v>1</v>
      </c>
      <c r="C943" s="1">
        <v>45990</v>
      </c>
      <c r="D943" s="1">
        <v>45991</v>
      </c>
      <c r="E943" t="s">
        <v>1050</v>
      </c>
      <c r="F943" t="s">
        <v>1753</v>
      </c>
      <c r="G943" t="s">
        <v>1470</v>
      </c>
      <c r="H943" t="s">
        <v>2672</v>
      </c>
      <c r="I943" t="s">
        <v>2739</v>
      </c>
      <c r="J943" t="s">
        <v>2756</v>
      </c>
      <c r="K943" t="s">
        <v>1486</v>
      </c>
      <c r="L943" t="s">
        <v>2776</v>
      </c>
      <c r="M943" t="s">
        <v>2556</v>
      </c>
      <c r="N943" t="s">
        <v>2574</v>
      </c>
      <c r="O943" t="s">
        <v>2602</v>
      </c>
      <c r="P943" t="s">
        <v>2551</v>
      </c>
      <c r="Q943" t="s">
        <v>2574</v>
      </c>
      <c r="R943" t="s">
        <v>2602</v>
      </c>
      <c r="S943" t="s">
        <v>2608</v>
      </c>
      <c r="T943">
        <v>2</v>
      </c>
      <c r="U943" s="2">
        <v>4551.28</v>
      </c>
      <c r="V943" s="3">
        <v>0.05</v>
      </c>
      <c r="W943" s="2">
        <v>8647.43</v>
      </c>
      <c r="X943" s="2">
        <v>3307.09</v>
      </c>
      <c r="Y943" s="3">
        <v>0.38243616889642362</v>
      </c>
      <c r="Z943" t="s">
        <v>1494</v>
      </c>
      <c r="AA943" t="s">
        <v>1498</v>
      </c>
      <c r="AB943" t="s">
        <v>1502</v>
      </c>
      <c r="AC943">
        <v>1</v>
      </c>
      <c r="AD943">
        <v>2025</v>
      </c>
      <c r="AE943" t="s">
        <v>2818</v>
      </c>
      <c r="AF943" t="s">
        <v>2842</v>
      </c>
      <c r="AG943" t="s">
        <v>2847</v>
      </c>
      <c r="AH943" t="s">
        <v>2848</v>
      </c>
      <c r="AI943">
        <v>1</v>
      </c>
    </row>
    <row r="944" spans="1:35" x14ac:dyDescent="0.3">
      <c r="A944" t="s">
        <v>909</v>
      </c>
      <c r="B944">
        <v>1</v>
      </c>
      <c r="C944" s="1">
        <v>45990</v>
      </c>
      <c r="D944" s="1">
        <v>45991</v>
      </c>
      <c r="E944" t="s">
        <v>1317</v>
      </c>
      <c r="F944" t="s">
        <v>1835</v>
      </c>
      <c r="G944" t="s">
        <v>1338</v>
      </c>
      <c r="H944" t="s">
        <v>2693</v>
      </c>
      <c r="I944" t="s">
        <v>2740</v>
      </c>
      <c r="J944" t="s">
        <v>2761</v>
      </c>
      <c r="K944" t="s">
        <v>1480</v>
      </c>
      <c r="L944" t="s">
        <v>2789</v>
      </c>
      <c r="M944" t="s">
        <v>2557</v>
      </c>
      <c r="N944" t="s">
        <v>2576</v>
      </c>
      <c r="O944" t="s">
        <v>2602</v>
      </c>
      <c r="R944" t="s">
        <v>2790</v>
      </c>
      <c r="S944" t="s">
        <v>2606</v>
      </c>
      <c r="T944">
        <v>2</v>
      </c>
      <c r="U944" s="2">
        <v>1151.02</v>
      </c>
      <c r="V944" s="3">
        <v>0</v>
      </c>
      <c r="W944" s="2">
        <v>2302.04</v>
      </c>
      <c r="X944" s="2">
        <v>299.10000000000002</v>
      </c>
      <c r="Y944" s="3">
        <v>0.12992823756320479</v>
      </c>
      <c r="Z944" t="s">
        <v>1494</v>
      </c>
      <c r="AA944" t="s">
        <v>1499</v>
      </c>
      <c r="AB944" t="s">
        <v>1501</v>
      </c>
      <c r="AC944">
        <v>1</v>
      </c>
      <c r="AD944">
        <v>2025</v>
      </c>
      <c r="AE944" t="s">
        <v>2818</v>
      </c>
      <c r="AF944" t="s">
        <v>2842</v>
      </c>
      <c r="AG944" t="s">
        <v>2847</v>
      </c>
      <c r="AH944" t="s">
        <v>2848</v>
      </c>
      <c r="AI944">
        <v>1</v>
      </c>
    </row>
    <row r="945" spans="1:35" x14ac:dyDescent="0.3">
      <c r="A945" t="s">
        <v>910</v>
      </c>
      <c r="B945">
        <v>1</v>
      </c>
      <c r="C945" s="1">
        <v>45990</v>
      </c>
      <c r="D945" s="1">
        <v>45992</v>
      </c>
      <c r="E945" t="s">
        <v>1145</v>
      </c>
      <c r="F945" t="s">
        <v>1805</v>
      </c>
      <c r="G945" t="s">
        <v>1338</v>
      </c>
      <c r="H945" t="s">
        <v>2693</v>
      </c>
      <c r="I945" t="s">
        <v>2740</v>
      </c>
      <c r="J945" t="s">
        <v>2761</v>
      </c>
      <c r="K945" t="s">
        <v>1480</v>
      </c>
      <c r="L945" t="s">
        <v>2789</v>
      </c>
      <c r="M945" t="s">
        <v>2564</v>
      </c>
      <c r="N945" t="s">
        <v>2582</v>
      </c>
      <c r="O945" t="s">
        <v>2601</v>
      </c>
      <c r="R945" t="s">
        <v>2790</v>
      </c>
      <c r="S945" t="s">
        <v>2608</v>
      </c>
      <c r="T945">
        <v>1</v>
      </c>
      <c r="U945" s="2">
        <v>1151.02</v>
      </c>
      <c r="V945" s="3">
        <v>0</v>
      </c>
      <c r="W945" s="2">
        <v>1151.02</v>
      </c>
      <c r="X945" s="2">
        <v>149.55000000000001</v>
      </c>
      <c r="Y945" s="3">
        <v>0.12992823756320479</v>
      </c>
      <c r="Z945" t="s">
        <v>1493</v>
      </c>
      <c r="AA945" t="s">
        <v>1499</v>
      </c>
      <c r="AB945" t="s">
        <v>1501</v>
      </c>
      <c r="AC945">
        <v>2</v>
      </c>
      <c r="AD945">
        <v>2025</v>
      </c>
      <c r="AE945" t="s">
        <v>2818</v>
      </c>
      <c r="AF945" t="s">
        <v>2842</v>
      </c>
      <c r="AG945" t="s">
        <v>2847</v>
      </c>
      <c r="AH945" t="s">
        <v>2848</v>
      </c>
      <c r="AI945">
        <v>1</v>
      </c>
    </row>
    <row r="946" spans="1:35" x14ac:dyDescent="0.3">
      <c r="A946" t="s">
        <v>911</v>
      </c>
      <c r="B946">
        <v>3</v>
      </c>
      <c r="C946" s="1">
        <v>45991</v>
      </c>
      <c r="D946" s="1">
        <v>45992</v>
      </c>
      <c r="E946" t="s">
        <v>1318</v>
      </c>
      <c r="F946" t="s">
        <v>1962</v>
      </c>
      <c r="G946" t="s">
        <v>1450</v>
      </c>
      <c r="H946" t="s">
        <v>2723</v>
      </c>
      <c r="I946" t="s">
        <v>2742</v>
      </c>
      <c r="J946" t="s">
        <v>2770</v>
      </c>
      <c r="K946" t="s">
        <v>1485</v>
      </c>
      <c r="L946" t="s">
        <v>2775</v>
      </c>
      <c r="M946" t="s">
        <v>2551</v>
      </c>
      <c r="N946" t="s">
        <v>2574</v>
      </c>
      <c r="O946" t="s">
        <v>2602</v>
      </c>
      <c r="P946" t="s">
        <v>2562</v>
      </c>
      <c r="Q946" t="s">
        <v>2574</v>
      </c>
      <c r="R946" t="s">
        <v>2602</v>
      </c>
      <c r="S946" t="s">
        <v>2608</v>
      </c>
      <c r="T946">
        <v>2</v>
      </c>
      <c r="U946" s="2">
        <v>7983.56</v>
      </c>
      <c r="V946" s="3">
        <v>0.15</v>
      </c>
      <c r="W946" s="2">
        <v>13572.05</v>
      </c>
      <c r="X946" s="2">
        <v>1541.63</v>
      </c>
      <c r="Y946" s="3">
        <v>0.1135885883120089</v>
      </c>
      <c r="Z946" t="s">
        <v>1496</v>
      </c>
      <c r="AA946" t="s">
        <v>1498</v>
      </c>
      <c r="AB946" t="s">
        <v>1501</v>
      </c>
      <c r="AC946">
        <v>1</v>
      </c>
      <c r="AD946">
        <v>2025</v>
      </c>
      <c r="AE946" t="s">
        <v>2818</v>
      </c>
      <c r="AF946" t="s">
        <v>2842</v>
      </c>
      <c r="AG946" t="s">
        <v>2847</v>
      </c>
      <c r="AH946" t="s">
        <v>2848</v>
      </c>
      <c r="AI946">
        <v>1</v>
      </c>
    </row>
    <row r="947" spans="1:35" x14ac:dyDescent="0.3">
      <c r="A947" t="s">
        <v>912</v>
      </c>
      <c r="B947">
        <v>1</v>
      </c>
      <c r="C947" s="1">
        <v>45991</v>
      </c>
      <c r="D947" s="1">
        <v>45991</v>
      </c>
      <c r="E947" t="s">
        <v>1236</v>
      </c>
      <c r="F947" t="s">
        <v>1811</v>
      </c>
      <c r="G947" t="s">
        <v>1358</v>
      </c>
      <c r="H947" t="s">
        <v>2636</v>
      </c>
      <c r="I947" t="s">
        <v>2737</v>
      </c>
      <c r="J947" t="s">
        <v>2747</v>
      </c>
      <c r="K947" t="s">
        <v>1490</v>
      </c>
      <c r="L947" t="s">
        <v>2784</v>
      </c>
      <c r="M947" t="s">
        <v>2569</v>
      </c>
      <c r="N947" t="s">
        <v>2587</v>
      </c>
      <c r="O947" t="s">
        <v>2604</v>
      </c>
      <c r="P947" t="s">
        <v>2567</v>
      </c>
      <c r="Q947" t="s">
        <v>2585</v>
      </c>
      <c r="R947" t="s">
        <v>2604</v>
      </c>
      <c r="S947" t="s">
        <v>2608</v>
      </c>
      <c r="T947">
        <v>1</v>
      </c>
      <c r="U947" s="2">
        <v>37487.300000000003</v>
      </c>
      <c r="V947" s="3">
        <v>0</v>
      </c>
      <c r="W947" s="2">
        <v>37487.300000000003</v>
      </c>
      <c r="X947" s="2">
        <v>3603.55</v>
      </c>
      <c r="Y947" s="3">
        <v>9.6127221752433489E-2</v>
      </c>
      <c r="Z947" t="s">
        <v>1496</v>
      </c>
      <c r="AA947" t="s">
        <v>1498</v>
      </c>
      <c r="AB947" t="s">
        <v>1501</v>
      </c>
      <c r="AC947">
        <v>0</v>
      </c>
      <c r="AD947">
        <v>2025</v>
      </c>
      <c r="AE947" t="s">
        <v>2818</v>
      </c>
      <c r="AF947" t="s">
        <v>2842</v>
      </c>
      <c r="AG947" t="s">
        <v>2847</v>
      </c>
      <c r="AH947" t="s">
        <v>2848</v>
      </c>
      <c r="AI947">
        <v>1</v>
      </c>
    </row>
    <row r="948" spans="1:35" x14ac:dyDescent="0.3">
      <c r="A948" t="s">
        <v>913</v>
      </c>
      <c r="B948">
        <v>1</v>
      </c>
      <c r="C948" s="1">
        <v>45991</v>
      </c>
      <c r="D948" s="1">
        <v>45994</v>
      </c>
      <c r="E948" t="s">
        <v>1176</v>
      </c>
      <c r="F948" t="s">
        <v>1653</v>
      </c>
      <c r="G948" t="s">
        <v>1357</v>
      </c>
      <c r="H948" t="s">
        <v>2689</v>
      </c>
      <c r="I948" t="s">
        <v>2740</v>
      </c>
      <c r="J948" t="s">
        <v>2760</v>
      </c>
      <c r="K948" t="s">
        <v>1480</v>
      </c>
      <c r="L948" t="s">
        <v>2789</v>
      </c>
      <c r="M948" t="s">
        <v>2554</v>
      </c>
      <c r="N948" t="s">
        <v>2577</v>
      </c>
      <c r="O948" t="s">
        <v>2601</v>
      </c>
      <c r="R948" t="s">
        <v>2790</v>
      </c>
      <c r="S948" t="s">
        <v>2608</v>
      </c>
      <c r="T948">
        <v>1</v>
      </c>
      <c r="U948" s="2">
        <v>986.91</v>
      </c>
      <c r="V948" s="3">
        <v>0.05</v>
      </c>
      <c r="W948" s="2">
        <v>937.56</v>
      </c>
      <c r="X948" s="2">
        <v>79.38</v>
      </c>
      <c r="Y948" s="3">
        <v>8.4666581338794317E-2</v>
      </c>
      <c r="Z948" t="s">
        <v>1496</v>
      </c>
      <c r="AA948" t="s">
        <v>1498</v>
      </c>
      <c r="AB948" t="s">
        <v>1501</v>
      </c>
      <c r="AC948">
        <v>3</v>
      </c>
      <c r="AD948">
        <v>2025</v>
      </c>
      <c r="AE948" t="s">
        <v>2818</v>
      </c>
      <c r="AF948" t="s">
        <v>2842</v>
      </c>
      <c r="AG948" t="s">
        <v>2847</v>
      </c>
      <c r="AH948" t="s">
        <v>2848</v>
      </c>
      <c r="AI948">
        <v>1</v>
      </c>
    </row>
    <row r="949" spans="1:35" x14ac:dyDescent="0.3">
      <c r="A949" t="s">
        <v>914</v>
      </c>
      <c r="B949">
        <v>1</v>
      </c>
      <c r="C949" s="1">
        <v>45992</v>
      </c>
      <c r="D949" s="1">
        <v>45994</v>
      </c>
      <c r="E949" t="s">
        <v>1031</v>
      </c>
      <c r="F949" t="s">
        <v>1748</v>
      </c>
      <c r="G949" t="s">
        <v>1401</v>
      </c>
      <c r="H949" t="s">
        <v>2618</v>
      </c>
      <c r="I949" t="s">
        <v>2737</v>
      </c>
      <c r="J949" t="s">
        <v>2744</v>
      </c>
      <c r="K949" t="s">
        <v>1480</v>
      </c>
      <c r="L949" t="s">
        <v>2789</v>
      </c>
      <c r="M949" t="s">
        <v>2561</v>
      </c>
      <c r="N949" t="s">
        <v>2580</v>
      </c>
      <c r="O949" t="s">
        <v>2601</v>
      </c>
      <c r="R949" t="s">
        <v>2790</v>
      </c>
      <c r="S949" t="s">
        <v>2608</v>
      </c>
      <c r="T949">
        <v>1</v>
      </c>
      <c r="U949" s="2">
        <v>50900.49</v>
      </c>
      <c r="V949" s="3">
        <v>0</v>
      </c>
      <c r="W949" s="2">
        <v>50900.49</v>
      </c>
      <c r="X949" s="2">
        <v>7930.74</v>
      </c>
      <c r="Y949" s="3">
        <v>0.15580871618328229</v>
      </c>
      <c r="Z949" t="s">
        <v>1496</v>
      </c>
      <c r="AA949" t="s">
        <v>1498</v>
      </c>
      <c r="AB949" t="s">
        <v>1501</v>
      </c>
      <c r="AC949">
        <v>2</v>
      </c>
      <c r="AD949">
        <v>2025</v>
      </c>
      <c r="AE949" t="s">
        <v>2819</v>
      </c>
      <c r="AF949" t="s">
        <v>2843</v>
      </c>
      <c r="AG949" t="s">
        <v>2847</v>
      </c>
      <c r="AH949" t="s">
        <v>2848</v>
      </c>
      <c r="AI949">
        <v>1</v>
      </c>
    </row>
    <row r="950" spans="1:35" x14ac:dyDescent="0.3">
      <c r="A950" t="s">
        <v>915</v>
      </c>
      <c r="B950">
        <v>1</v>
      </c>
      <c r="C950" s="1">
        <v>45992</v>
      </c>
      <c r="D950" s="1">
        <v>45993</v>
      </c>
      <c r="E950" t="s">
        <v>1299</v>
      </c>
      <c r="F950" t="s">
        <v>2010</v>
      </c>
      <c r="G950" t="s">
        <v>1414</v>
      </c>
      <c r="H950" t="s">
        <v>2641</v>
      </c>
      <c r="I950" t="s">
        <v>2738</v>
      </c>
      <c r="J950" t="s">
        <v>2749</v>
      </c>
      <c r="K950" t="s">
        <v>1480</v>
      </c>
      <c r="L950" t="s">
        <v>2789</v>
      </c>
      <c r="M950" t="s">
        <v>2570</v>
      </c>
      <c r="N950" t="s">
        <v>2590</v>
      </c>
      <c r="O950" t="s">
        <v>2605</v>
      </c>
      <c r="R950" t="s">
        <v>2790</v>
      </c>
      <c r="S950" t="s">
        <v>2606</v>
      </c>
      <c r="T950">
        <v>3</v>
      </c>
      <c r="U950" s="2">
        <v>20329.61</v>
      </c>
      <c r="V950" s="3">
        <v>0.15</v>
      </c>
      <c r="W950" s="2">
        <v>51840.51</v>
      </c>
      <c r="X950" s="2">
        <v>5738.82</v>
      </c>
      <c r="Y950" s="3">
        <v>0.1107014572194602</v>
      </c>
      <c r="Z950" t="s">
        <v>1496</v>
      </c>
      <c r="AA950" t="s">
        <v>1498</v>
      </c>
      <c r="AB950" t="s">
        <v>1501</v>
      </c>
      <c r="AC950">
        <v>1</v>
      </c>
      <c r="AD950">
        <v>2025</v>
      </c>
      <c r="AE950" t="s">
        <v>2819</v>
      </c>
      <c r="AF950" t="s">
        <v>2843</v>
      </c>
      <c r="AG950" t="s">
        <v>2847</v>
      </c>
      <c r="AH950" t="s">
        <v>2848</v>
      </c>
      <c r="AI950">
        <v>1</v>
      </c>
    </row>
    <row r="951" spans="1:35" x14ac:dyDescent="0.3">
      <c r="A951" t="s">
        <v>916</v>
      </c>
      <c r="B951">
        <v>2</v>
      </c>
      <c r="C951" s="1">
        <v>45993</v>
      </c>
      <c r="D951" s="1">
        <v>45996</v>
      </c>
      <c r="E951" t="s">
        <v>997</v>
      </c>
      <c r="F951" t="s">
        <v>1703</v>
      </c>
      <c r="G951" t="s">
        <v>1363</v>
      </c>
      <c r="H951" t="s">
        <v>2722</v>
      </c>
      <c r="I951" t="s">
        <v>2742</v>
      </c>
      <c r="J951" t="s">
        <v>2769</v>
      </c>
      <c r="K951" t="s">
        <v>1480</v>
      </c>
      <c r="L951" t="s">
        <v>2789</v>
      </c>
      <c r="M951" t="s">
        <v>2556</v>
      </c>
      <c r="N951" t="s">
        <v>2574</v>
      </c>
      <c r="O951" t="s">
        <v>2602</v>
      </c>
      <c r="R951" t="s">
        <v>2790</v>
      </c>
      <c r="S951" t="s">
        <v>2606</v>
      </c>
      <c r="T951">
        <v>1</v>
      </c>
      <c r="U951" s="2">
        <v>23041.22</v>
      </c>
      <c r="V951" s="3">
        <v>0</v>
      </c>
      <c r="W951" s="2">
        <v>23041.22</v>
      </c>
      <c r="X951" s="2">
        <v>4964.74</v>
      </c>
      <c r="Y951" s="3">
        <v>0.21547209739762041</v>
      </c>
      <c r="Z951" t="s">
        <v>1496</v>
      </c>
      <c r="AA951" t="s">
        <v>1500</v>
      </c>
      <c r="AB951" t="s">
        <v>1501</v>
      </c>
      <c r="AC951">
        <v>3</v>
      </c>
      <c r="AD951">
        <v>2025</v>
      </c>
      <c r="AE951" t="s">
        <v>2819</v>
      </c>
      <c r="AF951" t="s">
        <v>2843</v>
      </c>
      <c r="AG951" t="s">
        <v>2847</v>
      </c>
      <c r="AH951" t="s">
        <v>2848</v>
      </c>
      <c r="AI951">
        <v>1</v>
      </c>
    </row>
    <row r="952" spans="1:35" x14ac:dyDescent="0.3">
      <c r="A952" t="s">
        <v>917</v>
      </c>
      <c r="B952">
        <v>1</v>
      </c>
      <c r="C952" s="1">
        <v>45993</v>
      </c>
      <c r="D952" s="1">
        <v>45994</v>
      </c>
      <c r="E952" t="s">
        <v>976</v>
      </c>
      <c r="F952" t="s">
        <v>1679</v>
      </c>
      <c r="G952" t="s">
        <v>1434</v>
      </c>
      <c r="H952" t="s">
        <v>2695</v>
      </c>
      <c r="I952" t="s">
        <v>2740</v>
      </c>
      <c r="J952" t="s">
        <v>2762</v>
      </c>
      <c r="K952" t="s">
        <v>1490</v>
      </c>
      <c r="L952" t="s">
        <v>2784</v>
      </c>
      <c r="M952" t="s">
        <v>2567</v>
      </c>
      <c r="N952" t="s">
        <v>2585</v>
      </c>
      <c r="O952" t="s">
        <v>2604</v>
      </c>
      <c r="P952" t="s">
        <v>2567</v>
      </c>
      <c r="Q952" t="s">
        <v>2585</v>
      </c>
      <c r="R952" t="s">
        <v>2604</v>
      </c>
      <c r="S952" t="s">
        <v>2606</v>
      </c>
      <c r="T952">
        <v>1</v>
      </c>
      <c r="U952" s="2">
        <v>994.69</v>
      </c>
      <c r="V952" s="3">
        <v>0</v>
      </c>
      <c r="W952" s="2">
        <v>994.69</v>
      </c>
      <c r="X952" s="2">
        <v>91.37</v>
      </c>
      <c r="Y952" s="3">
        <v>9.1857764730720118E-2</v>
      </c>
      <c r="Z952" t="s">
        <v>1497</v>
      </c>
      <c r="AA952" t="s">
        <v>1498</v>
      </c>
      <c r="AB952" t="s">
        <v>1501</v>
      </c>
      <c r="AC952">
        <v>1</v>
      </c>
      <c r="AD952">
        <v>2025</v>
      </c>
      <c r="AE952" t="s">
        <v>2819</v>
      </c>
      <c r="AF952" t="s">
        <v>2843</v>
      </c>
      <c r="AG952" t="s">
        <v>2847</v>
      </c>
      <c r="AH952" t="s">
        <v>2848</v>
      </c>
      <c r="AI952">
        <v>1</v>
      </c>
    </row>
    <row r="953" spans="1:35" x14ac:dyDescent="0.3">
      <c r="A953" t="s">
        <v>918</v>
      </c>
      <c r="B953">
        <v>1</v>
      </c>
      <c r="C953" s="1">
        <v>45995</v>
      </c>
      <c r="D953" s="1">
        <v>45996</v>
      </c>
      <c r="E953" t="s">
        <v>1197</v>
      </c>
      <c r="F953" t="s">
        <v>1927</v>
      </c>
      <c r="G953" t="s">
        <v>1345</v>
      </c>
      <c r="H953" t="s">
        <v>2635</v>
      </c>
      <c r="I953" t="s">
        <v>2737</v>
      </c>
      <c r="J953" t="s">
        <v>2747</v>
      </c>
      <c r="K953" t="s">
        <v>1480</v>
      </c>
      <c r="L953" t="s">
        <v>2789</v>
      </c>
      <c r="M953" t="s">
        <v>2570</v>
      </c>
      <c r="N953" t="s">
        <v>2590</v>
      </c>
      <c r="O953" t="s">
        <v>2605</v>
      </c>
      <c r="R953" t="s">
        <v>2790</v>
      </c>
      <c r="S953" t="s">
        <v>2606</v>
      </c>
      <c r="T953">
        <v>1</v>
      </c>
      <c r="U953" s="2">
        <v>8112.78</v>
      </c>
      <c r="V953" s="3">
        <v>0.1</v>
      </c>
      <c r="W953" s="2">
        <v>7301.5</v>
      </c>
      <c r="X953" s="2">
        <v>423.78</v>
      </c>
      <c r="Y953" s="3">
        <v>5.8040128740669723E-2</v>
      </c>
      <c r="Z953" t="s">
        <v>1496</v>
      </c>
      <c r="AA953" t="s">
        <v>1498</v>
      </c>
      <c r="AB953" t="s">
        <v>1501</v>
      </c>
      <c r="AC953">
        <v>1</v>
      </c>
      <c r="AD953">
        <v>2025</v>
      </c>
      <c r="AE953" t="s">
        <v>2819</v>
      </c>
      <c r="AF953" t="s">
        <v>2843</v>
      </c>
      <c r="AG953" t="s">
        <v>2847</v>
      </c>
      <c r="AH953" t="s">
        <v>2848</v>
      </c>
      <c r="AI953">
        <v>1</v>
      </c>
    </row>
    <row r="954" spans="1:35" x14ac:dyDescent="0.3">
      <c r="A954" t="s">
        <v>919</v>
      </c>
      <c r="B954">
        <v>2</v>
      </c>
      <c r="C954" s="1">
        <v>45995</v>
      </c>
      <c r="D954" s="1">
        <v>45997</v>
      </c>
      <c r="E954" t="s">
        <v>1075</v>
      </c>
      <c r="F954" t="s">
        <v>1664</v>
      </c>
      <c r="G954" t="s">
        <v>1474</v>
      </c>
      <c r="H954" t="s">
        <v>2733</v>
      </c>
      <c r="I954" t="s">
        <v>2742</v>
      </c>
      <c r="J954" t="s">
        <v>2772</v>
      </c>
      <c r="K954" t="s">
        <v>1480</v>
      </c>
      <c r="L954" t="s">
        <v>2789</v>
      </c>
      <c r="M954" t="s">
        <v>2570</v>
      </c>
      <c r="N954" t="s">
        <v>2590</v>
      </c>
      <c r="O954" t="s">
        <v>2605</v>
      </c>
      <c r="R954" t="s">
        <v>2790</v>
      </c>
      <c r="S954" t="s">
        <v>2606</v>
      </c>
      <c r="T954">
        <v>2</v>
      </c>
      <c r="U954" s="2">
        <v>12355.9</v>
      </c>
      <c r="V954" s="3">
        <v>0.1</v>
      </c>
      <c r="W954" s="2">
        <v>22240.62</v>
      </c>
      <c r="X954" s="2">
        <v>3119.56</v>
      </c>
      <c r="Y954" s="3">
        <v>0.1402640753719995</v>
      </c>
      <c r="Z954" t="s">
        <v>1496</v>
      </c>
      <c r="AA954" t="s">
        <v>1498</v>
      </c>
      <c r="AB954" t="s">
        <v>1501</v>
      </c>
      <c r="AC954">
        <v>2</v>
      </c>
      <c r="AD954">
        <v>2025</v>
      </c>
      <c r="AE954" t="s">
        <v>2819</v>
      </c>
      <c r="AF954" t="s">
        <v>2843</v>
      </c>
      <c r="AG954" t="s">
        <v>2847</v>
      </c>
      <c r="AH954" t="s">
        <v>2848</v>
      </c>
      <c r="AI954">
        <v>1</v>
      </c>
    </row>
    <row r="955" spans="1:35" x14ac:dyDescent="0.3">
      <c r="A955" t="s">
        <v>920</v>
      </c>
      <c r="B955">
        <v>1</v>
      </c>
      <c r="C955" s="1">
        <v>45995</v>
      </c>
      <c r="D955" s="1">
        <v>45998</v>
      </c>
      <c r="E955" t="s">
        <v>1183</v>
      </c>
      <c r="F955" t="s">
        <v>1652</v>
      </c>
      <c r="G955" t="s">
        <v>1401</v>
      </c>
      <c r="H955" t="s">
        <v>2618</v>
      </c>
      <c r="I955" t="s">
        <v>2737</v>
      </c>
      <c r="J955" t="s">
        <v>2744</v>
      </c>
      <c r="K955" t="s">
        <v>1480</v>
      </c>
      <c r="L955" t="s">
        <v>2789</v>
      </c>
      <c r="M955" t="s">
        <v>2553</v>
      </c>
      <c r="N955" t="s">
        <v>2576</v>
      </c>
      <c r="O955" t="s">
        <v>2602</v>
      </c>
      <c r="R955" t="s">
        <v>2790</v>
      </c>
      <c r="S955" t="s">
        <v>2606</v>
      </c>
      <c r="T955">
        <v>1</v>
      </c>
      <c r="U955" s="2">
        <v>50900.49</v>
      </c>
      <c r="V955" s="3">
        <v>0</v>
      </c>
      <c r="W955" s="2">
        <v>50900.49</v>
      </c>
      <c r="X955" s="2">
        <v>7930.74</v>
      </c>
      <c r="Y955" s="3">
        <v>0.15580871618328229</v>
      </c>
      <c r="Z955" t="s">
        <v>1496</v>
      </c>
      <c r="AA955" t="s">
        <v>1499</v>
      </c>
      <c r="AB955" t="s">
        <v>1501</v>
      </c>
      <c r="AC955">
        <v>3</v>
      </c>
      <c r="AD955">
        <v>2025</v>
      </c>
      <c r="AE955" t="s">
        <v>2819</v>
      </c>
      <c r="AF955" t="s">
        <v>2843</v>
      </c>
      <c r="AG955" t="s">
        <v>2847</v>
      </c>
      <c r="AH955" t="s">
        <v>2848</v>
      </c>
      <c r="AI955">
        <v>1</v>
      </c>
    </row>
    <row r="956" spans="1:35" x14ac:dyDescent="0.3">
      <c r="A956" t="s">
        <v>921</v>
      </c>
      <c r="B956">
        <v>3</v>
      </c>
      <c r="C956" s="1">
        <v>45995</v>
      </c>
      <c r="D956" s="1">
        <v>45998</v>
      </c>
      <c r="E956" t="s">
        <v>1265</v>
      </c>
      <c r="F956" t="s">
        <v>1988</v>
      </c>
      <c r="G956" t="s">
        <v>1459</v>
      </c>
      <c r="H956" t="s">
        <v>2688</v>
      </c>
      <c r="I956" t="s">
        <v>2740</v>
      </c>
      <c r="J956" t="s">
        <v>2760</v>
      </c>
      <c r="K956" t="s">
        <v>1480</v>
      </c>
      <c r="L956" t="s">
        <v>2789</v>
      </c>
      <c r="M956" t="s">
        <v>2565</v>
      </c>
      <c r="N956" t="s">
        <v>2583</v>
      </c>
      <c r="O956" t="s">
        <v>2604</v>
      </c>
      <c r="R956" t="s">
        <v>2790</v>
      </c>
      <c r="S956" t="s">
        <v>2606</v>
      </c>
      <c r="T956">
        <v>1</v>
      </c>
      <c r="U956" s="2">
        <v>814.23</v>
      </c>
      <c r="V956" s="3">
        <v>0</v>
      </c>
      <c r="W956" s="2">
        <v>814.23</v>
      </c>
      <c r="X956" s="2">
        <v>109.8</v>
      </c>
      <c r="Y956" s="3">
        <v>0.13485133193323751</v>
      </c>
      <c r="Z956" t="s">
        <v>1494</v>
      </c>
      <c r="AA956" t="s">
        <v>1499</v>
      </c>
      <c r="AB956" t="s">
        <v>1501</v>
      </c>
      <c r="AC956">
        <v>3</v>
      </c>
      <c r="AD956">
        <v>2025</v>
      </c>
      <c r="AE956" t="s">
        <v>2819</v>
      </c>
      <c r="AF956" t="s">
        <v>2843</v>
      </c>
      <c r="AG956" t="s">
        <v>2847</v>
      </c>
      <c r="AH956" t="s">
        <v>2848</v>
      </c>
      <c r="AI956">
        <v>1</v>
      </c>
    </row>
    <row r="957" spans="1:35" x14ac:dyDescent="0.3">
      <c r="A957" t="s">
        <v>922</v>
      </c>
      <c r="B957">
        <v>1</v>
      </c>
      <c r="C957" s="1">
        <v>45996</v>
      </c>
      <c r="D957" s="1">
        <v>45996</v>
      </c>
      <c r="E957" t="s">
        <v>967</v>
      </c>
      <c r="F957" t="s">
        <v>1849</v>
      </c>
      <c r="G957" t="s">
        <v>1333</v>
      </c>
      <c r="H957" t="s">
        <v>2620</v>
      </c>
      <c r="I957" t="s">
        <v>2737</v>
      </c>
      <c r="J957" t="s">
        <v>2744</v>
      </c>
      <c r="K957" t="s">
        <v>1489</v>
      </c>
      <c r="L957" t="s">
        <v>2787</v>
      </c>
      <c r="M957" t="s">
        <v>2550</v>
      </c>
      <c r="N957" t="s">
        <v>2573</v>
      </c>
      <c r="O957" t="s">
        <v>2601</v>
      </c>
      <c r="P957" t="s">
        <v>2566</v>
      </c>
      <c r="Q957" t="s">
        <v>2584</v>
      </c>
      <c r="R957" t="s">
        <v>2601</v>
      </c>
      <c r="S957" t="s">
        <v>2607</v>
      </c>
      <c r="T957">
        <v>1</v>
      </c>
      <c r="U957" s="2">
        <v>16375.46</v>
      </c>
      <c r="V957" s="3">
        <v>0.1</v>
      </c>
      <c r="W957" s="2">
        <v>14737.91</v>
      </c>
      <c r="X957" s="2">
        <v>436.76</v>
      </c>
      <c r="Y957" s="3">
        <v>2.9635138225162179E-2</v>
      </c>
      <c r="Z957" t="s">
        <v>1494</v>
      </c>
      <c r="AA957" t="s">
        <v>1499</v>
      </c>
      <c r="AB957" t="s">
        <v>1502</v>
      </c>
      <c r="AC957">
        <v>0</v>
      </c>
      <c r="AD957">
        <v>2025</v>
      </c>
      <c r="AE957" t="s">
        <v>2819</v>
      </c>
      <c r="AF957" t="s">
        <v>2843</v>
      </c>
      <c r="AG957" t="s">
        <v>2847</v>
      </c>
      <c r="AH957" t="s">
        <v>2848</v>
      </c>
      <c r="AI957">
        <v>1</v>
      </c>
    </row>
    <row r="958" spans="1:35" x14ac:dyDescent="0.3">
      <c r="A958" t="s">
        <v>923</v>
      </c>
      <c r="B958">
        <v>1</v>
      </c>
      <c r="C958" s="1">
        <v>45996</v>
      </c>
      <c r="D958" s="1">
        <v>45997</v>
      </c>
      <c r="E958" t="s">
        <v>1041</v>
      </c>
      <c r="F958" t="s">
        <v>1793</v>
      </c>
      <c r="G958" t="s">
        <v>1472</v>
      </c>
      <c r="H958" t="s">
        <v>2625</v>
      </c>
      <c r="I958" t="s">
        <v>2737</v>
      </c>
      <c r="J958" t="s">
        <v>2745</v>
      </c>
      <c r="K958" t="s">
        <v>1488</v>
      </c>
      <c r="L958" t="s">
        <v>2780</v>
      </c>
      <c r="M958" t="s">
        <v>2555</v>
      </c>
      <c r="N958" t="s">
        <v>2578</v>
      </c>
      <c r="O958" t="s">
        <v>2603</v>
      </c>
      <c r="P958" t="s">
        <v>2552</v>
      </c>
      <c r="Q958" t="s">
        <v>2575</v>
      </c>
      <c r="R958" t="s">
        <v>2603</v>
      </c>
      <c r="S958" t="s">
        <v>2608</v>
      </c>
      <c r="T958">
        <v>3</v>
      </c>
      <c r="U958" s="2">
        <v>16791.75</v>
      </c>
      <c r="V958" s="3">
        <v>0</v>
      </c>
      <c r="W958" s="2">
        <v>50375.25</v>
      </c>
      <c r="X958" s="2">
        <v>4067.1</v>
      </c>
      <c r="Y958" s="3">
        <v>8.0736075751485101E-2</v>
      </c>
      <c r="Z958" t="s">
        <v>1494</v>
      </c>
      <c r="AA958" t="s">
        <v>1499</v>
      </c>
      <c r="AB958" t="s">
        <v>1501</v>
      </c>
      <c r="AC958">
        <v>1</v>
      </c>
      <c r="AD958">
        <v>2025</v>
      </c>
      <c r="AE958" t="s">
        <v>2819</v>
      </c>
      <c r="AF958" t="s">
        <v>2843</v>
      </c>
      <c r="AG958" t="s">
        <v>2847</v>
      </c>
      <c r="AH958" t="s">
        <v>2848</v>
      </c>
      <c r="AI958">
        <v>1</v>
      </c>
    </row>
    <row r="959" spans="1:35" x14ac:dyDescent="0.3">
      <c r="A959" t="s">
        <v>923</v>
      </c>
      <c r="B959">
        <v>2</v>
      </c>
      <c r="C959" s="1">
        <v>45996</v>
      </c>
      <c r="D959" s="1">
        <v>45997</v>
      </c>
      <c r="E959" t="s">
        <v>1041</v>
      </c>
      <c r="F959" t="s">
        <v>1793</v>
      </c>
      <c r="G959" t="s">
        <v>1399</v>
      </c>
      <c r="H959" t="s">
        <v>2691</v>
      </c>
      <c r="I959" t="s">
        <v>2740</v>
      </c>
      <c r="J959" t="s">
        <v>2761</v>
      </c>
      <c r="K959" t="s">
        <v>1488</v>
      </c>
      <c r="L959" t="s">
        <v>2780</v>
      </c>
      <c r="M959" t="s">
        <v>2555</v>
      </c>
      <c r="N959" t="s">
        <v>2578</v>
      </c>
      <c r="O959" t="s">
        <v>2603</v>
      </c>
      <c r="P959" t="s">
        <v>2552</v>
      </c>
      <c r="Q959" t="s">
        <v>2575</v>
      </c>
      <c r="R959" t="s">
        <v>2603</v>
      </c>
      <c r="S959" t="s">
        <v>2608</v>
      </c>
      <c r="T959">
        <v>2</v>
      </c>
      <c r="U959" s="2">
        <v>711.86</v>
      </c>
      <c r="V959" s="3">
        <v>0</v>
      </c>
      <c r="W959" s="2">
        <v>1423.72</v>
      </c>
      <c r="X959" s="2">
        <v>145.6</v>
      </c>
      <c r="Y959" s="3">
        <v>0.1022672997499508</v>
      </c>
      <c r="Z959" t="s">
        <v>1494</v>
      </c>
      <c r="AA959" t="s">
        <v>1499</v>
      </c>
      <c r="AB959" t="s">
        <v>1501</v>
      </c>
      <c r="AC959">
        <v>1</v>
      </c>
      <c r="AD959">
        <v>2025</v>
      </c>
      <c r="AE959" t="s">
        <v>2819</v>
      </c>
      <c r="AF959" t="s">
        <v>2843</v>
      </c>
      <c r="AG959" t="s">
        <v>2847</v>
      </c>
      <c r="AH959" t="s">
        <v>2848</v>
      </c>
      <c r="AI959">
        <v>0</v>
      </c>
    </row>
    <row r="960" spans="1:35" x14ac:dyDescent="0.3">
      <c r="A960" t="s">
        <v>924</v>
      </c>
      <c r="B960">
        <v>1</v>
      </c>
      <c r="C960" s="1">
        <v>45996</v>
      </c>
      <c r="D960" s="1">
        <v>45999</v>
      </c>
      <c r="E960" t="s">
        <v>1319</v>
      </c>
      <c r="F960" t="s">
        <v>1845</v>
      </c>
      <c r="G960" t="s">
        <v>1426</v>
      </c>
      <c r="H960" t="s">
        <v>2661</v>
      </c>
      <c r="I960" t="s">
        <v>2738</v>
      </c>
      <c r="J960" t="s">
        <v>2754</v>
      </c>
      <c r="K960" t="s">
        <v>1480</v>
      </c>
      <c r="L960" t="s">
        <v>2789</v>
      </c>
      <c r="M960" t="s">
        <v>2566</v>
      </c>
      <c r="N960" t="s">
        <v>2584</v>
      </c>
      <c r="O960" t="s">
        <v>2601</v>
      </c>
      <c r="R960" t="s">
        <v>2790</v>
      </c>
      <c r="S960" t="s">
        <v>2608</v>
      </c>
      <c r="T960">
        <v>2</v>
      </c>
      <c r="U960" s="2">
        <v>33135.4</v>
      </c>
      <c r="V960" s="3">
        <v>0</v>
      </c>
      <c r="W960" s="2">
        <v>66270.8</v>
      </c>
      <c r="X960" s="2">
        <v>17286.580000000002</v>
      </c>
      <c r="Y960" s="3">
        <v>0.26084761312674659</v>
      </c>
      <c r="Z960" t="s">
        <v>1493</v>
      </c>
      <c r="AA960" t="s">
        <v>1498</v>
      </c>
      <c r="AB960" t="s">
        <v>1501</v>
      </c>
      <c r="AC960">
        <v>3</v>
      </c>
      <c r="AD960">
        <v>2025</v>
      </c>
      <c r="AE960" t="s">
        <v>2819</v>
      </c>
      <c r="AF960" t="s">
        <v>2843</v>
      </c>
      <c r="AG960" t="s">
        <v>2847</v>
      </c>
      <c r="AH960" t="s">
        <v>2848</v>
      </c>
      <c r="AI960">
        <v>1</v>
      </c>
    </row>
    <row r="961" spans="1:35" x14ac:dyDescent="0.3">
      <c r="A961" t="s">
        <v>925</v>
      </c>
      <c r="B961">
        <v>2</v>
      </c>
      <c r="C961" s="1">
        <v>45996</v>
      </c>
      <c r="D961" s="1">
        <v>45996</v>
      </c>
      <c r="E961" t="s">
        <v>965</v>
      </c>
      <c r="F961" t="s">
        <v>1685</v>
      </c>
      <c r="G961" t="s">
        <v>1477</v>
      </c>
      <c r="H961" t="s">
        <v>2656</v>
      </c>
      <c r="I961" t="s">
        <v>2738</v>
      </c>
      <c r="J961" t="s">
        <v>2753</v>
      </c>
      <c r="K961" t="s">
        <v>1490</v>
      </c>
      <c r="L961" t="s">
        <v>2784</v>
      </c>
      <c r="M961" t="s">
        <v>2569</v>
      </c>
      <c r="N961" t="s">
        <v>2587</v>
      </c>
      <c r="O961" t="s">
        <v>2604</v>
      </c>
      <c r="P961" t="s">
        <v>2567</v>
      </c>
      <c r="Q961" t="s">
        <v>2585</v>
      </c>
      <c r="R961" t="s">
        <v>2604</v>
      </c>
      <c r="S961" t="s">
        <v>2608</v>
      </c>
      <c r="T961">
        <v>1</v>
      </c>
      <c r="U961" s="2">
        <v>43142.95</v>
      </c>
      <c r="V961" s="3">
        <v>0.05</v>
      </c>
      <c r="W961" s="2">
        <v>40985.800000000003</v>
      </c>
      <c r="X961" s="2">
        <v>5873.72</v>
      </c>
      <c r="Y961" s="3">
        <v>0.14331109799003561</v>
      </c>
      <c r="Z961" t="s">
        <v>1494</v>
      </c>
      <c r="AA961" t="s">
        <v>1499</v>
      </c>
      <c r="AB961" t="s">
        <v>1501</v>
      </c>
      <c r="AC961">
        <v>0</v>
      </c>
      <c r="AD961">
        <v>2025</v>
      </c>
      <c r="AE961" t="s">
        <v>2819</v>
      </c>
      <c r="AF961" t="s">
        <v>2843</v>
      </c>
      <c r="AG961" t="s">
        <v>2847</v>
      </c>
      <c r="AH961" t="s">
        <v>2848</v>
      </c>
      <c r="AI961">
        <v>1</v>
      </c>
    </row>
    <row r="962" spans="1:35" x14ac:dyDescent="0.3">
      <c r="A962" t="s">
        <v>926</v>
      </c>
      <c r="B962">
        <v>2</v>
      </c>
      <c r="C962" s="1">
        <v>45999</v>
      </c>
      <c r="D962" s="1">
        <v>46001</v>
      </c>
      <c r="E962" t="s">
        <v>1320</v>
      </c>
      <c r="F962" t="s">
        <v>1901</v>
      </c>
      <c r="G962" t="s">
        <v>1463</v>
      </c>
      <c r="H962" t="s">
        <v>2684</v>
      </c>
      <c r="I962" t="s">
        <v>2739</v>
      </c>
      <c r="J962" t="s">
        <v>2759</v>
      </c>
      <c r="K962" t="s">
        <v>1480</v>
      </c>
      <c r="L962" t="s">
        <v>2789</v>
      </c>
      <c r="M962" t="s">
        <v>2560</v>
      </c>
      <c r="N962" t="s">
        <v>2579</v>
      </c>
      <c r="O962" t="s">
        <v>2604</v>
      </c>
      <c r="R962" t="s">
        <v>2790</v>
      </c>
      <c r="S962" t="s">
        <v>2608</v>
      </c>
      <c r="T962">
        <v>1</v>
      </c>
      <c r="U962" s="2">
        <v>2936.96</v>
      </c>
      <c r="V962" s="3">
        <v>0</v>
      </c>
      <c r="W962" s="2">
        <v>2936.96</v>
      </c>
      <c r="X962" s="2">
        <v>960.44</v>
      </c>
      <c r="Y962" s="3">
        <v>0.3270184135977337</v>
      </c>
      <c r="Z962" t="s">
        <v>1495</v>
      </c>
      <c r="AA962" t="s">
        <v>1498</v>
      </c>
      <c r="AB962" t="s">
        <v>1501</v>
      </c>
      <c r="AC962">
        <v>2</v>
      </c>
      <c r="AD962">
        <v>2025</v>
      </c>
      <c r="AE962" t="s">
        <v>2819</v>
      </c>
      <c r="AF962" t="s">
        <v>2843</v>
      </c>
      <c r="AG962" t="s">
        <v>2847</v>
      </c>
      <c r="AH962" t="s">
        <v>2848</v>
      </c>
      <c r="AI962">
        <v>1</v>
      </c>
    </row>
    <row r="963" spans="1:35" x14ac:dyDescent="0.3">
      <c r="A963" t="s">
        <v>927</v>
      </c>
      <c r="B963">
        <v>2</v>
      </c>
      <c r="C963" s="1">
        <v>45999</v>
      </c>
      <c r="D963" s="1">
        <v>46000</v>
      </c>
      <c r="E963" t="s">
        <v>1152</v>
      </c>
      <c r="F963" t="s">
        <v>1864</v>
      </c>
      <c r="G963" t="s">
        <v>1424</v>
      </c>
      <c r="H963" t="s">
        <v>2624</v>
      </c>
      <c r="I963" t="s">
        <v>2737</v>
      </c>
      <c r="J963" t="s">
        <v>2745</v>
      </c>
      <c r="K963" t="s">
        <v>1490</v>
      </c>
      <c r="L963" t="s">
        <v>2784</v>
      </c>
      <c r="M963" t="s">
        <v>2565</v>
      </c>
      <c r="N963" t="s">
        <v>2589</v>
      </c>
      <c r="O963" t="s">
        <v>2604</v>
      </c>
      <c r="P963" t="s">
        <v>2567</v>
      </c>
      <c r="Q963" t="s">
        <v>2585</v>
      </c>
      <c r="R963" t="s">
        <v>2604</v>
      </c>
      <c r="S963" t="s">
        <v>2608</v>
      </c>
      <c r="T963">
        <v>1</v>
      </c>
      <c r="U963" s="2">
        <v>31609.79</v>
      </c>
      <c r="V963" s="3">
        <v>0</v>
      </c>
      <c r="W963" s="2">
        <v>31609.79</v>
      </c>
      <c r="X963" s="2">
        <v>3440.18</v>
      </c>
      <c r="Y963" s="3">
        <v>0.1088327382118008</v>
      </c>
      <c r="Z963" t="s">
        <v>1497</v>
      </c>
      <c r="AA963" t="s">
        <v>1498</v>
      </c>
      <c r="AB963" t="s">
        <v>1502</v>
      </c>
      <c r="AC963">
        <v>1</v>
      </c>
      <c r="AD963">
        <v>2025</v>
      </c>
      <c r="AE963" t="s">
        <v>2819</v>
      </c>
      <c r="AF963" t="s">
        <v>2843</v>
      </c>
      <c r="AG963" t="s">
        <v>2847</v>
      </c>
      <c r="AH963" t="s">
        <v>2848</v>
      </c>
      <c r="AI963">
        <v>1</v>
      </c>
    </row>
    <row r="964" spans="1:35" x14ac:dyDescent="0.3">
      <c r="A964" t="s">
        <v>928</v>
      </c>
      <c r="B964">
        <v>1</v>
      </c>
      <c r="C964" s="1">
        <v>46000</v>
      </c>
      <c r="D964" s="1">
        <v>46003</v>
      </c>
      <c r="E964" t="s">
        <v>1029</v>
      </c>
      <c r="F964" t="s">
        <v>1725</v>
      </c>
      <c r="G964" t="s">
        <v>1403</v>
      </c>
      <c r="H964" t="s">
        <v>2729</v>
      </c>
      <c r="I964" t="s">
        <v>2742</v>
      </c>
      <c r="J964" t="s">
        <v>2771</v>
      </c>
      <c r="K964" t="s">
        <v>1480</v>
      </c>
      <c r="L964" t="s">
        <v>2789</v>
      </c>
      <c r="M964" t="s">
        <v>2560</v>
      </c>
      <c r="N964" t="s">
        <v>2579</v>
      </c>
      <c r="O964" t="s">
        <v>2604</v>
      </c>
      <c r="R964" t="s">
        <v>2790</v>
      </c>
      <c r="S964" t="s">
        <v>2607</v>
      </c>
      <c r="T964">
        <v>1</v>
      </c>
      <c r="U964" s="2">
        <v>24758.98</v>
      </c>
      <c r="V964" s="3">
        <v>0</v>
      </c>
      <c r="W964" s="2">
        <v>24758.98</v>
      </c>
      <c r="X964" s="2">
        <v>4169.6000000000004</v>
      </c>
      <c r="Y964" s="3">
        <v>0.16840758383422899</v>
      </c>
      <c r="Z964" t="s">
        <v>1496</v>
      </c>
      <c r="AA964" t="s">
        <v>1499</v>
      </c>
      <c r="AB964" t="s">
        <v>1501</v>
      </c>
      <c r="AC964">
        <v>3</v>
      </c>
      <c r="AD964">
        <v>2025</v>
      </c>
      <c r="AE964" t="s">
        <v>2819</v>
      </c>
      <c r="AF964" t="s">
        <v>2843</v>
      </c>
      <c r="AG964" t="s">
        <v>2847</v>
      </c>
      <c r="AH964" t="s">
        <v>2848</v>
      </c>
      <c r="AI964">
        <v>1</v>
      </c>
    </row>
    <row r="965" spans="1:35" x14ac:dyDescent="0.3">
      <c r="A965" t="s">
        <v>929</v>
      </c>
      <c r="B965">
        <v>1</v>
      </c>
      <c r="C965" s="1">
        <v>46002</v>
      </c>
      <c r="D965" s="1">
        <v>46002</v>
      </c>
      <c r="E965" t="s">
        <v>1134</v>
      </c>
      <c r="F965" t="s">
        <v>1918</v>
      </c>
      <c r="G965" t="s">
        <v>1421</v>
      </c>
      <c r="H965" t="s">
        <v>2690</v>
      </c>
      <c r="I965" t="s">
        <v>2740</v>
      </c>
      <c r="J965" t="s">
        <v>2761</v>
      </c>
      <c r="K965" t="s">
        <v>1491</v>
      </c>
      <c r="L965" t="s">
        <v>2779</v>
      </c>
      <c r="M965" t="s">
        <v>2558</v>
      </c>
      <c r="N965" t="s">
        <v>2558</v>
      </c>
      <c r="O965" t="s">
        <v>2603</v>
      </c>
      <c r="P965" t="s">
        <v>2555</v>
      </c>
      <c r="Q965" t="s">
        <v>2578</v>
      </c>
      <c r="R965" t="s">
        <v>2603</v>
      </c>
      <c r="S965" t="s">
        <v>2608</v>
      </c>
      <c r="T965">
        <v>2</v>
      </c>
      <c r="U965" s="2">
        <v>227.54</v>
      </c>
      <c r="V965" s="3">
        <v>0</v>
      </c>
      <c r="W965" s="2">
        <v>455.08</v>
      </c>
      <c r="X965" s="2">
        <v>66.400000000000006</v>
      </c>
      <c r="Y965" s="3">
        <v>0.14590841170783159</v>
      </c>
      <c r="Z965" t="s">
        <v>1495</v>
      </c>
      <c r="AA965" t="s">
        <v>1500</v>
      </c>
      <c r="AB965" t="s">
        <v>1501</v>
      </c>
      <c r="AC965">
        <v>0</v>
      </c>
      <c r="AD965">
        <v>2025</v>
      </c>
      <c r="AE965" t="s">
        <v>2819</v>
      </c>
      <c r="AF965" t="s">
        <v>2843</v>
      </c>
      <c r="AG965" t="s">
        <v>2847</v>
      </c>
      <c r="AH965" t="s">
        <v>2848</v>
      </c>
      <c r="AI965">
        <v>1</v>
      </c>
    </row>
    <row r="966" spans="1:35" x14ac:dyDescent="0.3">
      <c r="A966" t="s">
        <v>930</v>
      </c>
      <c r="B966">
        <v>2</v>
      </c>
      <c r="C966" s="1">
        <v>46002</v>
      </c>
      <c r="D966" s="1">
        <v>46005</v>
      </c>
      <c r="E966" t="s">
        <v>1321</v>
      </c>
      <c r="F966" t="s">
        <v>1803</v>
      </c>
      <c r="G966" t="s">
        <v>1465</v>
      </c>
      <c r="H966" t="s">
        <v>2665</v>
      </c>
      <c r="I966" t="s">
        <v>2739</v>
      </c>
      <c r="J966" t="s">
        <v>2755</v>
      </c>
      <c r="K966" t="s">
        <v>1480</v>
      </c>
      <c r="L966" t="s">
        <v>2789</v>
      </c>
      <c r="M966" t="s">
        <v>2561</v>
      </c>
      <c r="N966" t="s">
        <v>2580</v>
      </c>
      <c r="O966" t="s">
        <v>2601</v>
      </c>
      <c r="R966" t="s">
        <v>2790</v>
      </c>
      <c r="S966" t="s">
        <v>2606</v>
      </c>
      <c r="T966">
        <v>2</v>
      </c>
      <c r="U966" s="2">
        <v>2687.95</v>
      </c>
      <c r="V966" s="3">
        <v>0.05</v>
      </c>
      <c r="W966" s="2">
        <v>5107.1000000000004</v>
      </c>
      <c r="X966" s="2">
        <v>2114.04</v>
      </c>
      <c r="Y966" s="3">
        <v>0.41394137573182432</v>
      </c>
      <c r="Z966" t="s">
        <v>1496</v>
      </c>
      <c r="AA966" t="s">
        <v>1499</v>
      </c>
      <c r="AB966" t="s">
        <v>1501</v>
      </c>
      <c r="AC966">
        <v>3</v>
      </c>
      <c r="AD966">
        <v>2025</v>
      </c>
      <c r="AE966" t="s">
        <v>2819</v>
      </c>
      <c r="AF966" t="s">
        <v>2843</v>
      </c>
      <c r="AG966" t="s">
        <v>2847</v>
      </c>
      <c r="AH966" t="s">
        <v>2848</v>
      </c>
      <c r="AI966">
        <v>1</v>
      </c>
    </row>
    <row r="967" spans="1:35" x14ac:dyDescent="0.3">
      <c r="A967" t="s">
        <v>931</v>
      </c>
      <c r="B967">
        <v>1</v>
      </c>
      <c r="C967" s="1">
        <v>46002</v>
      </c>
      <c r="D967" s="1">
        <v>46003</v>
      </c>
      <c r="E967" t="s">
        <v>1211</v>
      </c>
      <c r="F967" t="s">
        <v>1815</v>
      </c>
      <c r="G967" t="s">
        <v>1399</v>
      </c>
      <c r="H967" t="s">
        <v>2691</v>
      </c>
      <c r="I967" t="s">
        <v>2740</v>
      </c>
      <c r="J967" t="s">
        <v>2761</v>
      </c>
      <c r="K967" t="s">
        <v>1487</v>
      </c>
      <c r="L967" t="s">
        <v>2785</v>
      </c>
      <c r="M967" t="s">
        <v>2550</v>
      </c>
      <c r="N967" t="s">
        <v>2573</v>
      </c>
      <c r="O967" t="s">
        <v>2601</v>
      </c>
      <c r="P967" t="s">
        <v>2550</v>
      </c>
      <c r="Q967" t="s">
        <v>2573</v>
      </c>
      <c r="R967" t="s">
        <v>2601</v>
      </c>
      <c r="S967" t="s">
        <v>2606</v>
      </c>
      <c r="T967">
        <v>2</v>
      </c>
      <c r="U967" s="2">
        <v>711.86</v>
      </c>
      <c r="V967" s="3">
        <v>0</v>
      </c>
      <c r="W967" s="2">
        <v>1423.72</v>
      </c>
      <c r="X967" s="2">
        <v>145.6</v>
      </c>
      <c r="Y967" s="3">
        <v>0.1022672997499508</v>
      </c>
      <c r="Z967" t="s">
        <v>1494</v>
      </c>
      <c r="AA967" t="s">
        <v>1498</v>
      </c>
      <c r="AB967" t="s">
        <v>1501</v>
      </c>
      <c r="AC967">
        <v>1</v>
      </c>
      <c r="AD967">
        <v>2025</v>
      </c>
      <c r="AE967" t="s">
        <v>2819</v>
      </c>
      <c r="AF967" t="s">
        <v>2843</v>
      </c>
      <c r="AG967" t="s">
        <v>2847</v>
      </c>
      <c r="AH967" t="s">
        <v>2848</v>
      </c>
      <c r="AI967">
        <v>1</v>
      </c>
    </row>
    <row r="968" spans="1:35" x14ac:dyDescent="0.3">
      <c r="A968" t="s">
        <v>932</v>
      </c>
      <c r="B968">
        <v>2</v>
      </c>
      <c r="C968" s="1">
        <v>46003</v>
      </c>
      <c r="D968" s="1">
        <v>46004</v>
      </c>
      <c r="E968" t="s">
        <v>1086</v>
      </c>
      <c r="F968" t="s">
        <v>1840</v>
      </c>
      <c r="G968" t="s">
        <v>1436</v>
      </c>
      <c r="H968" t="s">
        <v>2677</v>
      </c>
      <c r="I968" t="s">
        <v>2739</v>
      </c>
      <c r="J968" t="s">
        <v>2758</v>
      </c>
      <c r="K968" t="s">
        <v>1487</v>
      </c>
      <c r="L968" t="s">
        <v>2785</v>
      </c>
      <c r="M968" t="s">
        <v>2566</v>
      </c>
      <c r="N968" t="s">
        <v>2584</v>
      </c>
      <c r="O968" t="s">
        <v>2601</v>
      </c>
      <c r="P968" t="s">
        <v>2550</v>
      </c>
      <c r="Q968" t="s">
        <v>2573</v>
      </c>
      <c r="R968" t="s">
        <v>2601</v>
      </c>
      <c r="S968" t="s">
        <v>2607</v>
      </c>
      <c r="T968">
        <v>1</v>
      </c>
      <c r="U968" s="2">
        <v>546.80999999999995</v>
      </c>
      <c r="V968" s="3">
        <v>0.15</v>
      </c>
      <c r="W968" s="2">
        <v>464.79</v>
      </c>
      <c r="X968" s="2">
        <v>74.53</v>
      </c>
      <c r="Y968" s="3">
        <v>0.16035198691882349</v>
      </c>
      <c r="Z968" t="s">
        <v>1497</v>
      </c>
      <c r="AA968" t="s">
        <v>1498</v>
      </c>
      <c r="AB968" t="s">
        <v>1501</v>
      </c>
      <c r="AC968">
        <v>1</v>
      </c>
      <c r="AD968">
        <v>2025</v>
      </c>
      <c r="AE968" t="s">
        <v>2819</v>
      </c>
      <c r="AF968" t="s">
        <v>2843</v>
      </c>
      <c r="AG968" t="s">
        <v>2847</v>
      </c>
      <c r="AH968" t="s">
        <v>2848</v>
      </c>
      <c r="AI968">
        <v>1</v>
      </c>
    </row>
    <row r="969" spans="1:35" x14ac:dyDescent="0.3">
      <c r="A969" t="s">
        <v>933</v>
      </c>
      <c r="B969">
        <v>1</v>
      </c>
      <c r="C969" s="1">
        <v>46003</v>
      </c>
      <c r="E969" t="s">
        <v>1322</v>
      </c>
      <c r="F969" t="s">
        <v>1907</v>
      </c>
      <c r="G969" t="s">
        <v>1354</v>
      </c>
      <c r="H969" t="s">
        <v>2652</v>
      </c>
      <c r="I969" t="s">
        <v>2738</v>
      </c>
      <c r="J969" t="s">
        <v>2752</v>
      </c>
      <c r="K969" t="s">
        <v>1480</v>
      </c>
      <c r="L969" t="s">
        <v>2789</v>
      </c>
      <c r="M969" t="s">
        <v>2570</v>
      </c>
      <c r="N969" t="s">
        <v>2590</v>
      </c>
      <c r="O969" t="s">
        <v>2605</v>
      </c>
      <c r="R969" t="s">
        <v>2790</v>
      </c>
      <c r="S969" t="s">
        <v>2608</v>
      </c>
      <c r="T969">
        <v>1</v>
      </c>
      <c r="U969" s="2">
        <v>45654.38</v>
      </c>
      <c r="V969" s="3">
        <v>0.2</v>
      </c>
      <c r="W969" s="2">
        <v>36523.5</v>
      </c>
      <c r="X969" s="2">
        <v>3823.62</v>
      </c>
      <c r="Y969" s="3">
        <v>0.10468930962257179</v>
      </c>
      <c r="Z969" t="s">
        <v>1495</v>
      </c>
      <c r="AA969" t="s">
        <v>1498</v>
      </c>
      <c r="AB969" t="s">
        <v>1503</v>
      </c>
      <c r="AD969">
        <v>2025</v>
      </c>
      <c r="AE969" t="s">
        <v>2819</v>
      </c>
      <c r="AF969" t="s">
        <v>2843</v>
      </c>
      <c r="AG969" t="s">
        <v>2847</v>
      </c>
      <c r="AH969" t="s">
        <v>2848</v>
      </c>
      <c r="AI969">
        <v>1</v>
      </c>
    </row>
    <row r="970" spans="1:35" x14ac:dyDescent="0.3">
      <c r="A970" t="s">
        <v>934</v>
      </c>
      <c r="B970">
        <v>1</v>
      </c>
      <c r="C970" s="1">
        <v>46003</v>
      </c>
      <c r="D970" s="1">
        <v>46006</v>
      </c>
      <c r="E970" t="s">
        <v>1314</v>
      </c>
      <c r="F970" t="s">
        <v>1866</v>
      </c>
      <c r="G970" t="s">
        <v>1427</v>
      </c>
      <c r="H970" t="s">
        <v>2712</v>
      </c>
      <c r="I970" t="s">
        <v>2741</v>
      </c>
      <c r="J970" t="s">
        <v>2766</v>
      </c>
      <c r="K970" t="s">
        <v>1480</v>
      </c>
      <c r="L970" t="s">
        <v>2789</v>
      </c>
      <c r="M970" t="s">
        <v>2570</v>
      </c>
      <c r="N970" t="s">
        <v>2590</v>
      </c>
      <c r="O970" t="s">
        <v>2605</v>
      </c>
      <c r="R970" t="s">
        <v>2790</v>
      </c>
      <c r="S970" t="s">
        <v>2608</v>
      </c>
      <c r="T970">
        <v>3</v>
      </c>
      <c r="U970" s="2">
        <v>687.56</v>
      </c>
      <c r="V970" s="3">
        <v>0</v>
      </c>
      <c r="W970" s="2">
        <v>2062.6799999999998</v>
      </c>
      <c r="X970" s="2">
        <v>705.39</v>
      </c>
      <c r="Y970" s="3">
        <v>0.3419774274245157</v>
      </c>
      <c r="Z970" t="s">
        <v>1495</v>
      </c>
      <c r="AA970" t="s">
        <v>1499</v>
      </c>
      <c r="AB970" t="s">
        <v>1501</v>
      </c>
      <c r="AC970">
        <v>3</v>
      </c>
      <c r="AD970">
        <v>2025</v>
      </c>
      <c r="AE970" t="s">
        <v>2819</v>
      </c>
      <c r="AF970" t="s">
        <v>2843</v>
      </c>
      <c r="AG970" t="s">
        <v>2847</v>
      </c>
      <c r="AH970" t="s">
        <v>2848</v>
      </c>
      <c r="AI970">
        <v>1</v>
      </c>
    </row>
    <row r="971" spans="1:35" x14ac:dyDescent="0.3">
      <c r="A971" t="s">
        <v>935</v>
      </c>
      <c r="B971">
        <v>1</v>
      </c>
      <c r="C971" s="1">
        <v>46003</v>
      </c>
      <c r="D971" s="1">
        <v>46003</v>
      </c>
      <c r="E971" t="s">
        <v>1101</v>
      </c>
      <c r="F971" t="s">
        <v>1736</v>
      </c>
      <c r="G971" t="s">
        <v>1376</v>
      </c>
      <c r="H971" t="s">
        <v>2681</v>
      </c>
      <c r="I971" t="s">
        <v>2739</v>
      </c>
      <c r="J971" t="s">
        <v>2759</v>
      </c>
      <c r="K971" t="s">
        <v>1484</v>
      </c>
      <c r="L971" t="s">
        <v>2778</v>
      </c>
      <c r="M971" t="s">
        <v>2555</v>
      </c>
      <c r="N971" t="s">
        <v>2578</v>
      </c>
      <c r="O971" t="s">
        <v>2603</v>
      </c>
      <c r="P971" t="s">
        <v>2559</v>
      </c>
      <c r="Q971" t="s">
        <v>2559</v>
      </c>
      <c r="R971" t="s">
        <v>2603</v>
      </c>
      <c r="S971" t="s">
        <v>2608</v>
      </c>
      <c r="T971">
        <v>1</v>
      </c>
      <c r="U971" s="2">
        <v>5444.12</v>
      </c>
      <c r="V971" s="3">
        <v>0</v>
      </c>
      <c r="W971" s="2">
        <v>5444.12</v>
      </c>
      <c r="X971" s="2">
        <v>2427.61</v>
      </c>
      <c r="Y971" s="3">
        <v>0.44591412386207507</v>
      </c>
      <c r="Z971" t="s">
        <v>1496</v>
      </c>
      <c r="AA971" t="s">
        <v>1499</v>
      </c>
      <c r="AB971" t="s">
        <v>1501</v>
      </c>
      <c r="AC971">
        <v>0</v>
      </c>
      <c r="AD971">
        <v>2025</v>
      </c>
      <c r="AE971" t="s">
        <v>2819</v>
      </c>
      <c r="AF971" t="s">
        <v>2843</v>
      </c>
      <c r="AG971" t="s">
        <v>2847</v>
      </c>
      <c r="AH971" t="s">
        <v>2848</v>
      </c>
      <c r="AI971">
        <v>1</v>
      </c>
    </row>
    <row r="972" spans="1:35" x14ac:dyDescent="0.3">
      <c r="A972" t="s">
        <v>936</v>
      </c>
      <c r="B972">
        <v>1</v>
      </c>
      <c r="C972" s="1">
        <v>46003</v>
      </c>
      <c r="D972" s="1">
        <v>46006</v>
      </c>
      <c r="E972" t="s">
        <v>1016</v>
      </c>
      <c r="F972" t="s">
        <v>1669</v>
      </c>
      <c r="G972" t="s">
        <v>1333</v>
      </c>
      <c r="H972" t="s">
        <v>2620</v>
      </c>
      <c r="I972" t="s">
        <v>2737</v>
      </c>
      <c r="J972" t="s">
        <v>2744</v>
      </c>
      <c r="K972" t="s">
        <v>1480</v>
      </c>
      <c r="L972" t="s">
        <v>2789</v>
      </c>
      <c r="M972" t="s">
        <v>2559</v>
      </c>
      <c r="N972" t="s">
        <v>2559</v>
      </c>
      <c r="O972" t="s">
        <v>2603</v>
      </c>
      <c r="R972" t="s">
        <v>2790</v>
      </c>
      <c r="S972" t="s">
        <v>2606</v>
      </c>
      <c r="T972">
        <v>1</v>
      </c>
      <c r="U972" s="2">
        <v>16375.46</v>
      </c>
      <c r="V972" s="3">
        <v>0</v>
      </c>
      <c r="W972" s="2">
        <v>16375.46</v>
      </c>
      <c r="X972" s="2">
        <v>2074.31</v>
      </c>
      <c r="Y972" s="3">
        <v>0.12667186143167891</v>
      </c>
      <c r="Z972" t="s">
        <v>1493</v>
      </c>
      <c r="AA972" t="s">
        <v>1498</v>
      </c>
      <c r="AB972" t="s">
        <v>1501</v>
      </c>
      <c r="AC972">
        <v>3</v>
      </c>
      <c r="AD972">
        <v>2025</v>
      </c>
      <c r="AE972" t="s">
        <v>2819</v>
      </c>
      <c r="AF972" t="s">
        <v>2843</v>
      </c>
      <c r="AG972" t="s">
        <v>2847</v>
      </c>
      <c r="AH972" t="s">
        <v>2848</v>
      </c>
      <c r="AI972">
        <v>1</v>
      </c>
    </row>
    <row r="973" spans="1:35" x14ac:dyDescent="0.3">
      <c r="A973" t="s">
        <v>937</v>
      </c>
      <c r="B973">
        <v>1</v>
      </c>
      <c r="C973" s="1">
        <v>46004</v>
      </c>
      <c r="D973" s="1">
        <v>46005</v>
      </c>
      <c r="E973" t="s">
        <v>1114</v>
      </c>
      <c r="F973" t="s">
        <v>1687</v>
      </c>
      <c r="G973" t="s">
        <v>1377</v>
      </c>
      <c r="H973" t="s">
        <v>2652</v>
      </c>
      <c r="I973" t="s">
        <v>2738</v>
      </c>
      <c r="J973" t="s">
        <v>2752</v>
      </c>
      <c r="K973" t="s">
        <v>1491</v>
      </c>
      <c r="L973" t="s">
        <v>2779</v>
      </c>
      <c r="M973" t="s">
        <v>2568</v>
      </c>
      <c r="N973" t="s">
        <v>2586</v>
      </c>
      <c r="O973" t="s">
        <v>2603</v>
      </c>
      <c r="P973" t="s">
        <v>2555</v>
      </c>
      <c r="Q973" t="s">
        <v>2578</v>
      </c>
      <c r="R973" t="s">
        <v>2603</v>
      </c>
      <c r="S973" t="s">
        <v>2607</v>
      </c>
      <c r="T973">
        <v>1</v>
      </c>
      <c r="U973" s="2">
        <v>43870.05</v>
      </c>
      <c r="V973" s="3">
        <v>0</v>
      </c>
      <c r="W973" s="2">
        <v>43870.05</v>
      </c>
      <c r="X973" s="2">
        <v>8494.89</v>
      </c>
      <c r="Y973" s="3">
        <v>0.1936375727859895</v>
      </c>
      <c r="Z973" t="s">
        <v>1494</v>
      </c>
      <c r="AA973" t="s">
        <v>1498</v>
      </c>
      <c r="AB973" t="s">
        <v>1501</v>
      </c>
      <c r="AC973">
        <v>1</v>
      </c>
      <c r="AD973">
        <v>2025</v>
      </c>
      <c r="AE973" t="s">
        <v>2819</v>
      </c>
      <c r="AF973" t="s">
        <v>2843</v>
      </c>
      <c r="AG973" t="s">
        <v>2847</v>
      </c>
      <c r="AH973" t="s">
        <v>2848</v>
      </c>
      <c r="AI973">
        <v>1</v>
      </c>
    </row>
    <row r="974" spans="1:35" x14ac:dyDescent="0.3">
      <c r="A974" t="s">
        <v>938</v>
      </c>
      <c r="B974">
        <v>2</v>
      </c>
      <c r="C974" s="1">
        <v>46004</v>
      </c>
      <c r="D974" s="1">
        <v>46005</v>
      </c>
      <c r="E974" t="s">
        <v>1151</v>
      </c>
      <c r="F974" t="s">
        <v>1919</v>
      </c>
      <c r="G974" t="s">
        <v>1405</v>
      </c>
      <c r="H974" t="s">
        <v>2639</v>
      </c>
      <c r="I974" t="s">
        <v>2737</v>
      </c>
      <c r="J974" t="s">
        <v>2748</v>
      </c>
      <c r="K974" t="s">
        <v>1480</v>
      </c>
      <c r="L974" t="s">
        <v>2789</v>
      </c>
      <c r="M974" t="s">
        <v>2572</v>
      </c>
      <c r="N974" t="s">
        <v>2582</v>
      </c>
      <c r="O974" t="s">
        <v>2601</v>
      </c>
      <c r="R974" t="s">
        <v>2790</v>
      </c>
      <c r="S974" t="s">
        <v>2608</v>
      </c>
      <c r="T974">
        <v>3</v>
      </c>
      <c r="U974" s="2">
        <v>57633.32</v>
      </c>
      <c r="V974" s="3">
        <v>0</v>
      </c>
      <c r="W974" s="2">
        <v>172899.96</v>
      </c>
      <c r="X974" s="2">
        <v>21601.47</v>
      </c>
      <c r="Y974" s="3">
        <v>0.1249362348030618</v>
      </c>
      <c r="Z974" t="s">
        <v>1496</v>
      </c>
      <c r="AA974" t="s">
        <v>1499</v>
      </c>
      <c r="AB974" t="s">
        <v>1501</v>
      </c>
      <c r="AC974">
        <v>1</v>
      </c>
      <c r="AD974">
        <v>2025</v>
      </c>
      <c r="AE974" t="s">
        <v>2819</v>
      </c>
      <c r="AF974" t="s">
        <v>2843</v>
      </c>
      <c r="AG974" t="s">
        <v>2847</v>
      </c>
      <c r="AH974" t="s">
        <v>2848</v>
      </c>
      <c r="AI974">
        <v>1</v>
      </c>
    </row>
    <row r="975" spans="1:35" x14ac:dyDescent="0.3">
      <c r="A975" t="s">
        <v>939</v>
      </c>
      <c r="B975">
        <v>1</v>
      </c>
      <c r="C975" s="1">
        <v>46004</v>
      </c>
      <c r="D975" s="1">
        <v>46005</v>
      </c>
      <c r="E975" t="s">
        <v>1323</v>
      </c>
      <c r="F975" t="s">
        <v>1686</v>
      </c>
      <c r="G975" t="s">
        <v>1376</v>
      </c>
      <c r="H975" t="s">
        <v>2681</v>
      </c>
      <c r="I975" t="s">
        <v>2739</v>
      </c>
      <c r="J975" t="s">
        <v>2759</v>
      </c>
      <c r="K975" t="s">
        <v>1482</v>
      </c>
      <c r="L975" t="s">
        <v>2783</v>
      </c>
      <c r="M975" t="s">
        <v>2565</v>
      </c>
      <c r="N975" t="s">
        <v>2583</v>
      </c>
      <c r="O975" t="s">
        <v>2604</v>
      </c>
      <c r="P975" t="s">
        <v>2560</v>
      </c>
      <c r="Q975" t="s">
        <v>2579</v>
      </c>
      <c r="R975" t="s">
        <v>2604</v>
      </c>
      <c r="S975" t="s">
        <v>2608</v>
      </c>
      <c r="T975">
        <v>1</v>
      </c>
      <c r="U975" s="2">
        <v>5444.12</v>
      </c>
      <c r="V975" s="3">
        <v>0</v>
      </c>
      <c r="W975" s="2">
        <v>5444.12</v>
      </c>
      <c r="X975" s="2">
        <v>2427.61</v>
      </c>
      <c r="Y975" s="3">
        <v>0.44591412386207507</v>
      </c>
      <c r="Z975" t="s">
        <v>1496</v>
      </c>
      <c r="AA975" t="s">
        <v>1499</v>
      </c>
      <c r="AB975" t="s">
        <v>1501</v>
      </c>
      <c r="AC975">
        <v>1</v>
      </c>
      <c r="AD975">
        <v>2025</v>
      </c>
      <c r="AE975" t="s">
        <v>2819</v>
      </c>
      <c r="AF975" t="s">
        <v>2843</v>
      </c>
      <c r="AG975" t="s">
        <v>2847</v>
      </c>
      <c r="AH975" t="s">
        <v>2848</v>
      </c>
      <c r="AI975">
        <v>1</v>
      </c>
    </row>
    <row r="976" spans="1:35" x14ac:dyDescent="0.3">
      <c r="A976" t="s">
        <v>940</v>
      </c>
      <c r="B976">
        <v>1</v>
      </c>
      <c r="C976" s="1">
        <v>46006</v>
      </c>
      <c r="D976" s="1">
        <v>46009</v>
      </c>
      <c r="E976" t="s">
        <v>1150</v>
      </c>
      <c r="F976" t="s">
        <v>1897</v>
      </c>
      <c r="G976" t="s">
        <v>1451</v>
      </c>
      <c r="H976" t="s">
        <v>2644</v>
      </c>
      <c r="I976" t="s">
        <v>2738</v>
      </c>
      <c r="J976" t="s">
        <v>2750</v>
      </c>
      <c r="K976" t="s">
        <v>1480</v>
      </c>
      <c r="L976" t="s">
        <v>2789</v>
      </c>
      <c r="M976" t="s">
        <v>2550</v>
      </c>
      <c r="N976" t="s">
        <v>2573</v>
      </c>
      <c r="O976" t="s">
        <v>2601</v>
      </c>
      <c r="R976" t="s">
        <v>2790</v>
      </c>
      <c r="S976" t="s">
        <v>2607</v>
      </c>
      <c r="T976">
        <v>2</v>
      </c>
      <c r="U976" s="2">
        <v>43188.76</v>
      </c>
      <c r="V976" s="3">
        <v>0</v>
      </c>
      <c r="W976" s="2">
        <v>86377.52</v>
      </c>
      <c r="X976" s="2">
        <v>20364.3</v>
      </c>
      <c r="Y976" s="3">
        <v>0.23575925773279899</v>
      </c>
      <c r="Z976" t="s">
        <v>1496</v>
      </c>
      <c r="AA976" t="s">
        <v>1498</v>
      </c>
      <c r="AB976" t="s">
        <v>1501</v>
      </c>
      <c r="AC976">
        <v>3</v>
      </c>
      <c r="AD976">
        <v>2025</v>
      </c>
      <c r="AE976" t="s">
        <v>2819</v>
      </c>
      <c r="AF976" t="s">
        <v>2843</v>
      </c>
      <c r="AG976" t="s">
        <v>2847</v>
      </c>
      <c r="AH976" t="s">
        <v>2848</v>
      </c>
      <c r="AI976">
        <v>1</v>
      </c>
    </row>
    <row r="977" spans="1:35" x14ac:dyDescent="0.3">
      <c r="A977" t="s">
        <v>941</v>
      </c>
      <c r="B977">
        <v>1</v>
      </c>
      <c r="C977" s="1">
        <v>46009</v>
      </c>
      <c r="D977" s="1">
        <v>46010</v>
      </c>
      <c r="E977" t="s">
        <v>1217</v>
      </c>
      <c r="F977" t="s">
        <v>1727</v>
      </c>
      <c r="G977" t="s">
        <v>1344</v>
      </c>
      <c r="H977" t="s">
        <v>2717</v>
      </c>
      <c r="I977" t="s">
        <v>2741</v>
      </c>
      <c r="J977" t="s">
        <v>2768</v>
      </c>
      <c r="K977" t="s">
        <v>1480</v>
      </c>
      <c r="L977" t="s">
        <v>2789</v>
      </c>
      <c r="M977" t="s">
        <v>2563</v>
      </c>
      <c r="N977" t="s">
        <v>2581</v>
      </c>
      <c r="O977" t="s">
        <v>2604</v>
      </c>
      <c r="R977" t="s">
        <v>2790</v>
      </c>
      <c r="S977" t="s">
        <v>2606</v>
      </c>
      <c r="T977">
        <v>3</v>
      </c>
      <c r="U977" s="2">
        <v>555.59</v>
      </c>
      <c r="V977" s="3">
        <v>0.1</v>
      </c>
      <c r="W977" s="2">
        <v>1500.09</v>
      </c>
      <c r="X977" s="2">
        <v>362.79</v>
      </c>
      <c r="Y977" s="3">
        <v>0.24184548927064381</v>
      </c>
      <c r="Z977" t="s">
        <v>1494</v>
      </c>
      <c r="AA977" t="s">
        <v>1498</v>
      </c>
      <c r="AB977" t="s">
        <v>1501</v>
      </c>
      <c r="AC977">
        <v>1</v>
      </c>
      <c r="AD977">
        <v>2025</v>
      </c>
      <c r="AE977" t="s">
        <v>2819</v>
      </c>
      <c r="AF977" t="s">
        <v>2843</v>
      </c>
      <c r="AG977" t="s">
        <v>2847</v>
      </c>
      <c r="AH977" t="s">
        <v>2848</v>
      </c>
      <c r="AI977">
        <v>1</v>
      </c>
    </row>
    <row r="978" spans="1:35" x14ac:dyDescent="0.3">
      <c r="A978" t="s">
        <v>942</v>
      </c>
      <c r="B978">
        <v>1</v>
      </c>
      <c r="C978" s="1">
        <v>46009</v>
      </c>
      <c r="D978" s="1">
        <v>46009</v>
      </c>
      <c r="E978" t="s">
        <v>1324</v>
      </c>
      <c r="F978" t="s">
        <v>2029</v>
      </c>
      <c r="G978" t="s">
        <v>1345</v>
      </c>
      <c r="H978" t="s">
        <v>2635</v>
      </c>
      <c r="I978" t="s">
        <v>2737</v>
      </c>
      <c r="J978" t="s">
        <v>2747</v>
      </c>
      <c r="K978" t="s">
        <v>1489</v>
      </c>
      <c r="L978" t="s">
        <v>2787</v>
      </c>
      <c r="M978" t="s">
        <v>2566</v>
      </c>
      <c r="N978" t="s">
        <v>2584</v>
      </c>
      <c r="O978" t="s">
        <v>2601</v>
      </c>
      <c r="P978" t="s">
        <v>2566</v>
      </c>
      <c r="Q978" t="s">
        <v>2584</v>
      </c>
      <c r="R978" t="s">
        <v>2601</v>
      </c>
      <c r="S978" t="s">
        <v>2607</v>
      </c>
      <c r="T978">
        <v>1</v>
      </c>
      <c r="U978" s="2">
        <v>8112.78</v>
      </c>
      <c r="V978" s="3">
        <v>0</v>
      </c>
      <c r="W978" s="2">
        <v>8112.78</v>
      </c>
      <c r="X978" s="2">
        <v>1235.06</v>
      </c>
      <c r="Y978" s="3">
        <v>0.15223634808290129</v>
      </c>
      <c r="Z978" t="s">
        <v>1494</v>
      </c>
      <c r="AA978" t="s">
        <v>1498</v>
      </c>
      <c r="AB978" t="s">
        <v>1502</v>
      </c>
      <c r="AC978">
        <v>0</v>
      </c>
      <c r="AD978">
        <v>2025</v>
      </c>
      <c r="AE978" t="s">
        <v>2819</v>
      </c>
      <c r="AF978" t="s">
        <v>2843</v>
      </c>
      <c r="AG978" t="s">
        <v>2847</v>
      </c>
      <c r="AH978" t="s">
        <v>2848</v>
      </c>
      <c r="AI978">
        <v>1</v>
      </c>
    </row>
    <row r="979" spans="1:35" x14ac:dyDescent="0.3">
      <c r="A979" t="s">
        <v>943</v>
      </c>
      <c r="B979">
        <v>1</v>
      </c>
      <c r="C979" s="1">
        <v>46009</v>
      </c>
      <c r="D979" s="1">
        <v>46010</v>
      </c>
      <c r="E979" t="s">
        <v>1325</v>
      </c>
      <c r="F979" t="s">
        <v>1796</v>
      </c>
      <c r="G979" t="s">
        <v>1413</v>
      </c>
      <c r="H979" t="s">
        <v>2716</v>
      </c>
      <c r="I979" t="s">
        <v>2741</v>
      </c>
      <c r="J979" t="s">
        <v>2768</v>
      </c>
      <c r="K979" t="s">
        <v>1489</v>
      </c>
      <c r="L979" t="s">
        <v>2787</v>
      </c>
      <c r="M979" t="s">
        <v>2564</v>
      </c>
      <c r="N979" t="s">
        <v>2582</v>
      </c>
      <c r="O979" t="s">
        <v>2601</v>
      </c>
      <c r="P979" t="s">
        <v>2566</v>
      </c>
      <c r="Q979" t="s">
        <v>2584</v>
      </c>
      <c r="R979" t="s">
        <v>2601</v>
      </c>
      <c r="S979" t="s">
        <v>2608</v>
      </c>
      <c r="T979">
        <v>1</v>
      </c>
      <c r="U979" s="2">
        <v>771.89</v>
      </c>
      <c r="V979" s="3">
        <v>0</v>
      </c>
      <c r="W979" s="2">
        <v>771.89</v>
      </c>
      <c r="X979" s="2">
        <v>220.44</v>
      </c>
      <c r="Y979" s="3">
        <v>0.28558473357602759</v>
      </c>
      <c r="Z979" t="s">
        <v>1497</v>
      </c>
      <c r="AA979" t="s">
        <v>1499</v>
      </c>
      <c r="AB979" t="s">
        <v>1501</v>
      </c>
      <c r="AC979">
        <v>1</v>
      </c>
      <c r="AD979">
        <v>2025</v>
      </c>
      <c r="AE979" t="s">
        <v>2819</v>
      </c>
      <c r="AF979" t="s">
        <v>2843</v>
      </c>
      <c r="AG979" t="s">
        <v>2847</v>
      </c>
      <c r="AH979" t="s">
        <v>2848</v>
      </c>
      <c r="AI979">
        <v>1</v>
      </c>
    </row>
    <row r="980" spans="1:35" x14ac:dyDescent="0.3">
      <c r="A980" t="s">
        <v>943</v>
      </c>
      <c r="B980">
        <v>1</v>
      </c>
      <c r="C980" s="1">
        <v>46009</v>
      </c>
      <c r="D980" s="1">
        <v>46010</v>
      </c>
      <c r="E980" t="s">
        <v>1325</v>
      </c>
      <c r="F980" t="s">
        <v>1796</v>
      </c>
      <c r="G980" t="s">
        <v>1413</v>
      </c>
      <c r="H980" t="s">
        <v>2716</v>
      </c>
      <c r="I980" t="s">
        <v>2741</v>
      </c>
      <c r="J980" t="s">
        <v>2768</v>
      </c>
      <c r="K980" t="s">
        <v>1489</v>
      </c>
      <c r="L980" t="s">
        <v>2787</v>
      </c>
      <c r="M980" t="s">
        <v>2564</v>
      </c>
      <c r="N980" t="s">
        <v>2582</v>
      </c>
      <c r="O980" t="s">
        <v>2601</v>
      </c>
      <c r="P980" t="s">
        <v>2566</v>
      </c>
      <c r="Q980" t="s">
        <v>2584</v>
      </c>
      <c r="R980" t="s">
        <v>2601</v>
      </c>
      <c r="S980" t="s">
        <v>2608</v>
      </c>
      <c r="T980">
        <v>1</v>
      </c>
      <c r="U980" s="2">
        <v>771.89</v>
      </c>
      <c r="V980" s="3">
        <v>0</v>
      </c>
      <c r="W980" s="2">
        <v>771.89</v>
      </c>
      <c r="X980" s="2">
        <v>220.44</v>
      </c>
      <c r="Y980" s="3">
        <v>0.28558473357602759</v>
      </c>
      <c r="Z980" t="s">
        <v>1497</v>
      </c>
      <c r="AA980" t="s">
        <v>1499</v>
      </c>
      <c r="AB980" t="s">
        <v>1501</v>
      </c>
      <c r="AC980">
        <v>1</v>
      </c>
      <c r="AD980">
        <v>2025</v>
      </c>
      <c r="AE980" t="s">
        <v>2819</v>
      </c>
      <c r="AF980" t="s">
        <v>2843</v>
      </c>
      <c r="AG980" t="s">
        <v>2847</v>
      </c>
      <c r="AH980" t="s">
        <v>2848</v>
      </c>
      <c r="AI980">
        <v>0</v>
      </c>
    </row>
    <row r="981" spans="1:35" x14ac:dyDescent="0.3">
      <c r="A981" t="s">
        <v>944</v>
      </c>
      <c r="B981">
        <v>1</v>
      </c>
      <c r="C981" s="1">
        <v>46010</v>
      </c>
      <c r="D981" s="1">
        <v>46011</v>
      </c>
      <c r="E981" t="s">
        <v>1024</v>
      </c>
      <c r="F981" t="s">
        <v>1827</v>
      </c>
      <c r="G981" t="s">
        <v>1430</v>
      </c>
      <c r="H981" t="s">
        <v>2698</v>
      </c>
      <c r="I981" t="s">
        <v>2740</v>
      </c>
      <c r="J981" t="s">
        <v>2762</v>
      </c>
      <c r="K981" t="s">
        <v>1486</v>
      </c>
      <c r="L981" t="s">
        <v>2776</v>
      </c>
      <c r="M981" t="s">
        <v>2553</v>
      </c>
      <c r="N981" t="s">
        <v>2576</v>
      </c>
      <c r="O981" t="s">
        <v>2602</v>
      </c>
      <c r="P981" t="s">
        <v>2551</v>
      </c>
      <c r="Q981" t="s">
        <v>2574</v>
      </c>
      <c r="R981" t="s">
        <v>2602</v>
      </c>
      <c r="S981" t="s">
        <v>2606</v>
      </c>
      <c r="T981">
        <v>2</v>
      </c>
      <c r="U981" s="2">
        <v>1148.97</v>
      </c>
      <c r="V981" s="3">
        <v>0</v>
      </c>
      <c r="W981" s="2">
        <v>2297.94</v>
      </c>
      <c r="X981" s="2">
        <v>177.06</v>
      </c>
      <c r="Y981" s="3">
        <v>7.7051620146740121E-2</v>
      </c>
      <c r="Z981" t="s">
        <v>1494</v>
      </c>
      <c r="AA981" t="s">
        <v>1499</v>
      </c>
      <c r="AB981" t="s">
        <v>1501</v>
      </c>
      <c r="AC981">
        <v>1</v>
      </c>
      <c r="AD981">
        <v>2025</v>
      </c>
      <c r="AE981" t="s">
        <v>2819</v>
      </c>
      <c r="AF981" t="s">
        <v>2843</v>
      </c>
      <c r="AG981" t="s">
        <v>2847</v>
      </c>
      <c r="AH981" t="s">
        <v>2848</v>
      </c>
      <c r="AI981">
        <v>1</v>
      </c>
    </row>
    <row r="982" spans="1:35" x14ac:dyDescent="0.3">
      <c r="A982" t="s">
        <v>945</v>
      </c>
      <c r="B982">
        <v>1</v>
      </c>
      <c r="C982" s="1">
        <v>46010</v>
      </c>
      <c r="D982" s="1">
        <v>46012</v>
      </c>
      <c r="E982" t="s">
        <v>1239</v>
      </c>
      <c r="F982" t="s">
        <v>1838</v>
      </c>
      <c r="G982" t="s">
        <v>1429</v>
      </c>
      <c r="H982" t="s">
        <v>2626</v>
      </c>
      <c r="I982" t="s">
        <v>2737</v>
      </c>
      <c r="J982" t="s">
        <v>2745</v>
      </c>
      <c r="K982" t="s">
        <v>1480</v>
      </c>
      <c r="L982" t="s">
        <v>2789</v>
      </c>
      <c r="M982" t="s">
        <v>2565</v>
      </c>
      <c r="N982" t="s">
        <v>2583</v>
      </c>
      <c r="O982" t="s">
        <v>2604</v>
      </c>
      <c r="R982" t="s">
        <v>2790</v>
      </c>
      <c r="S982" t="s">
        <v>2608</v>
      </c>
      <c r="T982">
        <v>1</v>
      </c>
      <c r="U982" s="2">
        <v>63166.03</v>
      </c>
      <c r="V982" s="3">
        <v>0</v>
      </c>
      <c r="W982" s="2">
        <v>63166.03</v>
      </c>
      <c r="X982" s="2">
        <v>9252.8799999999992</v>
      </c>
      <c r="Y982" s="3">
        <v>0.14648506483627349</v>
      </c>
      <c r="Z982" t="s">
        <v>1495</v>
      </c>
      <c r="AA982" t="s">
        <v>1498</v>
      </c>
      <c r="AB982" t="s">
        <v>1501</v>
      </c>
      <c r="AC982">
        <v>2</v>
      </c>
      <c r="AD982">
        <v>2025</v>
      </c>
      <c r="AE982" t="s">
        <v>2819</v>
      </c>
      <c r="AF982" t="s">
        <v>2843</v>
      </c>
      <c r="AG982" t="s">
        <v>2847</v>
      </c>
      <c r="AH982" t="s">
        <v>2848</v>
      </c>
      <c r="AI982">
        <v>1</v>
      </c>
    </row>
    <row r="983" spans="1:35" x14ac:dyDescent="0.3">
      <c r="A983" t="s">
        <v>946</v>
      </c>
      <c r="B983">
        <v>1</v>
      </c>
      <c r="C983" s="1">
        <v>46011</v>
      </c>
      <c r="D983" s="1">
        <v>46011</v>
      </c>
      <c r="E983" t="s">
        <v>1326</v>
      </c>
      <c r="F983" t="s">
        <v>1937</v>
      </c>
      <c r="G983" t="s">
        <v>1362</v>
      </c>
      <c r="H983" t="s">
        <v>2714</v>
      </c>
      <c r="I983" t="s">
        <v>2741</v>
      </c>
      <c r="J983" t="s">
        <v>2767</v>
      </c>
      <c r="K983" t="s">
        <v>1489</v>
      </c>
      <c r="L983" t="s">
        <v>2787</v>
      </c>
      <c r="M983" t="s">
        <v>2550</v>
      </c>
      <c r="N983" t="s">
        <v>2573</v>
      </c>
      <c r="O983" t="s">
        <v>2601</v>
      </c>
      <c r="P983" t="s">
        <v>2566</v>
      </c>
      <c r="Q983" t="s">
        <v>2584</v>
      </c>
      <c r="R983" t="s">
        <v>2601</v>
      </c>
      <c r="S983" t="s">
        <v>2607</v>
      </c>
      <c r="T983">
        <v>3</v>
      </c>
      <c r="U983" s="2">
        <v>375.5</v>
      </c>
      <c r="V983" s="3">
        <v>0.05</v>
      </c>
      <c r="W983" s="2">
        <v>1070.17</v>
      </c>
      <c r="X983" s="2">
        <v>382.12</v>
      </c>
      <c r="Y983" s="3">
        <v>0.35706476541110288</v>
      </c>
      <c r="Z983" t="s">
        <v>1496</v>
      </c>
      <c r="AA983" t="s">
        <v>1499</v>
      </c>
      <c r="AB983" t="s">
        <v>1501</v>
      </c>
      <c r="AC983">
        <v>0</v>
      </c>
      <c r="AD983">
        <v>2025</v>
      </c>
      <c r="AE983" t="s">
        <v>2819</v>
      </c>
      <c r="AF983" t="s">
        <v>2843</v>
      </c>
      <c r="AG983" t="s">
        <v>2847</v>
      </c>
      <c r="AH983" t="s">
        <v>2848</v>
      </c>
      <c r="AI983">
        <v>1</v>
      </c>
    </row>
    <row r="984" spans="1:35" x14ac:dyDescent="0.3">
      <c r="A984" t="s">
        <v>947</v>
      </c>
      <c r="B984">
        <v>2</v>
      </c>
      <c r="C984" s="1">
        <v>46011</v>
      </c>
      <c r="D984" s="1">
        <v>46012</v>
      </c>
      <c r="E984" t="s">
        <v>1093</v>
      </c>
      <c r="F984" t="s">
        <v>1867</v>
      </c>
      <c r="G984" t="s">
        <v>1437</v>
      </c>
      <c r="H984" t="s">
        <v>2629</v>
      </c>
      <c r="I984" t="s">
        <v>2737</v>
      </c>
      <c r="J984" t="s">
        <v>2746</v>
      </c>
      <c r="K984" t="s">
        <v>1490</v>
      </c>
      <c r="L984" t="s">
        <v>2784</v>
      </c>
      <c r="M984" t="s">
        <v>2567</v>
      </c>
      <c r="N984" t="s">
        <v>2585</v>
      </c>
      <c r="O984" t="s">
        <v>2604</v>
      </c>
      <c r="P984" t="s">
        <v>2567</v>
      </c>
      <c r="Q984" t="s">
        <v>2585</v>
      </c>
      <c r="R984" t="s">
        <v>2604</v>
      </c>
      <c r="S984" t="s">
        <v>2606</v>
      </c>
      <c r="T984">
        <v>2</v>
      </c>
      <c r="U984" s="2">
        <v>53802.83</v>
      </c>
      <c r="V984" s="3">
        <v>0</v>
      </c>
      <c r="W984" s="2">
        <v>107605.66</v>
      </c>
      <c r="X984" s="2">
        <v>13677.72</v>
      </c>
      <c r="Y984" s="3">
        <v>0.12710967062513251</v>
      </c>
      <c r="Z984" t="s">
        <v>1495</v>
      </c>
      <c r="AA984" t="s">
        <v>1498</v>
      </c>
      <c r="AB984" t="s">
        <v>1501</v>
      </c>
      <c r="AC984">
        <v>1</v>
      </c>
      <c r="AD984">
        <v>2025</v>
      </c>
      <c r="AE984" t="s">
        <v>2819</v>
      </c>
      <c r="AF984" t="s">
        <v>2843</v>
      </c>
      <c r="AG984" t="s">
        <v>2847</v>
      </c>
      <c r="AH984" t="s">
        <v>2848</v>
      </c>
      <c r="AI984">
        <v>1</v>
      </c>
    </row>
    <row r="985" spans="1:35" x14ac:dyDescent="0.3">
      <c r="A985" t="s">
        <v>948</v>
      </c>
      <c r="B985">
        <v>2</v>
      </c>
      <c r="C985" s="1">
        <v>46011</v>
      </c>
      <c r="D985" s="1">
        <v>46011</v>
      </c>
      <c r="E985" t="s">
        <v>1005</v>
      </c>
      <c r="F985" t="s">
        <v>1696</v>
      </c>
      <c r="G985" t="s">
        <v>1430</v>
      </c>
      <c r="H985" t="s">
        <v>2698</v>
      </c>
      <c r="I985" t="s">
        <v>2740</v>
      </c>
      <c r="J985" t="s">
        <v>2762</v>
      </c>
      <c r="K985" t="s">
        <v>1482</v>
      </c>
      <c r="L985" t="s">
        <v>2783</v>
      </c>
      <c r="M985" t="s">
        <v>2560</v>
      </c>
      <c r="N985" t="s">
        <v>2579</v>
      </c>
      <c r="O985" t="s">
        <v>2604</v>
      </c>
      <c r="P985" t="s">
        <v>2560</v>
      </c>
      <c r="Q985" t="s">
        <v>2579</v>
      </c>
      <c r="R985" t="s">
        <v>2604</v>
      </c>
      <c r="S985" t="s">
        <v>2608</v>
      </c>
      <c r="T985">
        <v>1</v>
      </c>
      <c r="U985" s="2">
        <v>1148.97</v>
      </c>
      <c r="V985" s="3">
        <v>0.15</v>
      </c>
      <c r="W985" s="2">
        <v>976.62</v>
      </c>
      <c r="X985" s="2">
        <v>-83.82</v>
      </c>
      <c r="Y985" s="3">
        <v>-8.5826626528230004E-2</v>
      </c>
      <c r="Z985" t="s">
        <v>1494</v>
      </c>
      <c r="AA985" t="s">
        <v>1499</v>
      </c>
      <c r="AB985" t="s">
        <v>1501</v>
      </c>
      <c r="AC985">
        <v>0</v>
      </c>
      <c r="AD985">
        <v>2025</v>
      </c>
      <c r="AE985" t="s">
        <v>2819</v>
      </c>
      <c r="AF985" t="s">
        <v>2843</v>
      </c>
      <c r="AG985" t="s">
        <v>2847</v>
      </c>
      <c r="AH985" t="s">
        <v>2848</v>
      </c>
      <c r="AI985">
        <v>1</v>
      </c>
    </row>
    <row r="986" spans="1:35" x14ac:dyDescent="0.3">
      <c r="A986" t="s">
        <v>949</v>
      </c>
      <c r="B986">
        <v>1</v>
      </c>
      <c r="C986" s="1">
        <v>46012</v>
      </c>
      <c r="D986" s="1">
        <v>46013</v>
      </c>
      <c r="E986" t="s">
        <v>1224</v>
      </c>
      <c r="F986" t="s">
        <v>1976</v>
      </c>
      <c r="G986" t="s">
        <v>1465</v>
      </c>
      <c r="H986" t="s">
        <v>2665</v>
      </c>
      <c r="I986" t="s">
        <v>2739</v>
      </c>
      <c r="J986" t="s">
        <v>2755</v>
      </c>
      <c r="K986" t="s">
        <v>1486</v>
      </c>
      <c r="L986" t="s">
        <v>2776</v>
      </c>
      <c r="M986" t="s">
        <v>2557</v>
      </c>
      <c r="N986" t="s">
        <v>2576</v>
      </c>
      <c r="O986" t="s">
        <v>2602</v>
      </c>
      <c r="P986" t="s">
        <v>2551</v>
      </c>
      <c r="Q986" t="s">
        <v>2574</v>
      </c>
      <c r="R986" t="s">
        <v>2602</v>
      </c>
      <c r="S986" t="s">
        <v>2606</v>
      </c>
      <c r="T986">
        <v>1</v>
      </c>
      <c r="U986" s="2">
        <v>2687.95</v>
      </c>
      <c r="V986" s="3">
        <v>0</v>
      </c>
      <c r="W986" s="2">
        <v>2687.95</v>
      </c>
      <c r="X986" s="2">
        <v>1191.42</v>
      </c>
      <c r="Y986" s="3">
        <v>0.44324485202477731</v>
      </c>
      <c r="Z986" t="s">
        <v>1494</v>
      </c>
      <c r="AA986" t="s">
        <v>1498</v>
      </c>
      <c r="AB986" t="s">
        <v>1501</v>
      </c>
      <c r="AC986">
        <v>1</v>
      </c>
      <c r="AD986">
        <v>2025</v>
      </c>
      <c r="AE986" t="s">
        <v>2819</v>
      </c>
      <c r="AF986" t="s">
        <v>2843</v>
      </c>
      <c r="AG986" t="s">
        <v>2847</v>
      </c>
      <c r="AH986" t="s">
        <v>2848</v>
      </c>
      <c r="AI986">
        <v>1</v>
      </c>
    </row>
    <row r="987" spans="1:35" x14ac:dyDescent="0.3">
      <c r="A987" t="s">
        <v>950</v>
      </c>
      <c r="B987">
        <v>1</v>
      </c>
      <c r="C987" s="1">
        <v>46013</v>
      </c>
      <c r="D987" s="1">
        <v>46013</v>
      </c>
      <c r="E987" t="s">
        <v>1092</v>
      </c>
      <c r="F987" t="s">
        <v>2003</v>
      </c>
      <c r="G987" t="s">
        <v>1427</v>
      </c>
      <c r="H987" t="s">
        <v>2712</v>
      </c>
      <c r="I987" t="s">
        <v>2741</v>
      </c>
      <c r="J987" t="s">
        <v>2766</v>
      </c>
      <c r="K987" t="s">
        <v>1482</v>
      </c>
      <c r="L987" t="s">
        <v>2783</v>
      </c>
      <c r="M987" t="s">
        <v>2560</v>
      </c>
      <c r="N987" t="s">
        <v>2579</v>
      </c>
      <c r="O987" t="s">
        <v>2604</v>
      </c>
      <c r="P987" t="s">
        <v>2560</v>
      </c>
      <c r="Q987" t="s">
        <v>2579</v>
      </c>
      <c r="R987" t="s">
        <v>2604</v>
      </c>
      <c r="S987" t="s">
        <v>2608</v>
      </c>
      <c r="T987">
        <v>1</v>
      </c>
      <c r="U987" s="2">
        <v>687.56</v>
      </c>
      <c r="V987" s="3">
        <v>0.2</v>
      </c>
      <c r="W987" s="2">
        <v>550.04999999999995</v>
      </c>
      <c r="X987" s="2">
        <v>97.62</v>
      </c>
      <c r="Y987" s="3">
        <v>0.1774747750204527</v>
      </c>
      <c r="Z987" t="s">
        <v>1493</v>
      </c>
      <c r="AA987" t="s">
        <v>1498</v>
      </c>
      <c r="AB987" t="s">
        <v>1501</v>
      </c>
      <c r="AC987">
        <v>0</v>
      </c>
      <c r="AD987">
        <v>2025</v>
      </c>
      <c r="AE987" t="s">
        <v>2819</v>
      </c>
      <c r="AF987" t="s">
        <v>2843</v>
      </c>
      <c r="AG987" t="s">
        <v>2847</v>
      </c>
      <c r="AH987" t="s">
        <v>2848</v>
      </c>
      <c r="AI987">
        <v>1</v>
      </c>
    </row>
    <row r="988" spans="1:35" x14ac:dyDescent="0.3">
      <c r="A988" t="s">
        <v>951</v>
      </c>
      <c r="B988">
        <v>1</v>
      </c>
      <c r="C988" s="1">
        <v>46014</v>
      </c>
      <c r="D988" s="1">
        <v>46017</v>
      </c>
      <c r="E988" t="s">
        <v>1163</v>
      </c>
      <c r="F988" t="s">
        <v>1735</v>
      </c>
      <c r="G988" t="s">
        <v>1385</v>
      </c>
      <c r="H988" t="s">
        <v>2638</v>
      </c>
      <c r="I988" t="s">
        <v>2737</v>
      </c>
      <c r="J988" t="s">
        <v>2748</v>
      </c>
      <c r="K988" t="s">
        <v>1480</v>
      </c>
      <c r="L988" t="s">
        <v>2789</v>
      </c>
      <c r="M988" t="s">
        <v>2570</v>
      </c>
      <c r="N988" t="s">
        <v>2590</v>
      </c>
      <c r="O988" t="s">
        <v>2605</v>
      </c>
      <c r="R988" t="s">
        <v>2790</v>
      </c>
      <c r="S988" t="s">
        <v>2606</v>
      </c>
      <c r="T988">
        <v>1</v>
      </c>
      <c r="U988" s="2">
        <v>46757.35</v>
      </c>
      <c r="V988" s="3">
        <v>0</v>
      </c>
      <c r="W988" s="2">
        <v>46757.35</v>
      </c>
      <c r="X988" s="2">
        <v>4567.13</v>
      </c>
      <c r="Y988" s="3">
        <v>9.7677263574603782E-2</v>
      </c>
      <c r="Z988" t="s">
        <v>1494</v>
      </c>
      <c r="AA988" t="s">
        <v>1498</v>
      </c>
      <c r="AB988" t="s">
        <v>1501</v>
      </c>
      <c r="AC988">
        <v>3</v>
      </c>
      <c r="AD988">
        <v>2025</v>
      </c>
      <c r="AE988" t="s">
        <v>2819</v>
      </c>
      <c r="AF988" t="s">
        <v>2843</v>
      </c>
      <c r="AG988" t="s">
        <v>2847</v>
      </c>
      <c r="AH988" t="s">
        <v>2848</v>
      </c>
      <c r="AI988">
        <v>1</v>
      </c>
    </row>
    <row r="989" spans="1:35" x14ac:dyDescent="0.3">
      <c r="A989" t="s">
        <v>952</v>
      </c>
      <c r="B989">
        <v>1</v>
      </c>
      <c r="C989" s="1">
        <v>46014</v>
      </c>
      <c r="E989" t="s">
        <v>1175</v>
      </c>
      <c r="F989" t="s">
        <v>1850</v>
      </c>
      <c r="G989" t="s">
        <v>1401</v>
      </c>
      <c r="H989" t="s">
        <v>2618</v>
      </c>
      <c r="I989" t="s">
        <v>2737</v>
      </c>
      <c r="J989" t="s">
        <v>2744</v>
      </c>
      <c r="K989" t="s">
        <v>1480</v>
      </c>
      <c r="L989" t="s">
        <v>2789</v>
      </c>
      <c r="M989" t="s">
        <v>2569</v>
      </c>
      <c r="N989" t="s">
        <v>2587</v>
      </c>
      <c r="O989" t="s">
        <v>2604</v>
      </c>
      <c r="R989" t="s">
        <v>2790</v>
      </c>
      <c r="S989" t="s">
        <v>2606</v>
      </c>
      <c r="T989">
        <v>1</v>
      </c>
      <c r="U989" s="2">
        <v>50900.49</v>
      </c>
      <c r="V989" s="3">
        <v>0</v>
      </c>
      <c r="W989" s="2">
        <v>50900.49</v>
      </c>
      <c r="X989" s="2">
        <v>7930.74</v>
      </c>
      <c r="Y989" s="3">
        <v>0.15580871618328229</v>
      </c>
      <c r="Z989" t="s">
        <v>1497</v>
      </c>
      <c r="AA989" t="s">
        <v>1500</v>
      </c>
      <c r="AB989" t="s">
        <v>1503</v>
      </c>
      <c r="AD989">
        <v>2025</v>
      </c>
      <c r="AE989" t="s">
        <v>2819</v>
      </c>
      <c r="AF989" t="s">
        <v>2843</v>
      </c>
      <c r="AG989" t="s">
        <v>2847</v>
      </c>
      <c r="AH989" t="s">
        <v>2848</v>
      </c>
      <c r="AI989">
        <v>1</v>
      </c>
    </row>
    <row r="990" spans="1:35" x14ac:dyDescent="0.3">
      <c r="A990" t="s">
        <v>953</v>
      </c>
      <c r="B990">
        <v>1</v>
      </c>
      <c r="C990" s="1">
        <v>46014</v>
      </c>
      <c r="D990" s="1">
        <v>46015</v>
      </c>
      <c r="E990" t="s">
        <v>1077</v>
      </c>
      <c r="F990" t="s">
        <v>1802</v>
      </c>
      <c r="G990" t="s">
        <v>1383</v>
      </c>
      <c r="H990" t="s">
        <v>2726</v>
      </c>
      <c r="I990" t="s">
        <v>2742</v>
      </c>
      <c r="J990" t="s">
        <v>2771</v>
      </c>
      <c r="K990" t="s">
        <v>1491</v>
      </c>
      <c r="L990" t="s">
        <v>2779</v>
      </c>
      <c r="M990" t="s">
        <v>2559</v>
      </c>
      <c r="N990" t="s">
        <v>2559</v>
      </c>
      <c r="O990" t="s">
        <v>2603</v>
      </c>
      <c r="P990" t="s">
        <v>2555</v>
      </c>
      <c r="Q990" t="s">
        <v>2578</v>
      </c>
      <c r="R990" t="s">
        <v>2603</v>
      </c>
      <c r="S990" t="s">
        <v>2608</v>
      </c>
      <c r="T990">
        <v>1</v>
      </c>
      <c r="U990" s="2">
        <v>17693.080000000002</v>
      </c>
      <c r="V990" s="3">
        <v>0</v>
      </c>
      <c r="W990" s="2">
        <v>17693.080000000002</v>
      </c>
      <c r="X990" s="2">
        <v>3546.04</v>
      </c>
      <c r="Y990" s="3">
        <v>0.20041959907489251</v>
      </c>
      <c r="Z990" t="s">
        <v>1496</v>
      </c>
      <c r="AA990" t="s">
        <v>1499</v>
      </c>
      <c r="AB990" t="s">
        <v>1501</v>
      </c>
      <c r="AC990">
        <v>1</v>
      </c>
      <c r="AD990">
        <v>2025</v>
      </c>
      <c r="AE990" t="s">
        <v>2819</v>
      </c>
      <c r="AF990" t="s">
        <v>2843</v>
      </c>
      <c r="AG990" t="s">
        <v>2847</v>
      </c>
      <c r="AH990" t="s">
        <v>2848</v>
      </c>
      <c r="AI990">
        <v>1</v>
      </c>
    </row>
    <row r="991" spans="1:35" x14ac:dyDescent="0.3">
      <c r="A991" t="s">
        <v>954</v>
      </c>
      <c r="B991">
        <v>1</v>
      </c>
      <c r="C991" s="1">
        <v>46014</v>
      </c>
      <c r="D991" s="1">
        <v>46015</v>
      </c>
      <c r="E991" t="s">
        <v>1187</v>
      </c>
      <c r="F991" t="s">
        <v>1985</v>
      </c>
      <c r="G991" t="s">
        <v>1376</v>
      </c>
      <c r="H991" t="s">
        <v>2681</v>
      </c>
      <c r="I991" t="s">
        <v>2739</v>
      </c>
      <c r="J991" t="s">
        <v>2759</v>
      </c>
      <c r="K991" t="s">
        <v>1480</v>
      </c>
      <c r="L991" t="s">
        <v>2789</v>
      </c>
      <c r="M991" t="s">
        <v>2550</v>
      </c>
      <c r="N991" t="s">
        <v>2573</v>
      </c>
      <c r="O991" t="s">
        <v>2601</v>
      </c>
      <c r="R991" t="s">
        <v>2790</v>
      </c>
      <c r="S991" t="s">
        <v>2606</v>
      </c>
      <c r="T991">
        <v>1</v>
      </c>
      <c r="U991" s="2">
        <v>5444.12</v>
      </c>
      <c r="V991" s="3">
        <v>0.1</v>
      </c>
      <c r="W991" s="2">
        <v>4899.71</v>
      </c>
      <c r="X991" s="2">
        <v>1883.2</v>
      </c>
      <c r="Y991" s="3">
        <v>0.38434927781440131</v>
      </c>
      <c r="Z991" t="s">
        <v>1496</v>
      </c>
      <c r="AA991" t="s">
        <v>1498</v>
      </c>
      <c r="AB991" t="s">
        <v>1501</v>
      </c>
      <c r="AC991">
        <v>1</v>
      </c>
      <c r="AD991">
        <v>2025</v>
      </c>
      <c r="AE991" t="s">
        <v>2819</v>
      </c>
      <c r="AF991" t="s">
        <v>2843</v>
      </c>
      <c r="AG991" t="s">
        <v>2847</v>
      </c>
      <c r="AH991" t="s">
        <v>2848</v>
      </c>
      <c r="AI991">
        <v>1</v>
      </c>
    </row>
    <row r="992" spans="1:35" x14ac:dyDescent="0.3">
      <c r="A992" t="s">
        <v>955</v>
      </c>
      <c r="B992">
        <v>2</v>
      </c>
      <c r="C992" s="1">
        <v>46018</v>
      </c>
      <c r="D992" s="1">
        <v>46019</v>
      </c>
      <c r="E992" t="s">
        <v>1273</v>
      </c>
      <c r="F992" t="s">
        <v>1814</v>
      </c>
      <c r="G992" t="s">
        <v>1444</v>
      </c>
      <c r="H992" t="s">
        <v>2717</v>
      </c>
      <c r="I992" t="s">
        <v>2741</v>
      </c>
      <c r="J992" t="s">
        <v>2768</v>
      </c>
      <c r="K992" t="s">
        <v>1480</v>
      </c>
      <c r="L992" t="s">
        <v>2789</v>
      </c>
      <c r="M992" t="s">
        <v>2571</v>
      </c>
      <c r="N992" t="s">
        <v>2590</v>
      </c>
      <c r="O992" t="s">
        <v>2605</v>
      </c>
      <c r="R992" t="s">
        <v>2790</v>
      </c>
      <c r="S992" t="s">
        <v>2606</v>
      </c>
      <c r="T992">
        <v>1</v>
      </c>
      <c r="U992" s="2">
        <v>1054.31</v>
      </c>
      <c r="V992" s="3">
        <v>0</v>
      </c>
      <c r="W992" s="2">
        <v>1054.31</v>
      </c>
      <c r="X992" s="2">
        <v>310.83999999999997</v>
      </c>
      <c r="Y992" s="3">
        <v>0.29482789691836359</v>
      </c>
      <c r="Z992" t="s">
        <v>1494</v>
      </c>
      <c r="AA992" t="s">
        <v>1499</v>
      </c>
      <c r="AB992" t="s">
        <v>1501</v>
      </c>
      <c r="AC992">
        <v>1</v>
      </c>
      <c r="AD992">
        <v>2025</v>
      </c>
      <c r="AE992" t="s">
        <v>2819</v>
      </c>
      <c r="AF992" t="s">
        <v>2843</v>
      </c>
      <c r="AG992" t="s">
        <v>2847</v>
      </c>
      <c r="AH992" t="s">
        <v>2848</v>
      </c>
      <c r="AI992">
        <v>1</v>
      </c>
    </row>
    <row r="993" spans="1:35" x14ac:dyDescent="0.3">
      <c r="A993" t="s">
        <v>956</v>
      </c>
      <c r="B993">
        <v>1</v>
      </c>
      <c r="C993" s="1">
        <v>46018</v>
      </c>
      <c r="D993" s="1">
        <v>46019</v>
      </c>
      <c r="E993" t="s">
        <v>1327</v>
      </c>
      <c r="F993" t="s">
        <v>1970</v>
      </c>
      <c r="G993" t="s">
        <v>1373</v>
      </c>
      <c r="H993" t="s">
        <v>2696</v>
      </c>
      <c r="I993" t="s">
        <v>2740</v>
      </c>
      <c r="J993" t="s">
        <v>2762</v>
      </c>
      <c r="K993" t="s">
        <v>1492</v>
      </c>
      <c r="L993" t="s">
        <v>2788</v>
      </c>
      <c r="M993" t="s">
        <v>2566</v>
      </c>
      <c r="N993" t="s">
        <v>2584</v>
      </c>
      <c r="O993" t="s">
        <v>2601</v>
      </c>
      <c r="P993" t="s">
        <v>2554</v>
      </c>
      <c r="Q993" t="s">
        <v>2577</v>
      </c>
      <c r="R993" t="s">
        <v>2601</v>
      </c>
      <c r="S993" t="s">
        <v>2606</v>
      </c>
      <c r="T993">
        <v>1</v>
      </c>
      <c r="U993" s="2">
        <v>1404.85</v>
      </c>
      <c r="V993" s="3">
        <v>0.15</v>
      </c>
      <c r="W993" s="2">
        <v>1194.1199999999999</v>
      </c>
      <c r="X993" s="2">
        <v>-78.97</v>
      </c>
      <c r="Y993" s="3">
        <v>-6.6132382005158613E-2</v>
      </c>
      <c r="Z993" t="s">
        <v>1496</v>
      </c>
      <c r="AA993" t="s">
        <v>1499</v>
      </c>
      <c r="AB993" t="s">
        <v>1501</v>
      </c>
      <c r="AC993">
        <v>1</v>
      </c>
      <c r="AD993">
        <v>2025</v>
      </c>
      <c r="AE993" t="s">
        <v>2819</v>
      </c>
      <c r="AF993" t="s">
        <v>2843</v>
      </c>
      <c r="AG993" t="s">
        <v>2847</v>
      </c>
      <c r="AH993" t="s">
        <v>2848</v>
      </c>
      <c r="AI993">
        <v>1</v>
      </c>
    </row>
    <row r="994" spans="1:35" x14ac:dyDescent="0.3">
      <c r="A994" t="s">
        <v>957</v>
      </c>
      <c r="B994">
        <v>2</v>
      </c>
      <c r="C994" s="1">
        <v>46019</v>
      </c>
      <c r="D994" s="1">
        <v>46020</v>
      </c>
      <c r="E994" t="s">
        <v>1328</v>
      </c>
      <c r="F994" t="s">
        <v>2031</v>
      </c>
      <c r="G994" t="s">
        <v>1383</v>
      </c>
      <c r="H994" t="s">
        <v>2726</v>
      </c>
      <c r="I994" t="s">
        <v>2742</v>
      </c>
      <c r="J994" t="s">
        <v>2771</v>
      </c>
      <c r="K994" t="s">
        <v>1485</v>
      </c>
      <c r="L994" t="s">
        <v>2775</v>
      </c>
      <c r="M994" t="s">
        <v>2556</v>
      </c>
      <c r="N994" t="s">
        <v>2574</v>
      </c>
      <c r="O994" t="s">
        <v>2602</v>
      </c>
      <c r="P994" t="s">
        <v>2562</v>
      </c>
      <c r="Q994" t="s">
        <v>2574</v>
      </c>
      <c r="R994" t="s">
        <v>2602</v>
      </c>
      <c r="S994" t="s">
        <v>2607</v>
      </c>
      <c r="T994">
        <v>4</v>
      </c>
      <c r="U994" s="2">
        <v>17693.080000000002</v>
      </c>
      <c r="V994" s="3">
        <v>0.1</v>
      </c>
      <c r="W994" s="2">
        <v>63695.09</v>
      </c>
      <c r="X994" s="2">
        <v>7106.93</v>
      </c>
      <c r="Y994" s="3">
        <v>0.1115773602015477</v>
      </c>
      <c r="Z994" t="s">
        <v>1496</v>
      </c>
      <c r="AA994" t="s">
        <v>1500</v>
      </c>
      <c r="AB994" t="s">
        <v>1501</v>
      </c>
      <c r="AC994">
        <v>1</v>
      </c>
      <c r="AD994">
        <v>2025</v>
      </c>
      <c r="AE994" t="s">
        <v>2819</v>
      </c>
      <c r="AF994" t="s">
        <v>2843</v>
      </c>
      <c r="AG994" t="s">
        <v>2847</v>
      </c>
      <c r="AH994" t="s">
        <v>2848</v>
      </c>
      <c r="AI994">
        <v>1</v>
      </c>
    </row>
    <row r="995" spans="1:35" x14ac:dyDescent="0.3">
      <c r="A995" t="s">
        <v>958</v>
      </c>
      <c r="B995">
        <v>1</v>
      </c>
      <c r="C995" s="1">
        <v>46019</v>
      </c>
      <c r="D995" s="1">
        <v>46020</v>
      </c>
      <c r="E995" t="s">
        <v>1223</v>
      </c>
      <c r="F995" t="s">
        <v>1883</v>
      </c>
      <c r="G995" t="s">
        <v>1348</v>
      </c>
      <c r="H995" t="s">
        <v>2669</v>
      </c>
      <c r="I995" t="s">
        <v>2739</v>
      </c>
      <c r="J995" t="s">
        <v>2756</v>
      </c>
      <c r="K995" t="s">
        <v>1488</v>
      </c>
      <c r="L995" t="s">
        <v>2780</v>
      </c>
      <c r="M995" t="s">
        <v>2555</v>
      </c>
      <c r="N995" t="s">
        <v>2578</v>
      </c>
      <c r="O995" t="s">
        <v>2603</v>
      </c>
      <c r="P995" t="s">
        <v>2552</v>
      </c>
      <c r="Q995" t="s">
        <v>2575</v>
      </c>
      <c r="R995" t="s">
        <v>2603</v>
      </c>
      <c r="S995" t="s">
        <v>2606</v>
      </c>
      <c r="T995">
        <v>1</v>
      </c>
      <c r="U995" s="2">
        <v>921.12</v>
      </c>
      <c r="V995" s="3">
        <v>0</v>
      </c>
      <c r="W995" s="2">
        <v>921.12</v>
      </c>
      <c r="X995" s="2">
        <v>383.08</v>
      </c>
      <c r="Y995" s="3">
        <v>0.41588500955358693</v>
      </c>
      <c r="Z995" t="s">
        <v>1496</v>
      </c>
      <c r="AA995" t="s">
        <v>1498</v>
      </c>
      <c r="AB995" t="s">
        <v>1501</v>
      </c>
      <c r="AC995">
        <v>1</v>
      </c>
      <c r="AD995">
        <v>2025</v>
      </c>
      <c r="AE995" t="s">
        <v>2819</v>
      </c>
      <c r="AF995" t="s">
        <v>2843</v>
      </c>
      <c r="AG995" t="s">
        <v>2847</v>
      </c>
      <c r="AH995" t="s">
        <v>2848</v>
      </c>
      <c r="AI995">
        <v>1</v>
      </c>
    </row>
    <row r="996" spans="1:35" x14ac:dyDescent="0.3">
      <c r="A996" t="s">
        <v>959</v>
      </c>
      <c r="B996">
        <v>1</v>
      </c>
      <c r="C996" s="1">
        <v>46020</v>
      </c>
      <c r="D996" s="1">
        <v>46021</v>
      </c>
      <c r="E996" t="s">
        <v>1005</v>
      </c>
      <c r="F996" t="s">
        <v>1696</v>
      </c>
      <c r="G996" t="s">
        <v>1372</v>
      </c>
      <c r="H996" t="s">
        <v>2732</v>
      </c>
      <c r="I996" t="s">
        <v>2742</v>
      </c>
      <c r="J996" t="s">
        <v>2772</v>
      </c>
      <c r="K996" t="s">
        <v>1478</v>
      </c>
      <c r="L996" t="s">
        <v>2782</v>
      </c>
      <c r="M996" t="s">
        <v>2560</v>
      </c>
      <c r="N996" t="s">
        <v>2579</v>
      </c>
      <c r="O996" t="s">
        <v>2604</v>
      </c>
      <c r="P996" t="s">
        <v>2565</v>
      </c>
      <c r="Q996" t="s">
        <v>2583</v>
      </c>
      <c r="R996" t="s">
        <v>2604</v>
      </c>
      <c r="S996" t="s">
        <v>2608</v>
      </c>
      <c r="T996">
        <v>2</v>
      </c>
      <c r="U996" s="2">
        <v>22695.17</v>
      </c>
      <c r="V996" s="3">
        <v>0.15</v>
      </c>
      <c r="W996" s="2">
        <v>38581.79</v>
      </c>
      <c r="X996" s="2">
        <v>263.47000000000003</v>
      </c>
      <c r="Y996" s="3">
        <v>6.8288692670816992E-3</v>
      </c>
      <c r="Z996" t="s">
        <v>1496</v>
      </c>
      <c r="AA996" t="s">
        <v>1498</v>
      </c>
      <c r="AB996" t="s">
        <v>1501</v>
      </c>
      <c r="AC996">
        <v>1</v>
      </c>
      <c r="AD996">
        <v>2025</v>
      </c>
      <c r="AE996" t="s">
        <v>2819</v>
      </c>
      <c r="AF996" t="s">
        <v>2843</v>
      </c>
      <c r="AG996" t="s">
        <v>2847</v>
      </c>
      <c r="AH996" t="s">
        <v>2848</v>
      </c>
      <c r="AI996">
        <v>1</v>
      </c>
    </row>
    <row r="997" spans="1:35" x14ac:dyDescent="0.3">
      <c r="A997" t="s">
        <v>960</v>
      </c>
      <c r="B997">
        <v>2</v>
      </c>
      <c r="C997" s="1">
        <v>46021</v>
      </c>
      <c r="D997" s="1">
        <v>46024</v>
      </c>
      <c r="E997" t="s">
        <v>1071</v>
      </c>
      <c r="F997" t="s">
        <v>1663</v>
      </c>
      <c r="G997" t="s">
        <v>1390</v>
      </c>
      <c r="H997" t="s">
        <v>2645</v>
      </c>
      <c r="I997" t="s">
        <v>2738</v>
      </c>
      <c r="J997" t="s">
        <v>2750</v>
      </c>
      <c r="K997" t="s">
        <v>1480</v>
      </c>
      <c r="L997" t="s">
        <v>2789</v>
      </c>
      <c r="M997" t="s">
        <v>2562</v>
      </c>
      <c r="N997" t="s">
        <v>2574</v>
      </c>
      <c r="O997" t="s">
        <v>2602</v>
      </c>
      <c r="R997" t="s">
        <v>2790</v>
      </c>
      <c r="S997" t="s">
        <v>2606</v>
      </c>
      <c r="T997">
        <v>1</v>
      </c>
      <c r="U997" s="2">
        <v>38147.39</v>
      </c>
      <c r="V997" s="3">
        <v>0.05</v>
      </c>
      <c r="W997" s="2">
        <v>36240.019999999997</v>
      </c>
      <c r="X997" s="2">
        <v>8942.67</v>
      </c>
      <c r="Y997" s="3">
        <v>0.24676228103626879</v>
      </c>
      <c r="Z997" t="s">
        <v>1495</v>
      </c>
      <c r="AA997" t="s">
        <v>1498</v>
      </c>
      <c r="AB997" t="s">
        <v>1501</v>
      </c>
      <c r="AC997">
        <v>3</v>
      </c>
      <c r="AD997">
        <v>2025</v>
      </c>
      <c r="AE997" t="s">
        <v>2819</v>
      </c>
      <c r="AF997" t="s">
        <v>2843</v>
      </c>
      <c r="AG997" t="s">
        <v>2847</v>
      </c>
      <c r="AH997" t="s">
        <v>2848</v>
      </c>
      <c r="AI997">
        <v>1</v>
      </c>
    </row>
    <row r="998" spans="1:35" x14ac:dyDescent="0.3">
      <c r="A998" t="s">
        <v>961</v>
      </c>
      <c r="B998">
        <v>1</v>
      </c>
      <c r="C998" s="1">
        <v>46021</v>
      </c>
      <c r="D998" s="1">
        <v>46022</v>
      </c>
      <c r="E998" t="s">
        <v>1083</v>
      </c>
      <c r="F998" t="s">
        <v>1719</v>
      </c>
      <c r="G998" t="s">
        <v>1430</v>
      </c>
      <c r="H998" t="s">
        <v>2698</v>
      </c>
      <c r="I998" t="s">
        <v>2740</v>
      </c>
      <c r="J998" t="s">
        <v>2762</v>
      </c>
      <c r="K998" t="s">
        <v>1492</v>
      </c>
      <c r="L998" t="s">
        <v>2788</v>
      </c>
      <c r="M998" t="s">
        <v>2564</v>
      </c>
      <c r="N998" t="s">
        <v>2582</v>
      </c>
      <c r="O998" t="s">
        <v>2601</v>
      </c>
      <c r="P998" t="s">
        <v>2554</v>
      </c>
      <c r="Q998" t="s">
        <v>2577</v>
      </c>
      <c r="R998" t="s">
        <v>2601</v>
      </c>
      <c r="S998" t="s">
        <v>2606</v>
      </c>
      <c r="T998">
        <v>1</v>
      </c>
      <c r="U998" s="2">
        <v>1148.97</v>
      </c>
      <c r="V998" s="3">
        <v>0.1</v>
      </c>
      <c r="W998" s="2">
        <v>1034.07</v>
      </c>
      <c r="X998" s="2">
        <v>-26.37</v>
      </c>
      <c r="Y998" s="3">
        <v>-2.5501174968812559E-2</v>
      </c>
      <c r="Z998" t="s">
        <v>1493</v>
      </c>
      <c r="AA998" t="s">
        <v>1498</v>
      </c>
      <c r="AB998" t="s">
        <v>1501</v>
      </c>
      <c r="AC998">
        <v>1</v>
      </c>
      <c r="AD998">
        <v>2025</v>
      </c>
      <c r="AE998" t="s">
        <v>2819</v>
      </c>
      <c r="AF998" t="s">
        <v>2843</v>
      </c>
      <c r="AG998" t="s">
        <v>2847</v>
      </c>
      <c r="AH998" t="s">
        <v>2848</v>
      </c>
      <c r="AI998">
        <v>1</v>
      </c>
    </row>
    <row r="999" spans="1:35" x14ac:dyDescent="0.3">
      <c r="A999" t="s">
        <v>962</v>
      </c>
      <c r="B999">
        <v>1</v>
      </c>
      <c r="C999" s="1">
        <v>46021</v>
      </c>
      <c r="D999" s="1">
        <v>46022</v>
      </c>
      <c r="E999" t="s">
        <v>1087</v>
      </c>
      <c r="F999" t="s">
        <v>1665</v>
      </c>
      <c r="G999" t="s">
        <v>1350</v>
      </c>
      <c r="H999" t="s">
        <v>2634</v>
      </c>
      <c r="I999" t="s">
        <v>2737</v>
      </c>
      <c r="J999" t="s">
        <v>2747</v>
      </c>
      <c r="K999" t="s">
        <v>1478</v>
      </c>
      <c r="L999" t="s">
        <v>2782</v>
      </c>
      <c r="M999" t="s">
        <v>2563</v>
      </c>
      <c r="N999" t="s">
        <v>2581</v>
      </c>
      <c r="O999" t="s">
        <v>2604</v>
      </c>
      <c r="P999" t="s">
        <v>2565</v>
      </c>
      <c r="Q999" t="s">
        <v>2583</v>
      </c>
      <c r="R999" t="s">
        <v>2604</v>
      </c>
      <c r="S999" t="s">
        <v>2606</v>
      </c>
      <c r="T999">
        <v>1</v>
      </c>
      <c r="U999" s="2">
        <v>53290.400000000001</v>
      </c>
      <c r="V999" s="3">
        <v>0</v>
      </c>
      <c r="W999" s="2">
        <v>53290.400000000001</v>
      </c>
      <c r="X999" s="2">
        <v>7231.68</v>
      </c>
      <c r="Y999" s="3">
        <v>0.13570324110909279</v>
      </c>
      <c r="Z999" t="s">
        <v>1496</v>
      </c>
      <c r="AA999" t="s">
        <v>1498</v>
      </c>
      <c r="AB999" t="s">
        <v>1501</v>
      </c>
      <c r="AC999">
        <v>1</v>
      </c>
      <c r="AD999">
        <v>2025</v>
      </c>
      <c r="AE999" t="s">
        <v>2819</v>
      </c>
      <c r="AF999" t="s">
        <v>2843</v>
      </c>
      <c r="AG999" t="s">
        <v>2847</v>
      </c>
      <c r="AH999" t="s">
        <v>2848</v>
      </c>
      <c r="AI999">
        <v>1</v>
      </c>
    </row>
    <row r="1000" spans="1:35" x14ac:dyDescent="0.3">
      <c r="A1000" t="s">
        <v>963</v>
      </c>
      <c r="B1000">
        <v>2</v>
      </c>
      <c r="C1000" s="1">
        <v>46022</v>
      </c>
      <c r="D1000" s="1">
        <v>46022</v>
      </c>
      <c r="E1000" t="s">
        <v>1008</v>
      </c>
      <c r="F1000" t="s">
        <v>1884</v>
      </c>
      <c r="G1000" t="s">
        <v>1350</v>
      </c>
      <c r="H1000" t="s">
        <v>2634</v>
      </c>
      <c r="I1000" t="s">
        <v>2737</v>
      </c>
      <c r="J1000" t="s">
        <v>2747</v>
      </c>
      <c r="K1000" t="s">
        <v>1489</v>
      </c>
      <c r="L1000" t="s">
        <v>2787</v>
      </c>
      <c r="M1000" t="s">
        <v>2564</v>
      </c>
      <c r="N1000" t="s">
        <v>2582</v>
      </c>
      <c r="O1000" t="s">
        <v>2601</v>
      </c>
      <c r="P1000" t="s">
        <v>2566</v>
      </c>
      <c r="Q1000" t="s">
        <v>2584</v>
      </c>
      <c r="R1000" t="s">
        <v>2601</v>
      </c>
      <c r="S1000" t="s">
        <v>2606</v>
      </c>
      <c r="T1000">
        <v>1</v>
      </c>
      <c r="U1000" s="2">
        <v>53290.400000000001</v>
      </c>
      <c r="V1000" s="3">
        <v>0</v>
      </c>
      <c r="W1000" s="2">
        <v>53290.400000000001</v>
      </c>
      <c r="X1000" s="2">
        <v>7231.68</v>
      </c>
      <c r="Y1000" s="3">
        <v>0.13570324110909279</v>
      </c>
      <c r="Z1000" t="s">
        <v>1496</v>
      </c>
      <c r="AA1000" t="s">
        <v>1498</v>
      </c>
      <c r="AB1000" t="s">
        <v>1501</v>
      </c>
      <c r="AC1000">
        <v>0</v>
      </c>
      <c r="AD1000">
        <v>2025</v>
      </c>
      <c r="AE1000" t="s">
        <v>2819</v>
      </c>
      <c r="AF1000" t="s">
        <v>2843</v>
      </c>
      <c r="AG1000" t="s">
        <v>2847</v>
      </c>
      <c r="AH1000" t="s">
        <v>2848</v>
      </c>
      <c r="AI1000">
        <v>1</v>
      </c>
    </row>
    <row r="1001" spans="1:35" x14ac:dyDescent="0.3">
      <c r="A1001" t="s">
        <v>964</v>
      </c>
      <c r="B1001">
        <v>1</v>
      </c>
      <c r="C1001" s="1">
        <v>46022</v>
      </c>
      <c r="D1001" s="1">
        <v>46022</v>
      </c>
      <c r="E1001" t="s">
        <v>1252</v>
      </c>
      <c r="F1001" t="s">
        <v>2009</v>
      </c>
      <c r="G1001" t="s">
        <v>1426</v>
      </c>
      <c r="H1001" t="s">
        <v>2661</v>
      </c>
      <c r="I1001" t="s">
        <v>2738</v>
      </c>
      <c r="J1001" t="s">
        <v>2754</v>
      </c>
      <c r="K1001" t="s">
        <v>1488</v>
      </c>
      <c r="L1001" t="s">
        <v>2780</v>
      </c>
      <c r="M1001" t="s">
        <v>2552</v>
      </c>
      <c r="N1001" t="s">
        <v>2575</v>
      </c>
      <c r="O1001" t="s">
        <v>2603</v>
      </c>
      <c r="P1001" t="s">
        <v>2552</v>
      </c>
      <c r="Q1001" t="s">
        <v>2575</v>
      </c>
      <c r="R1001" t="s">
        <v>2603</v>
      </c>
      <c r="S1001" t="s">
        <v>2608</v>
      </c>
      <c r="T1001">
        <v>1</v>
      </c>
      <c r="U1001" s="2">
        <v>33135.4</v>
      </c>
      <c r="V1001" s="3">
        <v>0</v>
      </c>
      <c r="W1001" s="2">
        <v>33135.4</v>
      </c>
      <c r="X1001" s="2">
        <v>8643.2900000000009</v>
      </c>
      <c r="Y1001" s="3">
        <v>0.26084761312674659</v>
      </c>
      <c r="Z1001" t="s">
        <v>1496</v>
      </c>
      <c r="AA1001" t="s">
        <v>1498</v>
      </c>
      <c r="AB1001" t="s">
        <v>1501</v>
      </c>
      <c r="AC1001">
        <v>0</v>
      </c>
      <c r="AD1001">
        <v>2025</v>
      </c>
      <c r="AE1001" t="s">
        <v>2819</v>
      </c>
      <c r="AF1001" t="s">
        <v>2843</v>
      </c>
      <c r="AG1001" t="s">
        <v>2847</v>
      </c>
      <c r="AH1001" t="s">
        <v>2848</v>
      </c>
      <c r="AI1001">
        <v>1</v>
      </c>
    </row>
  </sheetData>
  <autoFilter ref="A1:AI1001" xr:uid="{00000000-0009-0000-0000-000004000000}"/>
  <conditionalFormatting sqref="AH2:AH1001">
    <cfRule type="containsText" dxfId="0" priority="1" operator="containsText" text="CHECK">
      <formula>NOT(ISERROR(SEARCH("CHECK",AH2)))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5"/>
  <sheetViews>
    <sheetView workbookViewId="0"/>
  </sheetViews>
  <sheetFormatPr defaultRowHeight="14.4" x14ac:dyDescent="0.3"/>
  <sheetData>
    <row r="1" spans="1:19" x14ac:dyDescent="0.3">
      <c r="A1" t="s">
        <v>2849</v>
      </c>
      <c r="B1" t="s">
        <v>2849</v>
      </c>
      <c r="C1" t="s">
        <v>2849</v>
      </c>
      <c r="D1" t="s">
        <v>2849</v>
      </c>
      <c r="E1" t="s">
        <v>2849</v>
      </c>
      <c r="G1" t="s">
        <v>2850</v>
      </c>
      <c r="H1" t="s">
        <v>2851</v>
      </c>
      <c r="I1" t="s">
        <v>2852</v>
      </c>
      <c r="J1" t="s">
        <v>2853</v>
      </c>
      <c r="L1" t="s">
        <v>2854</v>
      </c>
      <c r="M1" t="s">
        <v>2855</v>
      </c>
      <c r="O1" t="s">
        <v>2854</v>
      </c>
      <c r="P1" t="s">
        <v>2855</v>
      </c>
      <c r="R1" t="s">
        <v>2854</v>
      </c>
      <c r="S1" t="s">
        <v>2855</v>
      </c>
    </row>
    <row r="2" spans="1:19" x14ac:dyDescent="0.3">
      <c r="A2">
        <v>2024</v>
      </c>
      <c r="B2" t="s">
        <v>2604</v>
      </c>
      <c r="C2" t="s">
        <v>2739</v>
      </c>
      <c r="D2" t="s">
        <v>2606</v>
      </c>
      <c r="E2" t="s">
        <v>1503</v>
      </c>
      <c r="G2" s="1">
        <v>45292</v>
      </c>
      <c r="H2">
        <v>628138.68000000005</v>
      </c>
      <c r="I2">
        <v>92085.23</v>
      </c>
      <c r="J2">
        <v>34</v>
      </c>
      <c r="L2" t="s">
        <v>2739</v>
      </c>
      <c r="M2">
        <v>792866.33</v>
      </c>
      <c r="O2" t="s">
        <v>2604</v>
      </c>
      <c r="P2">
        <v>2429628.9300000002</v>
      </c>
      <c r="R2" t="s">
        <v>1503</v>
      </c>
      <c r="S2">
        <v>47</v>
      </c>
    </row>
    <row r="3" spans="1:19" x14ac:dyDescent="0.3">
      <c r="A3">
        <v>2025</v>
      </c>
      <c r="B3" t="s">
        <v>2603</v>
      </c>
      <c r="C3" t="s">
        <v>2737</v>
      </c>
      <c r="D3" t="s">
        <v>2608</v>
      </c>
      <c r="E3" t="s">
        <v>1501</v>
      </c>
      <c r="G3" s="1">
        <v>45323</v>
      </c>
      <c r="H3">
        <v>879562.69</v>
      </c>
      <c r="I3">
        <v>160428.57</v>
      </c>
      <c r="J3">
        <v>38</v>
      </c>
      <c r="L3" t="s">
        <v>2737</v>
      </c>
      <c r="M3">
        <v>11875026.01</v>
      </c>
      <c r="O3" t="s">
        <v>2603</v>
      </c>
      <c r="P3">
        <v>3290097.88</v>
      </c>
      <c r="R3" t="s">
        <v>1501</v>
      </c>
      <c r="S3">
        <v>857</v>
      </c>
    </row>
    <row r="4" spans="1:19" x14ac:dyDescent="0.3">
      <c r="B4" t="s">
        <v>2790</v>
      </c>
      <c r="C4" t="s">
        <v>2738</v>
      </c>
      <c r="D4" t="s">
        <v>2607</v>
      </c>
      <c r="E4" t="s">
        <v>1502</v>
      </c>
      <c r="G4" s="1">
        <v>45352</v>
      </c>
      <c r="H4">
        <v>993971.76</v>
      </c>
      <c r="I4">
        <v>139522.34</v>
      </c>
      <c r="J4">
        <v>44</v>
      </c>
      <c r="L4" t="s">
        <v>2738</v>
      </c>
      <c r="M4">
        <v>5859053.9299999997</v>
      </c>
      <c r="O4" t="s">
        <v>2790</v>
      </c>
      <c r="P4">
        <v>10716572.23</v>
      </c>
      <c r="R4" t="s">
        <v>1502</v>
      </c>
      <c r="S4">
        <v>45</v>
      </c>
    </row>
    <row r="5" spans="1:19" x14ac:dyDescent="0.3">
      <c r="B5" t="s">
        <v>2601</v>
      </c>
      <c r="C5" t="s">
        <v>2740</v>
      </c>
      <c r="G5" s="1">
        <v>45383</v>
      </c>
      <c r="H5">
        <v>419613.46</v>
      </c>
      <c r="I5">
        <v>75293.84</v>
      </c>
      <c r="J5">
        <v>31</v>
      </c>
      <c r="L5" t="s">
        <v>2740</v>
      </c>
      <c r="M5">
        <v>213622.1</v>
      </c>
      <c r="O5" t="s">
        <v>2601</v>
      </c>
      <c r="P5">
        <v>2201574.5</v>
      </c>
    </row>
    <row r="6" spans="1:19" x14ac:dyDescent="0.3">
      <c r="B6" t="s">
        <v>2602</v>
      </c>
      <c r="C6" t="s">
        <v>2742</v>
      </c>
      <c r="G6" s="1">
        <v>45413</v>
      </c>
      <c r="H6">
        <v>1148042.6100000001</v>
      </c>
      <c r="I6">
        <v>166464.99</v>
      </c>
      <c r="J6">
        <v>48</v>
      </c>
      <c r="L6" t="s">
        <v>2742</v>
      </c>
      <c r="M6">
        <v>2201663.11</v>
      </c>
      <c r="O6" t="s">
        <v>2602</v>
      </c>
      <c r="P6">
        <v>2505489.7000000002</v>
      </c>
    </row>
    <row r="7" spans="1:19" x14ac:dyDescent="0.3">
      <c r="C7" t="s">
        <v>2741</v>
      </c>
      <c r="G7" s="1">
        <v>45444</v>
      </c>
      <c r="H7">
        <v>770614.37</v>
      </c>
      <c r="I7">
        <v>99044.58</v>
      </c>
      <c r="J7">
        <v>33</v>
      </c>
      <c r="L7" t="s">
        <v>2741</v>
      </c>
      <c r="M7">
        <v>201131.76</v>
      </c>
    </row>
    <row r="8" spans="1:19" x14ac:dyDescent="0.3">
      <c r="G8" s="1">
        <v>45474</v>
      </c>
      <c r="H8">
        <v>729079.27</v>
      </c>
      <c r="I8">
        <v>97416.78</v>
      </c>
      <c r="J8">
        <v>33</v>
      </c>
    </row>
    <row r="9" spans="1:19" x14ac:dyDescent="0.3">
      <c r="G9" s="1">
        <v>45505</v>
      </c>
      <c r="H9">
        <v>919432.67999999993</v>
      </c>
      <c r="I9">
        <v>156564.96</v>
      </c>
      <c r="J9">
        <v>35</v>
      </c>
    </row>
    <row r="10" spans="1:19" x14ac:dyDescent="0.3">
      <c r="G10" s="1">
        <v>45536</v>
      </c>
      <c r="H10">
        <v>666061.02</v>
      </c>
      <c r="I10">
        <v>89799.1</v>
      </c>
      <c r="J10">
        <v>40</v>
      </c>
    </row>
    <row r="11" spans="1:19" x14ac:dyDescent="0.3">
      <c r="G11" s="1">
        <v>45566</v>
      </c>
      <c r="H11">
        <v>869980.05999999994</v>
      </c>
      <c r="I11">
        <v>167158.26999999999</v>
      </c>
      <c r="J11">
        <v>57</v>
      </c>
    </row>
    <row r="12" spans="1:19" x14ac:dyDescent="0.3">
      <c r="G12" s="1">
        <v>45597</v>
      </c>
      <c r="H12">
        <v>1267168.3</v>
      </c>
      <c r="I12">
        <v>188743.67999999999</v>
      </c>
      <c r="J12">
        <v>51</v>
      </c>
    </row>
    <row r="13" spans="1:19" x14ac:dyDescent="0.3">
      <c r="G13" s="1">
        <v>45627</v>
      </c>
      <c r="H13">
        <v>1394547.2</v>
      </c>
      <c r="I13">
        <v>185002.2</v>
      </c>
      <c r="J13">
        <v>47</v>
      </c>
    </row>
    <row r="14" spans="1:19" x14ac:dyDescent="0.3">
      <c r="G14" s="1">
        <v>45658</v>
      </c>
      <c r="H14">
        <v>498298.22</v>
      </c>
      <c r="I14">
        <v>98200.25</v>
      </c>
      <c r="J14">
        <v>23</v>
      </c>
    </row>
    <row r="15" spans="1:19" x14ac:dyDescent="0.3">
      <c r="G15" s="1">
        <v>45689</v>
      </c>
      <c r="H15">
        <v>789055.84</v>
      </c>
      <c r="I15">
        <v>117011.99</v>
      </c>
      <c r="J15">
        <v>42</v>
      </c>
    </row>
    <row r="16" spans="1:19" x14ac:dyDescent="0.3">
      <c r="G16" s="1">
        <v>45717</v>
      </c>
      <c r="H16">
        <v>534124.92999999993</v>
      </c>
      <c r="I16">
        <v>99350.84</v>
      </c>
      <c r="J16">
        <v>37</v>
      </c>
    </row>
    <row r="17" spans="7:10" x14ac:dyDescent="0.3">
      <c r="G17" s="1">
        <v>45748</v>
      </c>
      <c r="H17">
        <v>899808.75</v>
      </c>
      <c r="I17">
        <v>133983.25</v>
      </c>
      <c r="J17">
        <v>39</v>
      </c>
    </row>
    <row r="18" spans="7:10" x14ac:dyDescent="0.3">
      <c r="G18" s="1">
        <v>45778</v>
      </c>
      <c r="H18">
        <v>712972.48</v>
      </c>
      <c r="I18">
        <v>115745.4</v>
      </c>
      <c r="J18">
        <v>21</v>
      </c>
    </row>
    <row r="19" spans="7:10" x14ac:dyDescent="0.3">
      <c r="G19" s="1">
        <v>45809</v>
      </c>
      <c r="H19">
        <v>631758.66999999993</v>
      </c>
      <c r="I19">
        <v>79759.899999999994</v>
      </c>
      <c r="J19">
        <v>36</v>
      </c>
    </row>
    <row r="20" spans="7:10" x14ac:dyDescent="0.3">
      <c r="G20" s="1">
        <v>45839</v>
      </c>
      <c r="H20">
        <v>853572.96</v>
      </c>
      <c r="I20">
        <v>108255.63</v>
      </c>
      <c r="J20">
        <v>32</v>
      </c>
    </row>
    <row r="21" spans="7:10" x14ac:dyDescent="0.3">
      <c r="G21" s="1">
        <v>45870</v>
      </c>
      <c r="H21">
        <v>845478.20000000007</v>
      </c>
      <c r="I21">
        <v>66301.259999999995</v>
      </c>
      <c r="J21">
        <v>34</v>
      </c>
    </row>
    <row r="22" spans="7:10" x14ac:dyDescent="0.3">
      <c r="G22" s="1">
        <v>45901</v>
      </c>
      <c r="H22">
        <v>1232830.33</v>
      </c>
      <c r="I22">
        <v>120599.06</v>
      </c>
      <c r="J22">
        <v>36</v>
      </c>
    </row>
    <row r="23" spans="7:10" x14ac:dyDescent="0.3">
      <c r="G23" s="1">
        <v>45931</v>
      </c>
      <c r="H23">
        <v>955750.2</v>
      </c>
      <c r="I23">
        <v>151332.85</v>
      </c>
      <c r="J23">
        <v>47</v>
      </c>
    </row>
    <row r="24" spans="7:10" x14ac:dyDescent="0.3">
      <c r="G24" s="1">
        <v>45962</v>
      </c>
      <c r="H24">
        <v>1093721.08</v>
      </c>
      <c r="I24">
        <v>173005.54</v>
      </c>
      <c r="J24">
        <v>60</v>
      </c>
    </row>
    <row r="25" spans="7:10" x14ac:dyDescent="0.3">
      <c r="G25" s="1">
        <v>45992</v>
      </c>
      <c r="H25">
        <v>1409779.48</v>
      </c>
      <c r="I25">
        <v>215678.44</v>
      </c>
      <c r="J25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S57"/>
  <sheetViews>
    <sheetView showGridLines="0" tabSelected="1" zoomScale="85" zoomScaleNormal="85" workbookViewId="0">
      <selection activeCell="C5" sqref="C5"/>
    </sheetView>
  </sheetViews>
  <sheetFormatPr defaultRowHeight="14.4" x14ac:dyDescent="0.3"/>
  <cols>
    <col min="1" max="1" width="2.6640625" customWidth="1"/>
    <col min="2" max="19" width="12.6640625" customWidth="1"/>
  </cols>
  <sheetData>
    <row r="1" spans="2:19" ht="37.950000000000003" customHeight="1" x14ac:dyDescent="0.3">
      <c r="B1" s="10" t="s">
        <v>2856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2:19" x14ac:dyDescent="0.3">
      <c r="B2" s="11" t="s">
        <v>2857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4" spans="2:19" x14ac:dyDescent="0.3">
      <c r="B4" s="12" t="s">
        <v>2858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 spans="2:19" x14ac:dyDescent="0.3">
      <c r="B5" s="5" t="s">
        <v>2859</v>
      </c>
      <c r="C5" s="6" t="s">
        <v>2849</v>
      </c>
      <c r="E5" s="5" t="s">
        <v>2860</v>
      </c>
      <c r="F5" s="6" t="s">
        <v>2849</v>
      </c>
      <c r="H5" s="5" t="s">
        <v>2861</v>
      </c>
      <c r="I5" s="6" t="s">
        <v>2849</v>
      </c>
      <c r="K5" s="5" t="s">
        <v>2862</v>
      </c>
      <c r="L5" s="6" t="s">
        <v>2849</v>
      </c>
      <c r="N5" s="5" t="s">
        <v>2863</v>
      </c>
      <c r="O5" s="6" t="s">
        <v>2849</v>
      </c>
      <c r="Q5" s="5" t="s">
        <v>2864</v>
      </c>
      <c r="R5" s="7">
        <v>45292</v>
      </c>
    </row>
    <row r="6" spans="2:19" x14ac:dyDescent="0.3">
      <c r="B6" s="5" t="s">
        <v>2866</v>
      </c>
      <c r="C6" s="6" t="s">
        <v>2867</v>
      </c>
      <c r="E6" s="5" t="s">
        <v>2868</v>
      </c>
      <c r="F6" s="6" t="s">
        <v>2849</v>
      </c>
      <c r="H6" s="13" t="s">
        <v>2869</v>
      </c>
      <c r="I6" s="13"/>
      <c r="J6" s="13"/>
      <c r="K6" s="13"/>
      <c r="L6" s="13"/>
      <c r="M6" s="13"/>
      <c r="N6" s="13"/>
      <c r="O6" s="13"/>
      <c r="Q6" s="5" t="s">
        <v>2865</v>
      </c>
      <c r="R6" s="7">
        <v>46022</v>
      </c>
    </row>
    <row r="7" spans="2:19" x14ac:dyDescent="0.3">
      <c r="B7" s="12" t="s">
        <v>2870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</row>
    <row r="8" spans="2:19" x14ac:dyDescent="0.3">
      <c r="B8" s="8" t="s">
        <v>2871</v>
      </c>
      <c r="C8" s="8" t="s">
        <v>2872</v>
      </c>
      <c r="D8" s="8" t="s">
        <v>2873</v>
      </c>
      <c r="E8" s="8" t="s">
        <v>2874</v>
      </c>
      <c r="F8" s="8" t="s">
        <v>2875</v>
      </c>
      <c r="G8" s="8" t="s">
        <v>2876</v>
      </c>
      <c r="H8" s="8" t="s">
        <v>2877</v>
      </c>
      <c r="I8" s="8" t="s">
        <v>2878</v>
      </c>
      <c r="J8" s="8" t="s">
        <v>2879</v>
      </c>
      <c r="K8" s="8" t="s">
        <v>2880</v>
      </c>
      <c r="L8" s="8" t="s">
        <v>2881</v>
      </c>
      <c r="M8" s="8" t="s">
        <v>2882</v>
      </c>
    </row>
    <row r="11" spans="2:19" x14ac:dyDescent="0.3">
      <c r="B11" s="14" t="s">
        <v>2883</v>
      </c>
      <c r="C11" s="14"/>
      <c r="D11" s="14"/>
      <c r="E11" s="14" t="s">
        <v>2884</v>
      </c>
      <c r="F11" s="14"/>
      <c r="G11" s="14"/>
      <c r="H11" s="14" t="s">
        <v>2885</v>
      </c>
      <c r="I11" s="14"/>
      <c r="J11" s="14"/>
      <c r="K11" s="14" t="s">
        <v>2886</v>
      </c>
      <c r="L11" s="14"/>
      <c r="M11" s="14"/>
      <c r="N11" s="14" t="s">
        <v>2887</v>
      </c>
      <c r="O11" s="14"/>
      <c r="P11" s="14"/>
      <c r="Q11" s="14" t="s">
        <v>2888</v>
      </c>
      <c r="R11" s="14"/>
      <c r="S11" s="14"/>
    </row>
    <row r="12" spans="2:19" x14ac:dyDescent="0.3">
      <c r="B12" s="15">
        <f>SUMPRODUCT(((Clean_Model!$C$2:$C$1001&gt;=$R$5)*(Clean_Model!$C$2:$C$1001&lt;=$R$6)*((($C$5="All")+(Clean_Model!$AD$2:$AD$1001=$C$5))&gt;0)*((($F$5="All")+(Clean_Model!$R$2:$R$1001=$F$5))&gt;0)*((($I$5="All")+(Clean_Model!$I$2:$I$1001=$I$5))&gt;0)*((($L$5="All")+(Clean_Model!$S$2:$S$1001=$L$5))&gt;0)*((($O$5="All")+(Clean_Model!$AB$2:$AB$1001=$O$5))&gt;0)*((($F$6="All")+(TEXT(Clean_Model!$C$2:$C$1001,"mmm-yyyy")=$F$6))&gt;0))*Clean_Model!$W$2:$W$1001)</f>
        <v>21143363.240000024</v>
      </c>
      <c r="C12" s="15"/>
      <c r="D12" s="15"/>
      <c r="E12" s="15">
        <f>SUMPRODUCT(((Clean_Model!$C$2:$C$1001&gt;=$R$5)*(Clean_Model!$C$2:$C$1001&lt;=$R$6)*((($C$5="All")+(Clean_Model!$AD$2:$AD$1001=$C$5))&gt;0)*((($F$5="All")+(Clean_Model!$R$2:$R$1001=$F$5))&gt;0)*((($I$5="All")+(Clean_Model!$I$2:$I$1001=$I$5))&gt;0)*((($L$5="All")+(Clean_Model!$S$2:$S$1001=$L$5))&gt;0)*((($O$5="All")+(Clean_Model!$AB$2:$AB$1001=$O$5))&gt;0)*((($F$6="All")+(TEXT(Clean_Model!$C$2:$C$1001,"mmm-yyyy")=$F$6))&gt;0))*Clean_Model!$X$2:$X$1001)</f>
        <v>3096748.9500000058</v>
      </c>
      <c r="F12" s="15"/>
      <c r="G12" s="15"/>
      <c r="H12" s="16">
        <f>SUMPRODUCT(((Clean_Model!$C$2:$C$1001&gt;=$R$5)*(Clean_Model!$C$2:$C$1001&lt;=$R$6)*((($C$5="All")+(Clean_Model!$AD$2:$AD$1001=$C$5))&gt;0)*((($F$5="All")+(Clean_Model!$R$2:$R$1001=$F$5))&gt;0)*((($I$5="All")+(Clean_Model!$I$2:$I$1001=$I$5))&gt;0)*((($L$5="All")+(Clean_Model!$S$2:$S$1001=$L$5))&gt;0)*((($O$5="All")+(Clean_Model!$AB$2:$AB$1001=$O$5))&gt;0)*((($F$6="All")+(TEXT(Clean_Model!$C$2:$C$1001,"mmm-yyyy")=$F$6))&gt;0))*Clean_Model!$AI$2:$AI$1001)</f>
        <v>949</v>
      </c>
      <c r="I12" s="16"/>
      <c r="J12" s="16"/>
      <c r="K12" s="16">
        <f>SUMPRODUCT(((Clean_Model!$C$2:$C$1001&gt;=$R$5)*(Clean_Model!$C$2:$C$1001&lt;=$R$6)*((($C$5="All")+(Clean_Model!$AD$2:$AD$1001=$C$5))&gt;0)*((($F$5="All")+(Clean_Model!$R$2:$R$1001=$F$5))&gt;0)*((($I$5="All")+(Clean_Model!$I$2:$I$1001=$I$5))&gt;0)*((($L$5="All")+(Clean_Model!$S$2:$S$1001=$L$5))&gt;0)*((($O$5="All")+(Clean_Model!$AB$2:$AB$1001=$O$5))&gt;0)*((($F$6="All")+(TEXT(Clean_Model!$C$2:$C$1001,"mmm-yyyy")=$F$6))&gt;0))*Clean_Model!$T$2:$T$1001)</f>
        <v>1383</v>
      </c>
      <c r="L12" s="16"/>
      <c r="M12" s="16"/>
      <c r="N12" s="17">
        <f>IFERROR(SUMPRODUCT(((Clean_Model!$C$2:$C$1001&gt;=$R$5)*(Clean_Model!$C$2:$C$1001&lt;=$R$6)*((($C$5="All")+(Clean_Model!$AD$2:$AD$1001=$C$5))&gt;0)*((($F$5="All")+(Clean_Model!$R$2:$R$1001=$F$5))&gt;0)*((($I$5="All")+(Clean_Model!$I$2:$I$1001=$I$5))&gt;0)*((($L$5="All")+(Clean_Model!$S$2:$S$1001=$L$5))&gt;0)*((($O$5="All")+(Clean_Model!$AB$2:$AB$1001=$O$5))&gt;0)*((($F$6="All")+(TEXT(Clean_Model!$C$2:$C$1001,"mmm-yyyy")=$F$6))&gt;0))*Clean_Model!$X$2:$X$1001)/SUMPRODUCT(((Clean_Model!$C$2:$C$1001&gt;=$R$5)*(Clean_Model!$C$2:$C$1001&lt;=$R$6)*((($C$5="All")+(Clean_Model!$AD$2:$AD$1001=$C$5))&gt;0)*((($F$5="All")+(Clean_Model!$R$2:$R$1001=$F$5))&gt;0)*((($I$5="All")+(Clean_Model!$I$2:$I$1001=$I$5))&gt;0)*((($L$5="All")+(Clean_Model!$S$2:$S$1001=$L$5))&gt;0)*((($O$5="All")+(Clean_Model!$AB$2:$AB$1001=$O$5))&gt;0)*((($F$6="All")+(TEXT(Clean_Model!$C$2:$C$1001,"mmm-yyyy")=$F$6))&gt;0))*Clean_Model!$W$2:$W$1001),0)</f>
        <v>0.14646434982214315</v>
      </c>
      <c r="O12" s="17"/>
      <c r="P12" s="17"/>
      <c r="Q12" s="15">
        <f>IFERROR(SUMPRODUCT(((Clean_Model!$C$2:$C$1001&gt;=$R$5)*(Clean_Model!$C$2:$C$1001&lt;=$R$6)*((($C$5="All")+(Clean_Model!$AD$2:$AD$1001=$C$5))&gt;0)*((($F$5="All")+(Clean_Model!$R$2:$R$1001=$F$5))&gt;0)*((($I$5="All")+(Clean_Model!$I$2:$I$1001=$I$5))&gt;0)*((($L$5="All")+(Clean_Model!$S$2:$S$1001=$L$5))&gt;0)*((($O$5="All")+(Clean_Model!$AB$2:$AB$1001=$O$5))&gt;0)*((($F$6="All")+(TEXT(Clean_Model!$C$2:$C$1001,"mmm-yyyy")=$F$6))&gt;0))*Clean_Model!$W$2:$W$1001)/SUMPRODUCT(((Clean_Model!$C$2:$C$1001&gt;=$R$5)*(Clean_Model!$C$2:$C$1001&lt;=$R$6)*((($C$5="All")+(Clean_Model!$AD$2:$AD$1001=$C$5))&gt;0)*((($F$5="All")+(Clean_Model!$R$2:$R$1001=$F$5))&gt;0)*((($I$5="All")+(Clean_Model!$I$2:$I$1001=$I$5))&gt;0)*((($L$5="All")+(Clean_Model!$S$2:$S$1001=$L$5))&gt;0)*((($O$5="All")+(Clean_Model!$AB$2:$AB$1001=$O$5))&gt;0)*((($F$6="All")+(TEXT(Clean_Model!$C$2:$C$1001,"mmm-yyyy")=$F$6))&gt;0))*Clean_Model!$AI$2:$AI$1001),0)</f>
        <v>22279.624067439436</v>
      </c>
      <c r="R12" s="15"/>
      <c r="S12" s="15"/>
    </row>
    <row r="13" spans="2:19" x14ac:dyDescent="0.3">
      <c r="B13" s="15"/>
      <c r="C13" s="15"/>
      <c r="D13" s="15"/>
      <c r="E13" s="15"/>
      <c r="F13" s="15"/>
      <c r="G13" s="15"/>
      <c r="H13" s="16"/>
      <c r="I13" s="16"/>
      <c r="J13" s="16"/>
      <c r="K13" s="16"/>
      <c r="L13" s="16"/>
      <c r="M13" s="16"/>
      <c r="N13" s="17"/>
      <c r="O13" s="17"/>
      <c r="P13" s="17"/>
      <c r="Q13" s="15"/>
      <c r="R13" s="15"/>
      <c r="S13" s="15"/>
    </row>
    <row r="15" spans="2:19" x14ac:dyDescent="0.3">
      <c r="B15" s="14" t="s">
        <v>2889</v>
      </c>
      <c r="C15" s="14"/>
      <c r="D15" s="14"/>
      <c r="E15" s="14" t="s">
        <v>2890</v>
      </c>
      <c r="F15" s="14"/>
      <c r="G15" s="14"/>
      <c r="H15" s="14" t="s">
        <v>2891</v>
      </c>
      <c r="I15" s="14"/>
      <c r="J15" s="14"/>
      <c r="K15" s="14" t="s">
        <v>2892</v>
      </c>
      <c r="L15" s="14"/>
      <c r="M15" s="14"/>
    </row>
    <row r="16" spans="2:19" x14ac:dyDescent="0.3">
      <c r="B16" s="17">
        <f>IFERROR(SUMPRODUCT(((Clean_Model!$C$2:$C$1001&gt;=$R$5)*(Clean_Model!$C$2:$C$1001&lt;=$R$6)*((($C$5="All")+(Clean_Model!$AD$2:$AD$1001=$C$5))&gt;0)*((($F$5="All")+(Clean_Model!$R$2:$R$1001=$F$5))&gt;0)*((($I$5="All")+(Clean_Model!$I$2:$I$1001=$I$5))&gt;0)*((($L$5="All")+(Clean_Model!$S$2:$S$1001=$L$5))&gt;0)*((($O$5="All")+(Clean_Model!$AB$2:$AB$1001=$O$5))&gt;0)*((($F$6="All")+(TEXT(Clean_Model!$C$2:$C$1001,"mmm-yyyy")=$F$6))&gt;0))*(Clean_Model!$AB$2:$AB$1001="Returned")*Clean_Model!$AI$2:$AI$1001)/SUMPRODUCT(((Clean_Model!$C$2:$C$1001&gt;=$R$5)*(Clean_Model!$C$2:$C$1001&lt;=$R$6)*((($C$5="All")+(Clean_Model!$AD$2:$AD$1001=$C$5))&gt;0)*((($F$5="All")+(Clean_Model!$R$2:$R$1001=$F$5))&gt;0)*((($I$5="All")+(Clean_Model!$I$2:$I$1001=$I$5))&gt;0)*((($L$5="All")+(Clean_Model!$S$2:$S$1001=$L$5))&gt;0)*((($O$5="All")+(Clean_Model!$AB$2:$AB$1001=$O$5))&gt;0)*((($F$6="All")+(TEXT(Clean_Model!$C$2:$C$1001,"mmm-yyyy")=$F$6))&gt;0))*Clean_Model!$AI$2:$AI$1001),0)</f>
        <v>4.7418335089567963E-2</v>
      </c>
      <c r="C16" s="17"/>
      <c r="D16" s="17"/>
      <c r="E16" s="17">
        <f>IFERROR(SUMPRODUCT(((Clean_Model!$C$2:$C$1001&gt;=$R$5)*(Clean_Model!$C$2:$C$1001&lt;=$R$6)*((($C$5="All")+(Clean_Model!$AD$2:$AD$1001=$C$5))&gt;0)*((($F$5="All")+(Clean_Model!$R$2:$R$1001=$F$5))&gt;0)*((($I$5="All")+(Clean_Model!$I$2:$I$1001=$I$5))&gt;0)*((($L$5="All")+(Clean_Model!$S$2:$S$1001=$L$5))&gt;0)*((($O$5="All")+(Clean_Model!$AB$2:$AB$1001=$O$5))&gt;0)*((($F$6="All")+(TEXT(Clean_Model!$C$2:$C$1001,"mmm-yyyy")=$F$6))&gt;0))*(Clean_Model!$AB$2:$AB$1001="Cancelled")*Clean_Model!$AI$2:$AI$1001)/SUMPRODUCT(((Clean_Model!$C$2:$C$1001&gt;=$R$5)*(Clean_Model!$C$2:$C$1001&lt;=$R$6)*((($C$5="All")+(Clean_Model!$AD$2:$AD$1001=$C$5))&gt;0)*((($F$5="All")+(Clean_Model!$R$2:$R$1001=$F$5))&gt;0)*((($I$5="All")+(Clean_Model!$I$2:$I$1001=$I$5))&gt;0)*((($L$5="All")+(Clean_Model!$S$2:$S$1001=$L$5))&gt;0)*((($O$5="All")+(Clean_Model!$AB$2:$AB$1001=$O$5))&gt;0)*((($F$6="All")+(TEXT(Clean_Model!$C$2:$C$1001,"mmm-yyyy")=$F$6))&gt;0))*Clean_Model!$AI$2:$AI$1001),0)</f>
        <v>4.9525816649104319E-2</v>
      </c>
      <c r="F16" s="17"/>
      <c r="G16" s="17"/>
      <c r="H16" s="16">
        <f>IFERROR(SUMPRODUCT(((Clean_Model!$C$2:$C$1001&gt;=$R$5)*(Clean_Model!$C$2:$C$1001&lt;=$R$6)*((($C$5="All")+(Clean_Model!$AD$2:$AD$1001=$C$5))&gt;0)*((($F$5="All")+(Clean_Model!$R$2:$R$1001=$F$5))&gt;0)*((($I$5="All")+(Clean_Model!$I$2:$I$1001=$I$5))&gt;0)*((($L$5="All")+(Clean_Model!$S$2:$S$1001=$L$5))&gt;0)*((($O$5="All")+(Clean_Model!$AB$2:$AB$1001=$O$5))&gt;0)*((($F$6="All")+(TEXT(Clean_Model!$C$2:$C$1001,"mmm-yyyy")=$F$6))&gt;0))*(Clean_Model!$AC$2:$AC$1001&gt;=0)*Clean_Model!$AC$2:$AC$1001)/SUMPRODUCT(((Clean_Model!$C$2:$C$1001&gt;=$R$5)*(Clean_Model!$C$2:$C$1001&lt;=$R$6)*((($C$5="All")+(Clean_Model!$AD$2:$AD$1001=$C$5))&gt;0)*((($F$5="All")+(Clean_Model!$R$2:$R$1001=$F$5))&gt;0)*((($I$5="All")+(Clean_Model!$I$2:$I$1001=$I$5))&gt;0)*((($L$5="All")+(Clean_Model!$S$2:$S$1001=$L$5))&gt;0)*((($O$5="All")+(Clean_Model!$AB$2:$AB$1001=$O$5))&gt;0)*((($F$6="All")+(TEXT(Clean_Model!$C$2:$C$1001,"mmm-yyyy")=$F$6))&gt;0))*(Clean_Model!$AC$2:$AC$1001&gt;=0)),0)</f>
        <v>1.212</v>
      </c>
      <c r="I16" s="16"/>
      <c r="J16" s="16"/>
      <c r="K16" s="16">
        <f>COUNTIF(Clean_Model!$AH$2:$AH$1001,"CHECK")</f>
        <v>0</v>
      </c>
      <c r="L16" s="16"/>
      <c r="M16" s="16"/>
    </row>
    <row r="17" spans="2:13" x14ac:dyDescent="0.3">
      <c r="B17" s="17"/>
      <c r="C17" s="17"/>
      <c r="D17" s="17"/>
      <c r="E17" s="17"/>
      <c r="F17" s="17"/>
      <c r="G17" s="17"/>
      <c r="H17" s="16"/>
      <c r="I17" s="16"/>
      <c r="J17" s="16"/>
      <c r="K17" s="16"/>
      <c r="L17" s="16"/>
      <c r="M17" s="16"/>
    </row>
    <row r="49" spans="2:19" x14ac:dyDescent="0.3">
      <c r="B49" s="12" t="s">
        <v>2893</v>
      </c>
      <c r="C49" s="12"/>
      <c r="D49" s="12"/>
      <c r="E49" s="12"/>
      <c r="F49" s="12"/>
      <c r="G49" s="12"/>
      <c r="H49" s="12"/>
      <c r="I49" s="12"/>
      <c r="J49" s="12" t="s">
        <v>2902</v>
      </c>
      <c r="K49" s="12"/>
      <c r="L49" s="12"/>
      <c r="M49" s="12"/>
      <c r="N49" s="12"/>
      <c r="O49" s="12"/>
      <c r="P49" s="12"/>
      <c r="Q49" s="12"/>
      <c r="R49" s="12"/>
      <c r="S49" s="12"/>
    </row>
    <row r="50" spans="2:19" x14ac:dyDescent="0.3">
      <c r="B50" s="9" t="s">
        <v>2894</v>
      </c>
      <c r="C50" s="13" t="s">
        <v>2895</v>
      </c>
      <c r="D50" s="13"/>
      <c r="E50" s="13"/>
      <c r="F50" s="13"/>
      <c r="G50" s="13"/>
      <c r="H50" s="13"/>
      <c r="I50" s="13"/>
      <c r="J50" s="13" t="s">
        <v>2903</v>
      </c>
      <c r="K50" s="13"/>
      <c r="L50" s="13"/>
      <c r="M50" s="13"/>
      <c r="N50" s="13"/>
      <c r="O50" s="13"/>
      <c r="P50" s="13"/>
      <c r="Q50" s="13"/>
      <c r="R50" s="13"/>
      <c r="S50" s="13"/>
    </row>
    <row r="51" spans="2:19" x14ac:dyDescent="0.3"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 spans="2:19" x14ac:dyDescent="0.3">
      <c r="B52" s="9" t="s">
        <v>2896</v>
      </c>
      <c r="C52" s="13" t="s">
        <v>2897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</row>
    <row r="53" spans="2:19" x14ac:dyDescent="0.3">
      <c r="C53" s="13"/>
      <c r="D53" s="13"/>
      <c r="E53" s="13"/>
      <c r="F53" s="13"/>
      <c r="G53" s="13"/>
      <c r="H53" s="13"/>
      <c r="I53" s="13"/>
    </row>
    <row r="54" spans="2:19" x14ac:dyDescent="0.3">
      <c r="B54" s="9" t="s">
        <v>2898</v>
      </c>
      <c r="C54" s="13" t="s">
        <v>2899</v>
      </c>
      <c r="D54" s="13"/>
      <c r="E54" s="13"/>
      <c r="F54" s="13"/>
      <c r="G54" s="13"/>
      <c r="H54" s="13"/>
      <c r="I54" s="13"/>
    </row>
    <row r="55" spans="2:19" x14ac:dyDescent="0.3">
      <c r="C55" s="13"/>
      <c r="D55" s="13"/>
      <c r="E55" s="13"/>
      <c r="F55" s="13"/>
      <c r="G55" s="13"/>
      <c r="H55" s="13"/>
      <c r="I55" s="13"/>
    </row>
    <row r="56" spans="2:19" x14ac:dyDescent="0.3">
      <c r="B56" s="9" t="s">
        <v>2900</v>
      </c>
      <c r="C56" s="13" t="s">
        <v>2901</v>
      </c>
      <c r="D56" s="13"/>
      <c r="E56" s="13"/>
      <c r="F56" s="13"/>
      <c r="G56" s="13"/>
      <c r="H56" s="13"/>
      <c r="I56" s="13"/>
    </row>
    <row r="57" spans="2:19" x14ac:dyDescent="0.3">
      <c r="C57" s="13"/>
      <c r="D57" s="13"/>
      <c r="E57" s="13"/>
      <c r="F57" s="13"/>
      <c r="G57" s="13"/>
      <c r="H57" s="13"/>
      <c r="I57" s="13"/>
    </row>
  </sheetData>
  <mergeCells count="32">
    <mergeCell ref="C54:I55"/>
    <mergeCell ref="C56:I57"/>
    <mergeCell ref="J49:S49"/>
    <mergeCell ref="J50:S52"/>
    <mergeCell ref="K15:M15"/>
    <mergeCell ref="K16:M17"/>
    <mergeCell ref="B49:I49"/>
    <mergeCell ref="C50:I51"/>
    <mergeCell ref="C52:I53"/>
    <mergeCell ref="B15:D15"/>
    <mergeCell ref="B16:D17"/>
    <mergeCell ref="E15:G15"/>
    <mergeCell ref="E16:G17"/>
    <mergeCell ref="H15:J15"/>
    <mergeCell ref="H16:J17"/>
    <mergeCell ref="K11:M11"/>
    <mergeCell ref="K12:M13"/>
    <mergeCell ref="N11:P11"/>
    <mergeCell ref="N12:P13"/>
    <mergeCell ref="Q11:S11"/>
    <mergeCell ref="Q12:S13"/>
    <mergeCell ref="B11:D11"/>
    <mergeCell ref="B12:D13"/>
    <mergeCell ref="E11:G11"/>
    <mergeCell ref="E12:G13"/>
    <mergeCell ref="H11:J11"/>
    <mergeCell ref="H12:J13"/>
    <mergeCell ref="B1:S1"/>
    <mergeCell ref="B2:S2"/>
    <mergeCell ref="B4:S4"/>
    <mergeCell ref="H6:O6"/>
    <mergeCell ref="B7:S7"/>
  </mergeCells>
  <dataValidations count="3">
    <dataValidation type="date" allowBlank="1" showInputMessage="1" showErrorMessage="1" sqref="R5:R6" xr:uid="{00000000-0002-0000-0600-000005000000}">
      <formula1>45292</formula1>
      <formula2>46022</formula2>
    </dataValidation>
    <dataValidation type="list" allowBlank="1" showInputMessage="1" showErrorMessage="1" sqref="C6" xr:uid="{00000000-0002-0000-0600-000007000000}">
      <formula1>"Full Period,Last 90 Days,Last 180 Days,Last 365 Days"</formula1>
    </dataValidation>
    <dataValidation type="list" allowBlank="1" showInputMessage="1" showErrorMessage="1" sqref="F6" xr:uid="{00000000-0002-0000-0600-000008000000}">
      <formula1>"All,Jan-2024,Feb-2024,Mar-2024,Apr-2024,May-2024,Jun-2024,Jul-2024,Aug-2024,Sep-2024,Oct-2024,Nov-2024,Dec-2024,Jan-2025,Feb-2025,Mar-2025,Apr-2025,May-2025,Jun-2025,Jul-2025,Aug-2025,Sep-2025,Oct-2025,Nov-2025,Dec-2025"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600-000000000000}">
          <x14:formula1>
            <xm:f>Dashboard_Data!$A$1:$A$3</xm:f>
          </x14:formula1>
          <xm:sqref>C5</xm:sqref>
        </x14:dataValidation>
        <x14:dataValidation type="list" allowBlank="1" showInputMessage="1" showErrorMessage="1" xr:uid="{00000000-0002-0000-0600-000001000000}">
          <x14:formula1>
            <xm:f>Dashboard_Data!$B$1:$B$6</xm:f>
          </x14:formula1>
          <xm:sqref>F5</xm:sqref>
        </x14:dataValidation>
        <x14:dataValidation type="list" allowBlank="1" showInputMessage="1" showErrorMessage="1" xr:uid="{00000000-0002-0000-0600-000002000000}">
          <x14:formula1>
            <xm:f>Dashboard_Data!$C$1:$C$7</xm:f>
          </x14:formula1>
          <xm:sqref>I5</xm:sqref>
        </x14:dataValidation>
        <x14:dataValidation type="list" allowBlank="1" showInputMessage="1" showErrorMessage="1" xr:uid="{00000000-0002-0000-0600-000003000000}">
          <x14:formula1>
            <xm:f>Dashboard_Data!$D$1:$D$4</xm:f>
          </x14:formula1>
          <xm:sqref>L5</xm:sqref>
        </x14:dataValidation>
        <x14:dataValidation type="list" allowBlank="1" showInputMessage="1" showErrorMessage="1" xr:uid="{00000000-0002-0000-0600-000004000000}">
          <x14:formula1>
            <xm:f>Dashboard_Data!$E$1:$E$4</xm:f>
          </x14:formula1>
          <xm:sqref>O5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0"/>
  <sheetViews>
    <sheetView showGridLines="0" workbookViewId="0"/>
  </sheetViews>
  <sheetFormatPr defaultRowHeight="14.4" x14ac:dyDescent="0.3"/>
  <cols>
    <col min="1" max="10" width="18.6640625" customWidth="1"/>
  </cols>
  <sheetData>
    <row r="1" spans="1:10" ht="28.8" x14ac:dyDescent="0.3">
      <c r="A1" s="10" t="s">
        <v>2904</v>
      </c>
      <c r="B1" s="10"/>
      <c r="C1" s="10"/>
      <c r="D1" s="10"/>
      <c r="E1" s="10"/>
      <c r="F1" s="10"/>
      <c r="G1" s="10"/>
      <c r="H1" s="10"/>
      <c r="I1" s="10"/>
      <c r="J1" s="10"/>
    </row>
    <row r="4" spans="1:10" x14ac:dyDescent="0.3">
      <c r="A4" s="4" t="s">
        <v>2905</v>
      </c>
      <c r="G4" s="4" t="s">
        <v>2906</v>
      </c>
    </row>
    <row r="5" spans="1:10" x14ac:dyDescent="0.3">
      <c r="A5" t="s">
        <v>3</v>
      </c>
      <c r="B5" t="s">
        <v>2851</v>
      </c>
      <c r="C5" t="s">
        <v>2852</v>
      </c>
      <c r="D5" t="s">
        <v>2853</v>
      </c>
      <c r="G5" t="s">
        <v>2610</v>
      </c>
      <c r="H5" t="s">
        <v>2851</v>
      </c>
      <c r="I5" t="s">
        <v>2852</v>
      </c>
      <c r="J5" t="s">
        <v>2907</v>
      </c>
    </row>
    <row r="6" spans="1:10" x14ac:dyDescent="0.3">
      <c r="A6" t="s">
        <v>2820</v>
      </c>
      <c r="B6">
        <v>628138.68000000005</v>
      </c>
      <c r="C6">
        <v>92085.23</v>
      </c>
      <c r="D6">
        <v>34</v>
      </c>
      <c r="G6" t="s">
        <v>2737</v>
      </c>
      <c r="H6">
        <v>11875026.01</v>
      </c>
      <c r="I6">
        <v>1249915.98</v>
      </c>
      <c r="J6">
        <v>286</v>
      </c>
    </row>
    <row r="7" spans="1:10" x14ac:dyDescent="0.3">
      <c r="A7" t="s">
        <v>2821</v>
      </c>
      <c r="B7">
        <v>879562.69</v>
      </c>
      <c r="C7">
        <v>160428.57</v>
      </c>
      <c r="D7">
        <v>38</v>
      </c>
      <c r="G7" t="s">
        <v>2738</v>
      </c>
      <c r="H7">
        <v>5859053.9299999997</v>
      </c>
      <c r="I7">
        <v>1133968.5</v>
      </c>
      <c r="J7">
        <v>229</v>
      </c>
    </row>
    <row r="8" spans="1:10" x14ac:dyDescent="0.3">
      <c r="A8" t="s">
        <v>2822</v>
      </c>
      <c r="B8">
        <v>993971.76</v>
      </c>
      <c r="C8">
        <v>139522.34</v>
      </c>
      <c r="D8">
        <v>44</v>
      </c>
      <c r="G8" t="s">
        <v>2742</v>
      </c>
      <c r="H8">
        <v>2201663.11</v>
      </c>
      <c r="I8">
        <v>393973.03</v>
      </c>
      <c r="J8">
        <v>156</v>
      </c>
    </row>
    <row r="9" spans="1:10" x14ac:dyDescent="0.3">
      <c r="A9" t="s">
        <v>2823</v>
      </c>
      <c r="B9">
        <v>419613.46</v>
      </c>
      <c r="C9">
        <v>75293.84</v>
      </c>
      <c r="D9">
        <v>31</v>
      </c>
      <c r="G9" t="s">
        <v>2739</v>
      </c>
      <c r="H9">
        <v>792866.33</v>
      </c>
      <c r="I9">
        <v>244534.64</v>
      </c>
      <c r="J9">
        <v>271</v>
      </c>
    </row>
    <row r="10" spans="1:10" x14ac:dyDescent="0.3">
      <c r="A10" t="s">
        <v>2824</v>
      </c>
      <c r="B10">
        <v>1148042.6100000001</v>
      </c>
      <c r="C10">
        <v>166464.99</v>
      </c>
      <c r="D10">
        <v>48</v>
      </c>
      <c r="G10" t="s">
        <v>2740</v>
      </c>
      <c r="H10">
        <v>213622.1</v>
      </c>
      <c r="I10">
        <v>14470.35</v>
      </c>
      <c r="J10">
        <v>224</v>
      </c>
    </row>
    <row r="11" spans="1:10" x14ac:dyDescent="0.3">
      <c r="A11" t="s">
        <v>2825</v>
      </c>
      <c r="B11">
        <v>770614.37</v>
      </c>
      <c r="C11">
        <v>99044.58</v>
      </c>
      <c r="D11">
        <v>33</v>
      </c>
      <c r="G11" t="s">
        <v>2741</v>
      </c>
      <c r="H11">
        <v>201131.76</v>
      </c>
      <c r="I11">
        <v>59886.45</v>
      </c>
      <c r="J11">
        <v>217</v>
      </c>
    </row>
    <row r="12" spans="1:10" x14ac:dyDescent="0.3">
      <c r="A12" t="s">
        <v>2826</v>
      </c>
      <c r="B12">
        <v>729079.27</v>
      </c>
      <c r="C12">
        <v>97416.78</v>
      </c>
      <c r="D12">
        <v>33</v>
      </c>
    </row>
    <row r="13" spans="1:10" x14ac:dyDescent="0.3">
      <c r="A13" t="s">
        <v>2827</v>
      </c>
      <c r="B13">
        <v>919432.67999999993</v>
      </c>
      <c r="C13">
        <v>156564.96</v>
      </c>
      <c r="D13">
        <v>35</v>
      </c>
    </row>
    <row r="14" spans="1:10" x14ac:dyDescent="0.3">
      <c r="A14" t="s">
        <v>2828</v>
      </c>
      <c r="B14">
        <v>666061.02</v>
      </c>
      <c r="C14">
        <v>89799.1</v>
      </c>
      <c r="D14">
        <v>40</v>
      </c>
    </row>
    <row r="15" spans="1:10" x14ac:dyDescent="0.3">
      <c r="A15" t="s">
        <v>2829</v>
      </c>
      <c r="B15">
        <v>869980.05999999994</v>
      </c>
      <c r="C15">
        <v>167158.26999999999</v>
      </c>
      <c r="D15">
        <v>57</v>
      </c>
    </row>
    <row r="16" spans="1:10" x14ac:dyDescent="0.3">
      <c r="A16" t="s">
        <v>2830</v>
      </c>
      <c r="B16">
        <v>1267168.3</v>
      </c>
      <c r="C16">
        <v>188743.67999999999</v>
      </c>
      <c r="D16">
        <v>51</v>
      </c>
    </row>
    <row r="17" spans="1:4" x14ac:dyDescent="0.3">
      <c r="A17" t="s">
        <v>2831</v>
      </c>
      <c r="B17">
        <v>1394547.2</v>
      </c>
      <c r="C17">
        <v>185002.2</v>
      </c>
      <c r="D17">
        <v>47</v>
      </c>
    </row>
    <row r="18" spans="1:4" x14ac:dyDescent="0.3">
      <c r="A18" t="s">
        <v>2832</v>
      </c>
      <c r="B18">
        <v>498298.22</v>
      </c>
      <c r="C18">
        <v>98200.25</v>
      </c>
      <c r="D18">
        <v>23</v>
      </c>
    </row>
    <row r="19" spans="1:4" x14ac:dyDescent="0.3">
      <c r="A19" t="s">
        <v>2833</v>
      </c>
      <c r="B19">
        <v>789055.84</v>
      </c>
      <c r="C19">
        <v>117011.99</v>
      </c>
      <c r="D19">
        <v>42</v>
      </c>
    </row>
    <row r="20" spans="1:4" x14ac:dyDescent="0.3">
      <c r="A20" t="s">
        <v>2834</v>
      </c>
      <c r="B20">
        <v>534124.92999999993</v>
      </c>
      <c r="C20">
        <v>99350.84</v>
      </c>
      <c r="D20">
        <v>37</v>
      </c>
    </row>
    <row r="21" spans="1:4" x14ac:dyDescent="0.3">
      <c r="A21" t="s">
        <v>2835</v>
      </c>
      <c r="B21">
        <v>899808.75</v>
      </c>
      <c r="C21">
        <v>133983.25</v>
      </c>
      <c r="D21">
        <v>39</v>
      </c>
    </row>
    <row r="22" spans="1:4" x14ac:dyDescent="0.3">
      <c r="A22" t="s">
        <v>2836</v>
      </c>
      <c r="B22">
        <v>712972.48</v>
      </c>
      <c r="C22">
        <v>115745.4</v>
      </c>
      <c r="D22">
        <v>21</v>
      </c>
    </row>
    <row r="23" spans="1:4" x14ac:dyDescent="0.3">
      <c r="A23" t="s">
        <v>2837</v>
      </c>
      <c r="B23">
        <v>631758.66999999993</v>
      </c>
      <c r="C23">
        <v>79759.899999999994</v>
      </c>
      <c r="D23">
        <v>36</v>
      </c>
    </row>
    <row r="24" spans="1:4" x14ac:dyDescent="0.3">
      <c r="A24" t="s">
        <v>2838</v>
      </c>
      <c r="B24">
        <v>853572.96</v>
      </c>
      <c r="C24">
        <v>108255.63</v>
      </c>
      <c r="D24">
        <v>32</v>
      </c>
    </row>
    <row r="25" spans="1:4" x14ac:dyDescent="0.3">
      <c r="A25" t="s">
        <v>2839</v>
      </c>
      <c r="B25">
        <v>845478.20000000007</v>
      </c>
      <c r="C25">
        <v>66301.259999999995</v>
      </c>
      <c r="D25">
        <v>34</v>
      </c>
    </row>
    <row r="26" spans="1:4" x14ac:dyDescent="0.3">
      <c r="A26" s="4" t="s">
        <v>2908</v>
      </c>
      <c r="B26">
        <v>1232830.33</v>
      </c>
      <c r="C26">
        <v>120599.06</v>
      </c>
      <c r="D26">
        <v>36</v>
      </c>
    </row>
    <row r="27" spans="1:4" x14ac:dyDescent="0.3">
      <c r="A27" t="s">
        <v>2841</v>
      </c>
      <c r="B27">
        <v>955750.2</v>
      </c>
      <c r="C27">
        <v>151332.85</v>
      </c>
      <c r="D27">
        <v>47</v>
      </c>
    </row>
    <row r="28" spans="1:4" x14ac:dyDescent="0.3">
      <c r="A28" t="s">
        <v>2842</v>
      </c>
      <c r="B28">
        <v>1093721.08</v>
      </c>
      <c r="C28">
        <v>173005.54</v>
      </c>
      <c r="D28">
        <v>60</v>
      </c>
    </row>
    <row r="29" spans="1:4" x14ac:dyDescent="0.3">
      <c r="A29" t="s">
        <v>2843</v>
      </c>
      <c r="B29">
        <v>1409779.48</v>
      </c>
      <c r="C29">
        <v>215678.44</v>
      </c>
      <c r="D29">
        <v>51</v>
      </c>
    </row>
    <row r="36" spans="1:10" x14ac:dyDescent="0.3">
      <c r="A36" s="4" t="s">
        <v>2908</v>
      </c>
      <c r="G36" s="4" t="s">
        <v>2909</v>
      </c>
    </row>
    <row r="37" spans="1:10" x14ac:dyDescent="0.3">
      <c r="A37" t="s">
        <v>2797</v>
      </c>
      <c r="B37" t="s">
        <v>2851</v>
      </c>
      <c r="C37" t="s">
        <v>2852</v>
      </c>
      <c r="D37" t="s">
        <v>2853</v>
      </c>
      <c r="G37" t="s">
        <v>1511</v>
      </c>
      <c r="H37" t="s">
        <v>2851</v>
      </c>
      <c r="I37" t="s">
        <v>2852</v>
      </c>
      <c r="J37" t="s">
        <v>2853</v>
      </c>
    </row>
    <row r="38" spans="1:10" x14ac:dyDescent="0.3">
      <c r="A38" t="s">
        <v>2790</v>
      </c>
      <c r="B38">
        <v>10716572.23</v>
      </c>
      <c r="C38">
        <v>1538481.31</v>
      </c>
      <c r="D38">
        <v>480</v>
      </c>
      <c r="G38" t="s">
        <v>2606</v>
      </c>
      <c r="H38">
        <v>11393021.529999999</v>
      </c>
      <c r="I38">
        <v>1650455.95</v>
      </c>
      <c r="J38">
        <v>516</v>
      </c>
    </row>
    <row r="39" spans="1:10" x14ac:dyDescent="0.3">
      <c r="A39" t="s">
        <v>2603</v>
      </c>
      <c r="B39">
        <v>3290097.88</v>
      </c>
      <c r="C39">
        <v>476006.5</v>
      </c>
      <c r="D39">
        <v>115</v>
      </c>
      <c r="G39" t="s">
        <v>2608</v>
      </c>
      <c r="H39">
        <v>7095977.9399999985</v>
      </c>
      <c r="I39">
        <v>1005490.26</v>
      </c>
      <c r="J39">
        <v>292</v>
      </c>
    </row>
    <row r="40" spans="1:10" x14ac:dyDescent="0.3">
      <c r="A40" t="s">
        <v>2602</v>
      </c>
      <c r="B40">
        <v>2505489.7000000002</v>
      </c>
      <c r="C40">
        <v>390355.9</v>
      </c>
      <c r="D40">
        <v>119</v>
      </c>
      <c r="G40" t="s">
        <v>2607</v>
      </c>
      <c r="H40">
        <v>2654363.77</v>
      </c>
      <c r="I40">
        <v>440802.74</v>
      </c>
      <c r="J40">
        <v>141</v>
      </c>
    </row>
    <row r="41" spans="1:10" x14ac:dyDescent="0.3">
      <c r="A41" t="s">
        <v>2604</v>
      </c>
      <c r="B41">
        <v>2429628.9300000002</v>
      </c>
      <c r="C41">
        <v>357369.81</v>
      </c>
      <c r="D41">
        <v>110</v>
      </c>
    </row>
    <row r="42" spans="1:10" x14ac:dyDescent="0.3">
      <c r="A42" t="s">
        <v>2601</v>
      </c>
      <c r="B42">
        <v>2201574.5</v>
      </c>
      <c r="C42">
        <v>334535.43</v>
      </c>
      <c r="D42">
        <v>125</v>
      </c>
    </row>
    <row r="46" spans="1:10" x14ac:dyDescent="0.3">
      <c r="A46" s="4" t="s">
        <v>2910</v>
      </c>
      <c r="G46" s="4" t="s">
        <v>2911</v>
      </c>
    </row>
    <row r="47" spans="1:10" x14ac:dyDescent="0.3">
      <c r="A47" t="s">
        <v>15</v>
      </c>
      <c r="B47" t="s">
        <v>2851</v>
      </c>
      <c r="C47" t="s">
        <v>2853</v>
      </c>
      <c r="G47" t="s">
        <v>2799</v>
      </c>
      <c r="H47" t="s">
        <v>2851</v>
      </c>
      <c r="I47" t="s">
        <v>2853</v>
      </c>
    </row>
    <row r="48" spans="1:10" x14ac:dyDescent="0.3">
      <c r="A48" t="s">
        <v>1501</v>
      </c>
      <c r="B48">
        <v>19375686.059999999</v>
      </c>
      <c r="C48">
        <v>857</v>
      </c>
      <c r="G48" t="s">
        <v>1496</v>
      </c>
      <c r="H48">
        <v>8464954.7899999991</v>
      </c>
      <c r="I48">
        <v>367</v>
      </c>
    </row>
    <row r="49" spans="1:12" x14ac:dyDescent="0.3">
      <c r="A49" t="s">
        <v>1503</v>
      </c>
      <c r="B49">
        <v>1002767.62</v>
      </c>
      <c r="C49">
        <v>47</v>
      </c>
      <c r="G49" t="s">
        <v>1494</v>
      </c>
      <c r="H49">
        <v>4200490.7300000004</v>
      </c>
      <c r="I49">
        <v>187</v>
      </c>
    </row>
    <row r="50" spans="1:12" x14ac:dyDescent="0.3">
      <c r="A50" t="s">
        <v>1502</v>
      </c>
      <c r="B50">
        <v>764909.56</v>
      </c>
      <c r="C50">
        <v>45</v>
      </c>
      <c r="G50" t="s">
        <v>1495</v>
      </c>
      <c r="H50">
        <v>4189191.15</v>
      </c>
      <c r="I50">
        <v>188</v>
      </c>
    </row>
    <row r="51" spans="1:12" x14ac:dyDescent="0.3">
      <c r="G51" t="s">
        <v>1497</v>
      </c>
      <c r="H51">
        <v>2330835.37</v>
      </c>
      <c r="I51">
        <v>112</v>
      </c>
    </row>
    <row r="52" spans="1:12" x14ac:dyDescent="0.3">
      <c r="G52" t="s">
        <v>1493</v>
      </c>
      <c r="H52">
        <v>1782778.63</v>
      </c>
      <c r="I52">
        <v>84</v>
      </c>
    </row>
    <row r="53" spans="1:12" x14ac:dyDescent="0.3">
      <c r="G53" t="s">
        <v>2807</v>
      </c>
      <c r="H53">
        <v>175112.57</v>
      </c>
      <c r="I53">
        <v>11</v>
      </c>
    </row>
    <row r="54" spans="1:12" x14ac:dyDescent="0.3">
      <c r="A54" s="4" t="s">
        <v>2912</v>
      </c>
      <c r="G54" s="4" t="s">
        <v>2913</v>
      </c>
    </row>
    <row r="55" spans="1:12" x14ac:dyDescent="0.3">
      <c r="A55" t="s">
        <v>6</v>
      </c>
      <c r="B55" t="s">
        <v>2609</v>
      </c>
      <c r="C55" t="s">
        <v>2851</v>
      </c>
      <c r="D55" t="s">
        <v>2852</v>
      </c>
      <c r="E55" t="s">
        <v>2907</v>
      </c>
      <c r="G55" t="s">
        <v>7</v>
      </c>
      <c r="H55" t="s">
        <v>2773</v>
      </c>
      <c r="I55" t="s">
        <v>2774</v>
      </c>
      <c r="J55" t="s">
        <v>2851</v>
      </c>
      <c r="K55" t="s">
        <v>2852</v>
      </c>
      <c r="L55" t="s">
        <v>2853</v>
      </c>
    </row>
    <row r="56" spans="1:12" x14ac:dyDescent="0.3">
      <c r="A56" t="s">
        <v>1405</v>
      </c>
      <c r="B56" t="s">
        <v>2639</v>
      </c>
      <c r="C56">
        <v>1060453.0900000001</v>
      </c>
      <c r="D56">
        <v>102229.32</v>
      </c>
      <c r="E56">
        <v>19</v>
      </c>
      <c r="G56" t="s">
        <v>1480</v>
      </c>
      <c r="H56" t="s">
        <v>2789</v>
      </c>
      <c r="I56" t="s">
        <v>2790</v>
      </c>
      <c r="J56">
        <v>10716572.23</v>
      </c>
      <c r="K56">
        <v>1538481.31</v>
      </c>
      <c r="L56">
        <v>480</v>
      </c>
    </row>
    <row r="57" spans="1:12" x14ac:dyDescent="0.3">
      <c r="A57" t="s">
        <v>1435</v>
      </c>
      <c r="B57" t="s">
        <v>2633</v>
      </c>
      <c r="C57">
        <v>915587.27</v>
      </c>
      <c r="D57">
        <v>109900.07</v>
      </c>
      <c r="E57">
        <v>15</v>
      </c>
      <c r="G57" t="s">
        <v>1481</v>
      </c>
      <c r="H57" t="s">
        <v>2777</v>
      </c>
      <c r="I57" t="s">
        <v>2791</v>
      </c>
      <c r="J57">
        <v>969803.67999999993</v>
      </c>
      <c r="K57">
        <v>152320.65</v>
      </c>
      <c r="L57">
        <v>40</v>
      </c>
    </row>
    <row r="58" spans="1:12" x14ac:dyDescent="0.3">
      <c r="A58" t="s">
        <v>1350</v>
      </c>
      <c r="B58" t="s">
        <v>2634</v>
      </c>
      <c r="C58">
        <v>724749.44000000006</v>
      </c>
      <c r="D58">
        <v>79927.360000000001</v>
      </c>
      <c r="E58">
        <v>14</v>
      </c>
      <c r="G58" t="s">
        <v>1483</v>
      </c>
      <c r="H58" t="s">
        <v>2781</v>
      </c>
      <c r="I58" t="s">
        <v>2791</v>
      </c>
      <c r="J58">
        <v>950405.88</v>
      </c>
      <c r="K58">
        <v>114080.58</v>
      </c>
      <c r="L58">
        <v>34</v>
      </c>
    </row>
    <row r="59" spans="1:12" x14ac:dyDescent="0.3">
      <c r="A59" t="s">
        <v>1438</v>
      </c>
      <c r="B59" t="s">
        <v>2621</v>
      </c>
      <c r="C59">
        <v>720120.12</v>
      </c>
      <c r="D59">
        <v>32972.620000000003</v>
      </c>
      <c r="E59">
        <v>10</v>
      </c>
      <c r="G59" t="s">
        <v>1490</v>
      </c>
      <c r="H59" t="s">
        <v>2784</v>
      </c>
      <c r="I59" t="s">
        <v>2791</v>
      </c>
      <c r="J59">
        <v>945908.26</v>
      </c>
      <c r="K59">
        <v>154121.87</v>
      </c>
      <c r="L59">
        <v>40</v>
      </c>
    </row>
    <row r="60" spans="1:12" x14ac:dyDescent="0.3">
      <c r="A60" t="s">
        <v>1401</v>
      </c>
      <c r="B60" t="s">
        <v>2618</v>
      </c>
      <c r="C60">
        <v>697336.72</v>
      </c>
      <c r="D60">
        <v>95760.22</v>
      </c>
      <c r="E60">
        <v>14</v>
      </c>
      <c r="G60" t="s">
        <v>1488</v>
      </c>
      <c r="H60" t="s">
        <v>2780</v>
      </c>
      <c r="I60" t="s">
        <v>2791</v>
      </c>
      <c r="J60">
        <v>932706.39</v>
      </c>
      <c r="K60">
        <v>138121.38</v>
      </c>
      <c r="L60">
        <v>26</v>
      </c>
    </row>
    <row r="61" spans="1:12" x14ac:dyDescent="0.3">
      <c r="A61" t="s">
        <v>1437</v>
      </c>
      <c r="B61" t="s">
        <v>2629</v>
      </c>
      <c r="C61">
        <v>694056.51</v>
      </c>
      <c r="D61">
        <v>83524.899999999994</v>
      </c>
      <c r="E61">
        <v>13</v>
      </c>
      <c r="G61" t="s">
        <v>1478</v>
      </c>
      <c r="H61" t="s">
        <v>2782</v>
      </c>
      <c r="I61" t="s">
        <v>2791</v>
      </c>
      <c r="J61">
        <v>818159.53</v>
      </c>
      <c r="K61">
        <v>114797.17</v>
      </c>
      <c r="L61">
        <v>36</v>
      </c>
    </row>
    <row r="62" spans="1:12" x14ac:dyDescent="0.3">
      <c r="A62" t="s">
        <v>1404</v>
      </c>
      <c r="B62" t="s">
        <v>2643</v>
      </c>
      <c r="C62">
        <v>686157.42999999993</v>
      </c>
      <c r="D62">
        <v>102807.7</v>
      </c>
      <c r="E62">
        <v>17</v>
      </c>
      <c r="G62" t="s">
        <v>1486</v>
      </c>
      <c r="H62" t="s">
        <v>2776</v>
      </c>
      <c r="I62" t="s">
        <v>2791</v>
      </c>
      <c r="J62">
        <v>773384.58</v>
      </c>
      <c r="K62">
        <v>114424.39</v>
      </c>
      <c r="L62">
        <v>40</v>
      </c>
    </row>
    <row r="63" spans="1:12" x14ac:dyDescent="0.3">
      <c r="A63" t="s">
        <v>1354</v>
      </c>
      <c r="B63" t="s">
        <v>2652</v>
      </c>
      <c r="C63">
        <v>620899.55999999994</v>
      </c>
      <c r="D63">
        <v>163101.24</v>
      </c>
      <c r="E63">
        <v>14</v>
      </c>
      <c r="G63" t="s">
        <v>1485</v>
      </c>
      <c r="H63" t="s">
        <v>2775</v>
      </c>
      <c r="I63" t="s">
        <v>2791</v>
      </c>
      <c r="J63">
        <v>762301.43999999994</v>
      </c>
      <c r="K63">
        <v>123610.86</v>
      </c>
      <c r="L63">
        <v>39</v>
      </c>
    </row>
    <row r="64" spans="1:12" x14ac:dyDescent="0.3">
      <c r="A64" t="s">
        <v>1412</v>
      </c>
      <c r="B64" t="s">
        <v>2615</v>
      </c>
      <c r="C64">
        <v>620681.69999999995</v>
      </c>
      <c r="D64">
        <v>93602.819999999992</v>
      </c>
      <c r="E64">
        <v>8</v>
      </c>
      <c r="G64" t="s">
        <v>1492</v>
      </c>
      <c r="H64" t="s">
        <v>2788</v>
      </c>
      <c r="I64" t="s">
        <v>2791</v>
      </c>
      <c r="J64">
        <v>753854.44</v>
      </c>
      <c r="K64">
        <v>109219.97</v>
      </c>
      <c r="L64">
        <v>35</v>
      </c>
    </row>
    <row r="65" spans="1:12" x14ac:dyDescent="0.3">
      <c r="A65" t="s">
        <v>1452</v>
      </c>
      <c r="B65" t="s">
        <v>2616</v>
      </c>
      <c r="C65">
        <v>567732.74</v>
      </c>
      <c r="D65">
        <v>59748.66</v>
      </c>
      <c r="E65">
        <v>8</v>
      </c>
      <c r="G65" t="s">
        <v>1491</v>
      </c>
      <c r="H65" t="s">
        <v>2779</v>
      </c>
      <c r="I65" t="s">
        <v>2791</v>
      </c>
      <c r="J65">
        <v>737911.2</v>
      </c>
      <c r="K65">
        <v>123216.49</v>
      </c>
      <c r="L65">
        <v>25</v>
      </c>
    </row>
    <row r="66" spans="1:12" x14ac:dyDescent="0.3">
      <c r="G66" t="s">
        <v>1484</v>
      </c>
      <c r="H66" t="s">
        <v>2778</v>
      </c>
      <c r="I66" t="s">
        <v>2791</v>
      </c>
      <c r="J66">
        <v>669074.41</v>
      </c>
      <c r="K66">
        <v>100588.05</v>
      </c>
      <c r="L66">
        <v>30</v>
      </c>
    </row>
    <row r="67" spans="1:12" x14ac:dyDescent="0.3">
      <c r="G67" t="s">
        <v>1482</v>
      </c>
      <c r="H67" t="s">
        <v>2783</v>
      </c>
      <c r="I67" t="s">
        <v>2791</v>
      </c>
      <c r="J67">
        <v>665561.14</v>
      </c>
      <c r="K67">
        <v>88450.77</v>
      </c>
      <c r="L67">
        <v>34</v>
      </c>
    </row>
    <row r="68" spans="1:12" x14ac:dyDescent="0.3">
      <c r="G68" t="s">
        <v>1487</v>
      </c>
      <c r="H68" t="s">
        <v>2785</v>
      </c>
      <c r="I68" t="s">
        <v>2791</v>
      </c>
      <c r="J68">
        <v>542110.61</v>
      </c>
      <c r="K68">
        <v>76634.850000000006</v>
      </c>
      <c r="L68">
        <v>29</v>
      </c>
    </row>
    <row r="69" spans="1:12" x14ac:dyDescent="0.3">
      <c r="G69" t="s">
        <v>1489</v>
      </c>
      <c r="H69" t="s">
        <v>2787</v>
      </c>
      <c r="I69" t="s">
        <v>2791</v>
      </c>
      <c r="J69">
        <v>516259.11</v>
      </c>
      <c r="K69">
        <v>77086.58</v>
      </c>
      <c r="L69">
        <v>30</v>
      </c>
    </row>
    <row r="70" spans="1:12" x14ac:dyDescent="0.3">
      <c r="G70" t="s">
        <v>1479</v>
      </c>
      <c r="H70" t="s">
        <v>2786</v>
      </c>
      <c r="I70" t="s">
        <v>2791</v>
      </c>
      <c r="J70">
        <v>389350.34</v>
      </c>
      <c r="K70">
        <v>71594.03</v>
      </c>
      <c r="L70">
        <v>31</v>
      </c>
    </row>
  </sheetData>
  <mergeCells count="1">
    <mergeCell ref="A1:J1"/>
  </mergeCells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"/>
  <sheetViews>
    <sheetView showGridLines="0" workbookViewId="0"/>
  </sheetViews>
  <sheetFormatPr defaultRowHeight="14.4" x14ac:dyDescent="0.3"/>
  <cols>
    <col min="1" max="1" width="7.6640625" customWidth="1"/>
    <col min="2" max="2" width="26.6640625" customWidth="1"/>
    <col min="3" max="3" width="75.6640625" customWidth="1"/>
  </cols>
  <sheetData>
    <row r="1" spans="1:3" ht="28.8" x14ac:dyDescent="0.3">
      <c r="A1" s="10" t="s">
        <v>2914</v>
      </c>
      <c r="B1" s="10"/>
      <c r="C1" s="10"/>
    </row>
    <row r="2" spans="1:3" x14ac:dyDescent="0.3">
      <c r="A2" t="s">
        <v>2915</v>
      </c>
      <c r="B2" t="s">
        <v>2916</v>
      </c>
      <c r="C2" t="s">
        <v>2917</v>
      </c>
    </row>
    <row r="3" spans="1:3" x14ac:dyDescent="0.3">
      <c r="A3">
        <v>1</v>
      </c>
      <c r="B3" t="s">
        <v>2918</v>
      </c>
      <c r="C3" t="s">
        <v>2919</v>
      </c>
    </row>
    <row r="4" spans="1:3" x14ac:dyDescent="0.3">
      <c r="A4">
        <v>2</v>
      </c>
      <c r="B4" t="s">
        <v>2920</v>
      </c>
      <c r="C4" t="s">
        <v>2921</v>
      </c>
    </row>
    <row r="5" spans="1:3" x14ac:dyDescent="0.3">
      <c r="A5">
        <v>3</v>
      </c>
      <c r="B5" t="s">
        <v>2922</v>
      </c>
      <c r="C5" t="s">
        <v>2923</v>
      </c>
    </row>
    <row r="6" spans="1:3" x14ac:dyDescent="0.3">
      <c r="A6">
        <v>4</v>
      </c>
      <c r="B6" t="s">
        <v>2924</v>
      </c>
      <c r="C6" t="s">
        <v>2925</v>
      </c>
    </row>
    <row r="7" spans="1:3" x14ac:dyDescent="0.3">
      <c r="A7">
        <v>5</v>
      </c>
      <c r="B7" t="s">
        <v>2926</v>
      </c>
      <c r="C7" t="s">
        <v>2927</v>
      </c>
    </row>
    <row r="8" spans="1:3" x14ac:dyDescent="0.3">
      <c r="A8">
        <v>6</v>
      </c>
      <c r="B8" t="s">
        <v>2928</v>
      </c>
      <c r="C8" t="s">
        <v>2929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showGridLines="0" workbookViewId="0"/>
  </sheetViews>
  <sheetFormatPr defaultRowHeight="14.4" x14ac:dyDescent="0.3"/>
  <cols>
    <col min="1" max="1" width="25.6640625" customWidth="1"/>
    <col min="2" max="2" width="72.6640625" customWidth="1"/>
  </cols>
  <sheetData>
    <row r="1" spans="1:2" ht="28.8" x14ac:dyDescent="0.3">
      <c r="A1" s="10" t="s">
        <v>2930</v>
      </c>
      <c r="B1" s="10"/>
    </row>
    <row r="2" spans="1:2" x14ac:dyDescent="0.3">
      <c r="A2" t="s">
        <v>2931</v>
      </c>
      <c r="B2" t="s">
        <v>2932</v>
      </c>
    </row>
    <row r="3" spans="1:2" x14ac:dyDescent="0.3">
      <c r="A3" t="s">
        <v>2933</v>
      </c>
      <c r="B3" t="s">
        <v>2934</v>
      </c>
    </row>
    <row r="4" spans="1:2" x14ac:dyDescent="0.3">
      <c r="A4" t="s">
        <v>2935</v>
      </c>
      <c r="B4" t="s">
        <v>2936</v>
      </c>
    </row>
    <row r="5" spans="1:2" x14ac:dyDescent="0.3">
      <c r="A5" t="s">
        <v>2853</v>
      </c>
      <c r="B5" t="s">
        <v>2937</v>
      </c>
    </row>
    <row r="6" spans="1:2" x14ac:dyDescent="0.3">
      <c r="A6" t="s">
        <v>2938</v>
      </c>
      <c r="B6" t="s">
        <v>2939</v>
      </c>
    </row>
    <row r="7" spans="1:2" x14ac:dyDescent="0.3">
      <c r="A7" t="s">
        <v>2940</v>
      </c>
      <c r="B7" t="s">
        <v>2941</v>
      </c>
    </row>
    <row r="8" spans="1:2" x14ac:dyDescent="0.3">
      <c r="A8" t="s">
        <v>2942</v>
      </c>
      <c r="B8" t="s">
        <v>2943</v>
      </c>
    </row>
    <row r="9" spans="1:2" x14ac:dyDescent="0.3">
      <c r="A9" t="s">
        <v>2944</v>
      </c>
      <c r="B9" t="s">
        <v>2945</v>
      </c>
    </row>
    <row r="10" spans="1:2" x14ac:dyDescent="0.3">
      <c r="A10" t="s">
        <v>2946</v>
      </c>
      <c r="B10" t="s">
        <v>2947</v>
      </c>
    </row>
    <row r="11" spans="1:2" x14ac:dyDescent="0.3">
      <c r="A11" t="s">
        <v>2948</v>
      </c>
      <c r="B11" t="s">
        <v>2949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Raw_Order</vt:lpstr>
      <vt:lpstr>Raw_Customers</vt:lpstr>
      <vt:lpstr>Raw_Products</vt:lpstr>
      <vt:lpstr>Raw_Stores</vt:lpstr>
      <vt:lpstr>Clean_Model</vt:lpstr>
      <vt:lpstr>Dashboard_Data</vt:lpstr>
      <vt:lpstr>Dashboard</vt:lpstr>
      <vt:lpstr>Pivot_Analysis</vt:lpstr>
      <vt:lpstr>Project_Guide</vt:lpstr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Executive Dashboard</dc:title>
  <dc:creator>OpenAI</dc:creator>
  <cp:lastModifiedBy>SOUMI BISWAS</cp:lastModifiedBy>
  <dcterms:created xsi:type="dcterms:W3CDTF">2026-08-09T18:32:30Z</dcterms:created>
  <dcterms:modified xsi:type="dcterms:W3CDTF">2026-09-06T15:56:20Z</dcterms:modified>
</cp:coreProperties>
</file>